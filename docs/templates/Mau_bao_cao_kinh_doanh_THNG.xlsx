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ổng quan" sheetId="1" state="visible" r:id="rId1"/>
    <sheet name="Hướng dẫn" sheetId="2" state="visible" r:id="rId2"/>
    <sheet name="Khách hàng" sheetId="3" state="visible" r:id="rId3"/>
    <sheet name="Báo giá" sheetId="4" state="visible" r:id="rId4"/>
    <sheet name="Hợp đồng" sheetId="5" state="visible" r:id="rId5"/>
    <sheet name="Thanh toán" sheetId="6" state="visible" r:id="rId6"/>
    <sheet name="Công nợ" sheetId="7" state="visible" r:id="rId7"/>
    <sheet name="Báo cáo tháng" sheetId="8" state="visible" r:id="rId8"/>
    <sheet name="Thống kê KH" sheetId="9" state="visible" r:id="rId9"/>
  </sheets>
  <definedNames>
    <definedName name="_xlnm._FilterDatabase" localSheetId="3" hidden="1">'Báo giá'!$A$3:$O$203</definedName>
    <definedName name="_xlnm._FilterDatabase" localSheetId="4" hidden="1">'Hợp đồng'!$A$3:$S$203</definedName>
    <definedName name="_xlnm._FilterDatabase" localSheetId="5" hidden="1">'Thanh toán'!$A$3:$I$303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[RED]\(#,##0\);\-"/>
    <numFmt numFmtId="165" formatCode="0.0%"/>
    <numFmt numFmtId="166" formatCode="&quot;Tháng &quot;0"/>
    <numFmt numFmtId="167" formatCode="dd/mm/yyyy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8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</fonts>
  <fills count="6">
    <fill>
      <patternFill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165" fontId="6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" fontId="12" fillId="5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general" vertical="bottom"/>
    </xf>
    <xf numFmtId="165" fontId="6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67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center" vertical="bottom"/>
    </xf>
    <xf numFmtId="167" fontId="12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165" fontId="12" fillId="0" borderId="1" applyAlignment="1" pivotButton="0" quotePrefix="0" xfId="0">
      <alignment horizontal="general" vertical="bottom"/>
    </xf>
    <xf numFmtId="1" fontId="12" fillId="0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" fontId="12" fillId="5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Dòng ví dụ - xoá nội dung (không xoá dòng).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9" min="1" max="1"/>
    <col width="36" customWidth="1" style="29" min="2" max="2"/>
    <col width="22" customWidth="1" style="29" min="3" max="3"/>
    <col width="3" customWidth="1" style="29" min="4" max="4"/>
    <col width="36" customWidth="1" style="29" min="5" max="5"/>
    <col width="22" customWidth="1" style="29" min="6" max="6"/>
  </cols>
  <sheetData>
    <row r="1" ht="17.35" customHeight="1" s="30">
      <c r="A1" s="31" t="inlineStr">
        <is>
          <t>BÁO CÁO KINH DOANH THNG</t>
        </is>
      </c>
    </row>
    <row r="2" ht="15" customHeight="1" s="30">
      <c r="A2" s="32" t="inlineStr">
        <is>
          <t>Quy trình: Báo giá → PO → Hợp đồng → Tiến độ &amp; Chất lượng → Thanh toán / Công nợ</t>
        </is>
      </c>
    </row>
    <row r="4" ht="15" customHeight="1" s="30">
      <c r="B4" s="33" t="inlineStr">
        <is>
          <t>Năm báo cáo</t>
        </is>
      </c>
      <c r="C4" s="34">
        <f>'Báo cáo tháng'!$B$1</f>
        <v/>
      </c>
    </row>
    <row r="6" ht="15" customHeight="1" s="30">
      <c r="B6" s="35" t="inlineStr">
        <is>
          <t>Số báo giá phát hành</t>
        </is>
      </c>
      <c r="C6" s="36">
        <f>'Báo cáo tháng'!B16</f>
        <v/>
      </c>
      <c r="E6" s="35" t="inlineStr">
        <is>
          <t>Tỷ lệ giao hàng đúng hạn</t>
        </is>
      </c>
      <c r="F6" s="37">
        <f>'Báo cáo tháng'!J16</f>
        <v/>
      </c>
    </row>
    <row r="8" ht="15" customHeight="1" s="30">
      <c r="B8" s="35" t="inlineStr">
        <is>
          <t>Tổng giá trị báo giá (VNĐ)</t>
        </is>
      </c>
      <c r="C8" s="36">
        <f>'Báo cáo tháng'!C16</f>
        <v/>
      </c>
      <c r="E8" s="35" t="inlineStr">
        <is>
          <t>Số PO đang trễ hạn</t>
        </is>
      </c>
      <c r="F8" s="36">
        <f>COUNTIF('Hợp đồng'!$L$4:$L$203,"Trễ hạn")</f>
        <v/>
      </c>
    </row>
    <row r="10" ht="15" customHeight="1" s="30">
      <c r="B10" s="35" t="inlineStr">
        <is>
          <t>Giá trị báo giá thắng (VNĐ)</t>
        </is>
      </c>
      <c r="C10" s="36">
        <f>'Báo cáo tháng'!E16</f>
        <v/>
      </c>
      <c r="E10" s="35" t="inlineStr">
        <is>
          <t>Số PO chất lượng chưa đạt</t>
        </is>
      </c>
      <c r="F10" s="36">
        <f>COUNTIF('Hợp đồng'!$N$4:$N$203,"Lỗi")</f>
        <v/>
      </c>
    </row>
    <row r="12" ht="15" customHeight="1" s="30">
      <c r="B12" s="35" t="inlineStr">
        <is>
          <t>Tỷ lệ thắng thầu (theo giá trị)</t>
        </is>
      </c>
      <c r="C12" s="37">
        <f>'Báo cáo tháng'!F16</f>
        <v/>
      </c>
      <c r="E12" s="35" t="inlineStr">
        <is>
          <t>Đã thu (VNĐ)</t>
        </is>
      </c>
      <c r="F12" s="36">
        <f>'Công nợ'!D204</f>
        <v/>
      </c>
    </row>
    <row r="14" ht="15" customHeight="1" s="30">
      <c r="B14" s="35" t="inlineStr">
        <is>
          <t>Số hợp đồng / PO đã ký</t>
        </is>
      </c>
      <c r="C14" s="36">
        <f>'Báo cáo tháng'!G16</f>
        <v/>
      </c>
      <c r="E14" s="35" t="inlineStr">
        <is>
          <t>Còn phải thu (VNĐ)</t>
        </is>
      </c>
      <c r="F14" s="36">
        <f>'Công nợ'!E204</f>
        <v/>
      </c>
    </row>
    <row r="16" ht="15" customHeight="1" s="30">
      <c r="B16" s="35" t="inlineStr">
        <is>
          <t>Tổng giá trị hợp đồng (VNĐ)</t>
        </is>
      </c>
      <c r="C16" s="36">
        <f>'Báo cáo tháng'!H16</f>
        <v/>
      </c>
      <c r="E16" s="35" t="inlineStr">
        <is>
          <t>Trong đó nợ QUÁ HẠN (VNĐ)</t>
        </is>
      </c>
      <c r="F16" s="36">
        <f>SUMIFS('Công nợ'!$E$4:$E$203,'Công nợ'!$G$4:$G$203,"&gt;0")</f>
        <v/>
      </c>
    </row>
    <row r="19" ht="15" customHeight="1" s="30">
      <c r="B19" s="38" t="inlineStr">
        <is>
          <t>Diễn biến theo tháng</t>
        </is>
      </c>
    </row>
    <row r="20" ht="31.5" customHeight="1" s="30">
      <c r="A20" s="39" t="n"/>
      <c r="B20" s="39" t="inlineStr">
        <is>
          <t>Tháng</t>
        </is>
      </c>
      <c r="C20" s="39" t="inlineStr">
        <is>
          <t>Giá trị HĐ ký (VNĐ)</t>
        </is>
      </c>
      <c r="D20" s="39" t="n"/>
      <c r="E20" s="39" t="inlineStr">
        <is>
          <t>Tiền thu được (VNĐ)</t>
        </is>
      </c>
      <c r="F20" s="39" t="inlineStr">
        <is>
          <t>Tỷ lệ giao đúng hạn</t>
        </is>
      </c>
    </row>
    <row r="21" ht="15" customHeight="1" s="30">
      <c r="B21" s="40">
        <f>'Báo cáo tháng'!A4</f>
        <v/>
      </c>
      <c r="C21" s="41">
        <f>'Báo cáo tháng'!H4</f>
        <v/>
      </c>
      <c r="E21" s="41">
        <f>'Báo cáo tháng'!K4</f>
        <v/>
      </c>
      <c r="F21" s="42">
        <f>'Báo cáo tháng'!J4</f>
        <v/>
      </c>
    </row>
    <row r="22" ht="15" customHeight="1" s="30">
      <c r="B22" s="40">
        <f>'Báo cáo tháng'!A5</f>
        <v/>
      </c>
      <c r="C22" s="41">
        <f>'Báo cáo tháng'!H5</f>
        <v/>
      </c>
      <c r="E22" s="41">
        <f>'Báo cáo tháng'!K5</f>
        <v/>
      </c>
      <c r="F22" s="42">
        <f>'Báo cáo tháng'!J5</f>
        <v/>
      </c>
    </row>
    <row r="23" ht="15" customHeight="1" s="30">
      <c r="B23" s="40">
        <f>'Báo cáo tháng'!A6</f>
        <v/>
      </c>
      <c r="C23" s="41">
        <f>'Báo cáo tháng'!H6</f>
        <v/>
      </c>
      <c r="E23" s="41">
        <f>'Báo cáo tháng'!K6</f>
        <v/>
      </c>
      <c r="F23" s="42">
        <f>'Báo cáo tháng'!J6</f>
        <v/>
      </c>
    </row>
    <row r="24" ht="15" customHeight="1" s="30">
      <c r="B24" s="40">
        <f>'Báo cáo tháng'!A7</f>
        <v/>
      </c>
      <c r="C24" s="41">
        <f>'Báo cáo tháng'!H7</f>
        <v/>
      </c>
      <c r="E24" s="41">
        <f>'Báo cáo tháng'!K7</f>
        <v/>
      </c>
      <c r="F24" s="42">
        <f>'Báo cáo tháng'!J7</f>
        <v/>
      </c>
    </row>
    <row r="25" ht="15" customHeight="1" s="30">
      <c r="B25" s="40">
        <f>'Báo cáo tháng'!A8</f>
        <v/>
      </c>
      <c r="C25" s="41">
        <f>'Báo cáo tháng'!H8</f>
        <v/>
      </c>
      <c r="E25" s="41">
        <f>'Báo cáo tháng'!K8</f>
        <v/>
      </c>
      <c r="F25" s="42">
        <f>'Báo cáo tháng'!J8</f>
        <v/>
      </c>
    </row>
    <row r="26" ht="15" customHeight="1" s="30">
      <c r="B26" s="40">
        <f>'Báo cáo tháng'!A9</f>
        <v/>
      </c>
      <c r="C26" s="41">
        <f>'Báo cáo tháng'!H9</f>
        <v/>
      </c>
      <c r="E26" s="41">
        <f>'Báo cáo tháng'!K9</f>
        <v/>
      </c>
      <c r="F26" s="42">
        <f>'Báo cáo tháng'!J9</f>
        <v/>
      </c>
    </row>
    <row r="27" ht="15" customHeight="1" s="30">
      <c r="B27" s="40">
        <f>'Báo cáo tháng'!A10</f>
        <v/>
      </c>
      <c r="C27" s="41">
        <f>'Báo cáo tháng'!H10</f>
        <v/>
      </c>
      <c r="E27" s="41">
        <f>'Báo cáo tháng'!K10</f>
        <v/>
      </c>
      <c r="F27" s="42">
        <f>'Báo cáo tháng'!J10</f>
        <v/>
      </c>
    </row>
    <row r="28" ht="15" customHeight="1" s="30">
      <c r="B28" s="40">
        <f>'Báo cáo tháng'!A11</f>
        <v/>
      </c>
      <c r="C28" s="41">
        <f>'Báo cáo tháng'!H11</f>
        <v/>
      </c>
      <c r="E28" s="41">
        <f>'Báo cáo tháng'!K11</f>
        <v/>
      </c>
      <c r="F28" s="42">
        <f>'Báo cáo tháng'!J11</f>
        <v/>
      </c>
    </row>
    <row r="29" ht="15" customHeight="1" s="30">
      <c r="B29" s="40">
        <f>'Báo cáo tháng'!A12</f>
        <v/>
      </c>
      <c r="C29" s="41">
        <f>'Báo cáo tháng'!H12</f>
        <v/>
      </c>
      <c r="E29" s="41">
        <f>'Báo cáo tháng'!K12</f>
        <v/>
      </c>
      <c r="F29" s="42">
        <f>'Báo cáo tháng'!J12</f>
        <v/>
      </c>
    </row>
    <row r="30" ht="15" customHeight="1" s="30">
      <c r="B30" s="40">
        <f>'Báo cáo tháng'!A13</f>
        <v/>
      </c>
      <c r="C30" s="41">
        <f>'Báo cáo tháng'!H13</f>
        <v/>
      </c>
      <c r="E30" s="41">
        <f>'Báo cáo tháng'!K13</f>
        <v/>
      </c>
      <c r="F30" s="42">
        <f>'Báo cáo tháng'!J13</f>
        <v/>
      </c>
    </row>
    <row r="31" ht="15" customHeight="1" s="30">
      <c r="B31" s="40">
        <f>'Báo cáo tháng'!A14</f>
        <v/>
      </c>
      <c r="C31" s="41">
        <f>'Báo cáo tháng'!H14</f>
        <v/>
      </c>
      <c r="E31" s="41">
        <f>'Báo cáo tháng'!K14</f>
        <v/>
      </c>
      <c r="F31" s="42">
        <f>'Báo cáo tháng'!J14</f>
        <v/>
      </c>
    </row>
    <row r="32" ht="15" customHeight="1" s="30">
      <c r="B32" s="40">
        <f>'Báo cáo tháng'!A15</f>
        <v/>
      </c>
      <c r="C32" s="41">
        <f>'Báo cáo tháng'!H15</f>
        <v/>
      </c>
      <c r="E32" s="41">
        <f>'Báo cáo tháng'!K15</f>
        <v/>
      </c>
      <c r="F32" s="42">
        <f>'Báo cáo tháng'!J15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9" min="1" max="1"/>
    <col width="22" customWidth="1" style="29" min="2" max="2"/>
    <col width="96" customWidth="1" style="29" min="3" max="3"/>
  </cols>
  <sheetData>
    <row r="1" ht="17.35" customHeight="1" s="30">
      <c r="A1" s="31" t="inlineStr">
        <is>
          <t>HƯỚNG DẪN SỬ DỤNG</t>
        </is>
      </c>
    </row>
    <row r="2" ht="15" customHeight="1" s="30">
      <c r="A2" s="32" t="inlineStr">
        <is>
          <t>Chữ XANH DƯƠNG = ô nhập tay · chữ ĐEN = công thức tự tính · ô VÀNG = tham số · dòng 4 mỗi sheet là ví dụ, xoá nội dung trước khi dùng thật</t>
        </is>
      </c>
    </row>
    <row r="4" ht="31.5" customHeight="1" s="30">
      <c r="A4" s="39" t="n"/>
      <c r="B4" s="39" t="inlineStr">
        <is>
          <t>Sheet</t>
        </is>
      </c>
      <c r="C4" s="39" t="inlineStr">
        <is>
          <t>Cách dùng</t>
        </is>
      </c>
    </row>
    <row r="5" ht="42" customHeight="1" s="30">
      <c r="B5" s="43" t="inlineStr">
        <is>
          <t>Khách hàng</t>
        </is>
      </c>
      <c r="C5" s="44" t="inlineStr">
        <is>
          <t>Khai báo khách hàng: mã KH, tên, người liên hệ, ĐIỀU KHOẢN THANH TOÁN (số ngày) và hạn mức công nợ. Điều khoản này được dùng để tự tính hạn thanh toán ở sheet Hợp đồng.</t>
        </is>
      </c>
    </row>
    <row r="6" ht="42" customHeight="1" s="30">
      <c r="B6" s="43" t="inlineStr">
        <is>
          <t>Báo giá</t>
        </is>
      </c>
      <c r="C6" s="44" t="inlineStr">
        <is>
          <t>Ghi mọi báo giá phát hành. Cột Trạng thái chọn: Đang chào / Thắng / Thua / Huỷ. Khi thắng thì điền Mã PO để nối sang bước sau.</t>
        </is>
      </c>
    </row>
    <row r="7" ht="42" customHeight="1" s="30">
      <c r="B7" s="43" t="inlineStr">
        <is>
          <t>Hợp đồng</t>
        </is>
      </c>
      <c r="C7" s="44" t="inlineStr">
        <is>
          <t>Mỗi dòng là 1 PO / hợp đồng. Nhập Mã báo giá để tự kéo khách hàng và giá trị báo giá gốc. Theo dõi ngày giao cam kết - thực tế (tự đánh giá Đúng hạn / Trễ hạn / Giao trễ) và tình trạng chất lượng.</t>
        </is>
      </c>
    </row>
    <row r="8" ht="42" customHeight="1" s="30">
      <c r="B8" s="43" t="inlineStr">
        <is>
          <t>Thanh toán</t>
        </is>
      </c>
      <c r="C8" s="44" t="inlineStr">
        <is>
          <t>Sổ thu tiền. Một PO có thể thu nhiều lần, cứ ghi nhiều dòng cùng Mã PO.</t>
        </is>
      </c>
    </row>
    <row r="9" ht="42" customHeight="1" s="30">
      <c r="B9" s="43" t="inlineStr">
        <is>
          <t>Công nợ</t>
        </is>
      </c>
      <c r="C9" s="44" t="inlineStr">
        <is>
          <t>Tự tổng hợp theo từng PO: đã thu, còn phải thu, số ngày quá hạn và nhóm tuổi nợ. Không nhập tay.</t>
        </is>
      </c>
    </row>
    <row r="10" ht="42" customHeight="1" s="30">
      <c r="B10" s="43" t="inlineStr">
        <is>
          <t>Báo cáo tháng</t>
        </is>
      </c>
      <c r="C10" s="44" t="inlineStr">
        <is>
          <t>12 tháng: số/giá trị báo giá, tỷ lệ thắng, hợp đồng ký, tỷ lệ giao đúng hạn, tiền thu. Đổi năm ở ô vàng B1.</t>
        </is>
      </c>
    </row>
    <row r="11" ht="42" customHeight="1" s="30">
      <c r="B11" s="43" t="inlineStr">
        <is>
          <t>Thống kê KH</t>
        </is>
      </c>
      <c r="C11" s="44" t="inlineStr">
        <is>
          <t>Theo từng khách hàng: giá trị báo giá, tỷ lệ thắng, công nợ, nợ quá hạn và cảnh báo vượt hạn mức.</t>
        </is>
      </c>
    </row>
    <row r="12" ht="42" customHeight="1" s="30">
      <c r="B12" s="43" t="inlineStr">
        <is>
          <t>Tổng quan</t>
        </is>
      </c>
      <c r="C12" s="44" t="inlineStr">
        <is>
          <t>Bảng KPI tổng hợp. Không nhập tay.</t>
        </is>
      </c>
    </row>
    <row r="14" ht="48" customHeight="1" s="30">
      <c r="B14" s="45" t="inlineStr">
        <is>
          <t>Lưu ý</t>
        </is>
      </c>
      <c r="C14" s="46" t="inlineStr">
        <is>
          <t>Các cột tình trạng dùng đúng từ khoá để công thức nhận diện: Trạng thái báo giá (Đang chào / Thắng / Thua / Huỷ); Chất lượng (Đạt / Đạt có điều kiện / Lỗi / Chưa kiểm). Công thức đã kéo sẵn: Báo giá &amp; Hợp đồng 200 dòng, Thanh toán 300 dòng, Khách hàng 100 dòng.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36" customWidth="1" style="29" min="2" max="2"/>
    <col width="20" customWidth="1" style="29" min="3" max="3"/>
    <col width="26" customWidth="1" style="29" min="4" max="4"/>
    <col width="20" customWidth="1" style="29" min="5" max="5"/>
    <col width="22" customWidth="1" style="29" min="6" max="6"/>
    <col width="26" customWidth="1" style="29" min="7" max="7"/>
  </cols>
  <sheetData>
    <row r="1" ht="17.35" customHeight="1" s="30">
      <c r="A1" s="31" t="inlineStr">
        <is>
          <t>DANH MỤC KHÁCH HÀNG</t>
        </is>
      </c>
    </row>
    <row r="2" ht="15" customHeight="1" s="30">
      <c r="A2" s="32" t="inlineStr">
        <is>
          <t>Toàn bộ bảng là ô nhập tay</t>
        </is>
      </c>
    </row>
    <row r="3" ht="31.5" customHeight="1" s="30">
      <c r="A3" s="39" t="inlineStr">
        <is>
          <t>Mã KH</t>
        </is>
      </c>
      <c r="B3" s="39" t="inlineStr">
        <is>
          <t>Tên khách hàng</t>
        </is>
      </c>
      <c r="C3" s="39" t="inlineStr">
        <is>
          <t>Người liên hệ</t>
        </is>
      </c>
      <c r="D3" s="39" t="inlineStr">
        <is>
          <t>Điện thoại / Email</t>
        </is>
      </c>
      <c r="E3" s="39" t="inlineStr">
        <is>
          <t>Điều khoản TT (số ngày)</t>
        </is>
      </c>
      <c r="F3" s="39" t="inlineStr">
        <is>
          <t>Hạn mức công nợ (VNĐ)</t>
        </is>
      </c>
      <c r="G3" s="39" t="inlineStr">
        <is>
          <t>Ghi chú</t>
        </is>
      </c>
      <c r="H3" s="47" t="inlineStr">
        <is>
          <t>Mã số thuế</t>
        </is>
      </c>
      <c r="I3" s="47" t="inlineStr">
        <is>
          <t>Địa chỉ</t>
        </is>
      </c>
    </row>
    <row r="4" ht="15" customHeight="1" s="30">
      <c r="A4" s="48" t="inlineStr">
        <is>
          <t>KH001</t>
        </is>
      </c>
      <c r="B4" s="48" t="inlineStr">
        <is>
          <t>Công ty TNHH ABC</t>
        </is>
      </c>
      <c r="C4" s="48" t="inlineStr">
        <is>
          <t>Trần Thị B</t>
        </is>
      </c>
      <c r="D4" s="48" t="inlineStr">
        <is>
          <t>0901234567</t>
        </is>
      </c>
      <c r="E4" s="49" t="n">
        <v>30</v>
      </c>
      <c r="F4" s="50" t="n">
        <v>500000000</v>
      </c>
      <c r="G4" s="48" t="inlineStr">
        <is>
          <t>Khách hàng ví dụ - xoá trước khi dùng</t>
        </is>
      </c>
      <c r="H4" s="51" t="inlineStr">
        <is>
          <t>0312345678</t>
        </is>
      </c>
      <c r="I4" s="51" t="inlineStr">
        <is>
          <t>123 Đường ABC, Q.1, TP.HCM</t>
        </is>
      </c>
    </row>
    <row r="5" ht="15" customHeight="1" s="30">
      <c r="A5" s="48" t="n"/>
      <c r="B5" s="48" t="n"/>
      <c r="C5" s="48" t="n"/>
      <c r="D5" s="48" t="n"/>
      <c r="E5" s="49" t="n"/>
      <c r="F5" s="50" t="n"/>
      <c r="G5" s="48" t="n"/>
      <c r="H5" s="51" t="n"/>
      <c r="I5" s="51" t="n"/>
    </row>
    <row r="6" ht="15" customHeight="1" s="30">
      <c r="A6" s="48" t="n"/>
      <c r="B6" s="48" t="n"/>
      <c r="C6" s="48" t="n"/>
      <c r="D6" s="48" t="n"/>
      <c r="E6" s="49" t="n"/>
      <c r="F6" s="50" t="n"/>
      <c r="G6" s="48" t="n"/>
      <c r="H6" s="51" t="n"/>
      <c r="I6" s="51" t="n"/>
    </row>
    <row r="7" ht="15" customHeight="1" s="30">
      <c r="A7" s="48" t="n"/>
      <c r="B7" s="48" t="n"/>
      <c r="C7" s="48" t="n"/>
      <c r="D7" s="48" t="n"/>
      <c r="E7" s="49" t="n"/>
      <c r="F7" s="50" t="n"/>
      <c r="G7" s="48" t="n"/>
      <c r="H7" s="51" t="n"/>
      <c r="I7" s="51" t="n"/>
    </row>
    <row r="8" ht="15" customHeight="1" s="30">
      <c r="A8" s="48" t="n"/>
      <c r="B8" s="48" t="n"/>
      <c r="C8" s="48" t="n"/>
      <c r="D8" s="48" t="n"/>
      <c r="E8" s="49" t="n"/>
      <c r="F8" s="50" t="n"/>
      <c r="G8" s="48" t="n"/>
      <c r="H8" s="51" t="n"/>
      <c r="I8" s="51" t="n"/>
    </row>
    <row r="9" ht="15" customHeight="1" s="30">
      <c r="A9" s="48" t="n"/>
      <c r="B9" s="48" t="n"/>
      <c r="C9" s="48" t="n"/>
      <c r="D9" s="48" t="n"/>
      <c r="E9" s="49" t="n"/>
      <c r="F9" s="50" t="n"/>
      <c r="G9" s="48" t="n"/>
      <c r="H9" s="51" t="n"/>
      <c r="I9" s="51" t="n"/>
    </row>
    <row r="10" ht="15" customHeight="1" s="30">
      <c r="A10" s="48" t="n"/>
      <c r="B10" s="48" t="n"/>
      <c r="C10" s="48" t="n"/>
      <c r="D10" s="48" t="n"/>
      <c r="E10" s="49" t="n"/>
      <c r="F10" s="50" t="n"/>
      <c r="G10" s="48" t="n"/>
      <c r="H10" s="51" t="n"/>
      <c r="I10" s="51" t="n"/>
    </row>
    <row r="11" ht="15" customHeight="1" s="30">
      <c r="A11" s="48" t="n"/>
      <c r="B11" s="48" t="n"/>
      <c r="C11" s="48" t="n"/>
      <c r="D11" s="48" t="n"/>
      <c r="E11" s="49" t="n"/>
      <c r="F11" s="50" t="n"/>
      <c r="G11" s="48" t="n"/>
      <c r="H11" s="51" t="n"/>
      <c r="I11" s="51" t="n"/>
    </row>
    <row r="12" ht="15" customHeight="1" s="30">
      <c r="A12" s="48" t="n"/>
      <c r="B12" s="48" t="n"/>
      <c r="C12" s="48" t="n"/>
      <c r="D12" s="48" t="n"/>
      <c r="E12" s="49" t="n"/>
      <c r="F12" s="50" t="n"/>
      <c r="G12" s="48" t="n"/>
      <c r="H12" s="51" t="n"/>
      <c r="I12" s="51" t="n"/>
    </row>
    <row r="13" ht="15" customHeight="1" s="30">
      <c r="A13" s="48" t="n"/>
      <c r="B13" s="48" t="n"/>
      <c r="C13" s="48" t="n"/>
      <c r="D13" s="48" t="n"/>
      <c r="E13" s="49" t="n"/>
      <c r="F13" s="50" t="n"/>
      <c r="G13" s="48" t="n"/>
      <c r="H13" s="51" t="n"/>
      <c r="I13" s="51" t="n"/>
    </row>
    <row r="14" ht="15" customHeight="1" s="30">
      <c r="A14" s="48" t="n"/>
      <c r="B14" s="48" t="n"/>
      <c r="C14" s="48" t="n"/>
      <c r="D14" s="48" t="n"/>
      <c r="E14" s="49" t="n"/>
      <c r="F14" s="50" t="n"/>
      <c r="G14" s="48" t="n"/>
      <c r="H14" s="51" t="n"/>
      <c r="I14" s="51" t="n"/>
    </row>
    <row r="15" ht="15" customHeight="1" s="30">
      <c r="A15" s="48" t="n"/>
      <c r="B15" s="48" t="n"/>
      <c r="C15" s="48" t="n"/>
      <c r="D15" s="48" t="n"/>
      <c r="E15" s="49" t="n"/>
      <c r="F15" s="50" t="n"/>
      <c r="G15" s="48" t="n"/>
      <c r="H15" s="51" t="n"/>
      <c r="I15" s="51" t="n"/>
    </row>
    <row r="16" ht="15" customHeight="1" s="30">
      <c r="A16" s="48" t="n"/>
      <c r="B16" s="48" t="n"/>
      <c r="C16" s="48" t="n"/>
      <c r="D16" s="48" t="n"/>
      <c r="E16" s="49" t="n"/>
      <c r="F16" s="50" t="n"/>
      <c r="G16" s="48" t="n"/>
      <c r="H16" s="51" t="n"/>
      <c r="I16" s="51" t="n"/>
    </row>
    <row r="17" ht="15" customHeight="1" s="30">
      <c r="A17" s="48" t="n"/>
      <c r="B17" s="48" t="n"/>
      <c r="C17" s="48" t="n"/>
      <c r="D17" s="48" t="n"/>
      <c r="E17" s="49" t="n"/>
      <c r="F17" s="50" t="n"/>
      <c r="G17" s="48" t="n"/>
      <c r="H17" s="51" t="n"/>
      <c r="I17" s="51" t="n"/>
    </row>
    <row r="18" ht="15" customHeight="1" s="30">
      <c r="A18" s="48" t="n"/>
      <c r="B18" s="48" t="n"/>
      <c r="C18" s="48" t="n"/>
      <c r="D18" s="48" t="n"/>
      <c r="E18" s="49" t="n"/>
      <c r="F18" s="50" t="n"/>
      <c r="G18" s="48" t="n"/>
      <c r="H18" s="51" t="n"/>
      <c r="I18" s="51" t="n"/>
    </row>
    <row r="19" ht="15" customHeight="1" s="30">
      <c r="A19" s="48" t="n"/>
      <c r="B19" s="48" t="n"/>
      <c r="C19" s="48" t="n"/>
      <c r="D19" s="48" t="n"/>
      <c r="E19" s="49" t="n"/>
      <c r="F19" s="50" t="n"/>
      <c r="G19" s="48" t="n"/>
      <c r="H19" s="51" t="n"/>
      <c r="I19" s="51" t="n"/>
    </row>
    <row r="20" ht="15" customHeight="1" s="30">
      <c r="A20" s="48" t="n"/>
      <c r="B20" s="48" t="n"/>
      <c r="C20" s="48" t="n"/>
      <c r="D20" s="48" t="n"/>
      <c r="E20" s="49" t="n"/>
      <c r="F20" s="50" t="n"/>
      <c r="G20" s="48" t="n"/>
      <c r="H20" s="51" t="n"/>
      <c r="I20" s="51" t="n"/>
    </row>
    <row r="21" ht="15" customHeight="1" s="30">
      <c r="A21" s="48" t="n"/>
      <c r="B21" s="48" t="n"/>
      <c r="C21" s="48" t="n"/>
      <c r="D21" s="48" t="n"/>
      <c r="E21" s="49" t="n"/>
      <c r="F21" s="50" t="n"/>
      <c r="G21" s="48" t="n"/>
      <c r="H21" s="51" t="n"/>
      <c r="I21" s="51" t="n"/>
    </row>
    <row r="22" ht="15" customHeight="1" s="30">
      <c r="A22" s="48" t="n"/>
      <c r="B22" s="48" t="n"/>
      <c r="C22" s="48" t="n"/>
      <c r="D22" s="48" t="n"/>
      <c r="E22" s="49" t="n"/>
      <c r="F22" s="50" t="n"/>
      <c r="G22" s="48" t="n"/>
      <c r="H22" s="51" t="n"/>
      <c r="I22" s="51" t="n"/>
    </row>
    <row r="23" ht="15" customHeight="1" s="30">
      <c r="A23" s="48" t="n"/>
      <c r="B23" s="48" t="n"/>
      <c r="C23" s="48" t="n"/>
      <c r="D23" s="48" t="n"/>
      <c r="E23" s="49" t="n"/>
      <c r="F23" s="50" t="n"/>
      <c r="G23" s="48" t="n"/>
      <c r="H23" s="51" t="n"/>
      <c r="I23" s="51" t="n"/>
    </row>
    <row r="24" ht="15" customHeight="1" s="30">
      <c r="A24" s="48" t="n"/>
      <c r="B24" s="48" t="n"/>
      <c r="C24" s="48" t="n"/>
      <c r="D24" s="48" t="n"/>
      <c r="E24" s="49" t="n"/>
      <c r="F24" s="50" t="n"/>
      <c r="G24" s="48" t="n"/>
      <c r="H24" s="51" t="n"/>
      <c r="I24" s="51" t="n"/>
    </row>
    <row r="25" ht="15" customHeight="1" s="30">
      <c r="A25" s="48" t="n"/>
      <c r="B25" s="48" t="n"/>
      <c r="C25" s="48" t="n"/>
      <c r="D25" s="48" t="n"/>
      <c r="E25" s="49" t="n"/>
      <c r="F25" s="50" t="n"/>
      <c r="G25" s="48" t="n"/>
      <c r="H25" s="51" t="n"/>
      <c r="I25" s="51" t="n"/>
    </row>
    <row r="26" ht="15" customHeight="1" s="30">
      <c r="A26" s="48" t="n"/>
      <c r="B26" s="48" t="n"/>
      <c r="C26" s="48" t="n"/>
      <c r="D26" s="48" t="n"/>
      <c r="E26" s="49" t="n"/>
      <c r="F26" s="50" t="n"/>
      <c r="G26" s="48" t="n"/>
      <c r="H26" s="51" t="n"/>
      <c r="I26" s="51" t="n"/>
    </row>
    <row r="27" ht="15" customHeight="1" s="30">
      <c r="A27" s="48" t="n"/>
      <c r="B27" s="48" t="n"/>
      <c r="C27" s="48" t="n"/>
      <c r="D27" s="48" t="n"/>
      <c r="E27" s="49" t="n"/>
      <c r="F27" s="50" t="n"/>
      <c r="G27" s="48" t="n"/>
      <c r="H27" s="51" t="n"/>
      <c r="I27" s="51" t="n"/>
    </row>
    <row r="28" ht="15" customHeight="1" s="30">
      <c r="A28" s="48" t="n"/>
      <c r="B28" s="48" t="n"/>
      <c r="C28" s="48" t="n"/>
      <c r="D28" s="48" t="n"/>
      <c r="E28" s="49" t="n"/>
      <c r="F28" s="50" t="n"/>
      <c r="G28" s="48" t="n"/>
      <c r="H28" s="51" t="n"/>
      <c r="I28" s="51" t="n"/>
    </row>
    <row r="29" ht="15" customHeight="1" s="30">
      <c r="A29" s="48" t="n"/>
      <c r="B29" s="48" t="n"/>
      <c r="C29" s="48" t="n"/>
      <c r="D29" s="48" t="n"/>
      <c r="E29" s="49" t="n"/>
      <c r="F29" s="50" t="n"/>
      <c r="G29" s="48" t="n"/>
      <c r="H29" s="51" t="n"/>
      <c r="I29" s="51" t="n"/>
    </row>
    <row r="30" ht="15" customHeight="1" s="30">
      <c r="A30" s="48" t="n"/>
      <c r="B30" s="48" t="n"/>
      <c r="C30" s="48" t="n"/>
      <c r="D30" s="48" t="n"/>
      <c r="E30" s="49" t="n"/>
      <c r="F30" s="50" t="n"/>
      <c r="G30" s="48" t="n"/>
      <c r="H30" s="51" t="n"/>
      <c r="I30" s="51" t="n"/>
    </row>
    <row r="31" ht="15" customHeight="1" s="30">
      <c r="A31" s="48" t="n"/>
      <c r="B31" s="48" t="n"/>
      <c r="C31" s="48" t="n"/>
      <c r="D31" s="48" t="n"/>
      <c r="E31" s="49" t="n"/>
      <c r="F31" s="50" t="n"/>
      <c r="G31" s="48" t="n"/>
      <c r="H31" s="51" t="n"/>
      <c r="I31" s="51" t="n"/>
    </row>
    <row r="32" ht="15" customHeight="1" s="30">
      <c r="A32" s="48" t="n"/>
      <c r="B32" s="48" t="n"/>
      <c r="C32" s="48" t="n"/>
      <c r="D32" s="48" t="n"/>
      <c r="E32" s="49" t="n"/>
      <c r="F32" s="50" t="n"/>
      <c r="G32" s="48" t="n"/>
      <c r="H32" s="51" t="n"/>
      <c r="I32" s="51" t="n"/>
    </row>
    <row r="33" ht="15" customHeight="1" s="30">
      <c r="A33" s="48" t="n"/>
      <c r="B33" s="48" t="n"/>
      <c r="C33" s="48" t="n"/>
      <c r="D33" s="48" t="n"/>
      <c r="E33" s="49" t="n"/>
      <c r="F33" s="50" t="n"/>
      <c r="G33" s="48" t="n"/>
      <c r="H33" s="51" t="n"/>
      <c r="I33" s="51" t="n"/>
    </row>
    <row r="34" ht="15" customHeight="1" s="30">
      <c r="A34" s="48" t="n"/>
      <c r="B34" s="48" t="n"/>
      <c r="C34" s="48" t="n"/>
      <c r="D34" s="48" t="n"/>
      <c r="E34" s="49" t="n"/>
      <c r="F34" s="50" t="n"/>
      <c r="G34" s="48" t="n"/>
      <c r="H34" s="51" t="n"/>
      <c r="I34" s="51" t="n"/>
    </row>
    <row r="35" ht="15" customHeight="1" s="30">
      <c r="A35" s="48" t="n"/>
      <c r="B35" s="48" t="n"/>
      <c r="C35" s="48" t="n"/>
      <c r="D35" s="48" t="n"/>
      <c r="E35" s="49" t="n"/>
      <c r="F35" s="50" t="n"/>
      <c r="G35" s="48" t="n"/>
      <c r="H35" s="51" t="n"/>
      <c r="I35" s="51" t="n"/>
    </row>
    <row r="36" ht="15" customHeight="1" s="30">
      <c r="A36" s="48" t="n"/>
      <c r="B36" s="48" t="n"/>
      <c r="C36" s="48" t="n"/>
      <c r="D36" s="48" t="n"/>
      <c r="E36" s="49" t="n"/>
      <c r="F36" s="50" t="n"/>
      <c r="G36" s="48" t="n"/>
      <c r="H36" s="51" t="n"/>
      <c r="I36" s="51" t="n"/>
    </row>
    <row r="37" ht="15" customHeight="1" s="30">
      <c r="A37" s="48" t="n"/>
      <c r="B37" s="48" t="n"/>
      <c r="C37" s="48" t="n"/>
      <c r="D37" s="48" t="n"/>
      <c r="E37" s="49" t="n"/>
      <c r="F37" s="50" t="n"/>
      <c r="G37" s="48" t="n"/>
      <c r="H37" s="51" t="n"/>
      <c r="I37" s="51" t="n"/>
    </row>
    <row r="38" ht="15" customHeight="1" s="30">
      <c r="A38" s="48" t="n"/>
      <c r="B38" s="48" t="n"/>
      <c r="C38" s="48" t="n"/>
      <c r="D38" s="48" t="n"/>
      <c r="E38" s="49" t="n"/>
      <c r="F38" s="50" t="n"/>
      <c r="G38" s="48" t="n"/>
      <c r="H38" s="51" t="n"/>
      <c r="I38" s="51" t="n"/>
    </row>
    <row r="39" ht="15" customHeight="1" s="30">
      <c r="A39" s="48" t="n"/>
      <c r="B39" s="48" t="n"/>
      <c r="C39" s="48" t="n"/>
      <c r="D39" s="48" t="n"/>
      <c r="E39" s="49" t="n"/>
      <c r="F39" s="50" t="n"/>
      <c r="G39" s="48" t="n"/>
      <c r="H39" s="51" t="n"/>
      <c r="I39" s="51" t="n"/>
    </row>
    <row r="40" ht="15" customHeight="1" s="30">
      <c r="A40" s="48" t="n"/>
      <c r="B40" s="48" t="n"/>
      <c r="C40" s="48" t="n"/>
      <c r="D40" s="48" t="n"/>
      <c r="E40" s="49" t="n"/>
      <c r="F40" s="50" t="n"/>
      <c r="G40" s="48" t="n"/>
      <c r="H40" s="51" t="n"/>
      <c r="I40" s="51" t="n"/>
    </row>
    <row r="41" ht="15" customHeight="1" s="30">
      <c r="A41" s="48" t="n"/>
      <c r="B41" s="48" t="n"/>
      <c r="C41" s="48" t="n"/>
      <c r="D41" s="48" t="n"/>
      <c r="E41" s="49" t="n"/>
      <c r="F41" s="50" t="n"/>
      <c r="G41" s="48" t="n"/>
      <c r="H41" s="51" t="n"/>
      <c r="I41" s="51" t="n"/>
    </row>
    <row r="42" ht="15" customHeight="1" s="30">
      <c r="A42" s="48" t="n"/>
      <c r="B42" s="48" t="n"/>
      <c r="C42" s="48" t="n"/>
      <c r="D42" s="48" t="n"/>
      <c r="E42" s="49" t="n"/>
      <c r="F42" s="50" t="n"/>
      <c r="G42" s="48" t="n"/>
      <c r="H42" s="51" t="n"/>
      <c r="I42" s="51" t="n"/>
    </row>
    <row r="43" ht="15" customHeight="1" s="30">
      <c r="A43" s="48" t="n"/>
      <c r="B43" s="48" t="n"/>
      <c r="C43" s="48" t="n"/>
      <c r="D43" s="48" t="n"/>
      <c r="E43" s="49" t="n"/>
      <c r="F43" s="50" t="n"/>
      <c r="G43" s="48" t="n"/>
      <c r="H43" s="51" t="n"/>
      <c r="I43" s="51" t="n"/>
    </row>
    <row r="44" ht="15" customHeight="1" s="30">
      <c r="A44" s="48" t="n"/>
      <c r="B44" s="48" t="n"/>
      <c r="C44" s="48" t="n"/>
      <c r="D44" s="48" t="n"/>
      <c r="E44" s="49" t="n"/>
      <c r="F44" s="50" t="n"/>
      <c r="G44" s="48" t="n"/>
      <c r="H44" s="51" t="n"/>
      <c r="I44" s="51" t="n"/>
    </row>
    <row r="45" ht="15" customHeight="1" s="30">
      <c r="A45" s="48" t="n"/>
      <c r="B45" s="48" t="n"/>
      <c r="C45" s="48" t="n"/>
      <c r="D45" s="48" t="n"/>
      <c r="E45" s="49" t="n"/>
      <c r="F45" s="50" t="n"/>
      <c r="G45" s="48" t="n"/>
      <c r="H45" s="51" t="n"/>
      <c r="I45" s="51" t="n"/>
    </row>
    <row r="46" ht="15" customHeight="1" s="30">
      <c r="A46" s="48" t="n"/>
      <c r="B46" s="48" t="n"/>
      <c r="C46" s="48" t="n"/>
      <c r="D46" s="48" t="n"/>
      <c r="E46" s="49" t="n"/>
      <c r="F46" s="50" t="n"/>
      <c r="G46" s="48" t="n"/>
      <c r="H46" s="51" t="n"/>
      <c r="I46" s="51" t="n"/>
    </row>
    <row r="47" ht="15" customHeight="1" s="30">
      <c r="A47" s="48" t="n"/>
      <c r="B47" s="48" t="n"/>
      <c r="C47" s="48" t="n"/>
      <c r="D47" s="48" t="n"/>
      <c r="E47" s="49" t="n"/>
      <c r="F47" s="50" t="n"/>
      <c r="G47" s="48" t="n"/>
      <c r="H47" s="51" t="n"/>
      <c r="I47" s="51" t="n"/>
    </row>
    <row r="48" ht="15" customHeight="1" s="30">
      <c r="A48" s="48" t="n"/>
      <c r="B48" s="48" t="n"/>
      <c r="C48" s="48" t="n"/>
      <c r="D48" s="48" t="n"/>
      <c r="E48" s="49" t="n"/>
      <c r="F48" s="50" t="n"/>
      <c r="G48" s="48" t="n"/>
      <c r="H48" s="51" t="n"/>
      <c r="I48" s="51" t="n"/>
    </row>
    <row r="49" ht="15" customHeight="1" s="30">
      <c r="A49" s="48" t="n"/>
      <c r="B49" s="48" t="n"/>
      <c r="C49" s="48" t="n"/>
      <c r="D49" s="48" t="n"/>
      <c r="E49" s="49" t="n"/>
      <c r="F49" s="50" t="n"/>
      <c r="G49" s="48" t="n"/>
      <c r="H49" s="51" t="n"/>
      <c r="I49" s="51" t="n"/>
    </row>
    <row r="50" ht="15" customHeight="1" s="30">
      <c r="A50" s="48" t="n"/>
      <c r="B50" s="48" t="n"/>
      <c r="C50" s="48" t="n"/>
      <c r="D50" s="48" t="n"/>
      <c r="E50" s="49" t="n"/>
      <c r="F50" s="50" t="n"/>
      <c r="G50" s="48" t="n"/>
      <c r="H50" s="51" t="n"/>
      <c r="I50" s="51" t="n"/>
    </row>
    <row r="51" ht="15" customHeight="1" s="30">
      <c r="A51" s="48" t="n"/>
      <c r="B51" s="48" t="n"/>
      <c r="C51" s="48" t="n"/>
      <c r="D51" s="48" t="n"/>
      <c r="E51" s="49" t="n"/>
      <c r="F51" s="50" t="n"/>
      <c r="G51" s="48" t="n"/>
      <c r="H51" s="51" t="n"/>
      <c r="I51" s="51" t="n"/>
    </row>
    <row r="52" ht="15" customHeight="1" s="30">
      <c r="A52" s="48" t="n"/>
      <c r="B52" s="48" t="n"/>
      <c r="C52" s="48" t="n"/>
      <c r="D52" s="48" t="n"/>
      <c r="E52" s="49" t="n"/>
      <c r="F52" s="50" t="n"/>
      <c r="G52" s="48" t="n"/>
      <c r="H52" s="51" t="n"/>
      <c r="I52" s="51" t="n"/>
    </row>
    <row r="53" ht="15" customHeight="1" s="30">
      <c r="A53" s="48" t="n"/>
      <c r="B53" s="48" t="n"/>
      <c r="C53" s="48" t="n"/>
      <c r="D53" s="48" t="n"/>
      <c r="E53" s="49" t="n"/>
      <c r="F53" s="50" t="n"/>
      <c r="G53" s="48" t="n"/>
      <c r="H53" s="51" t="n"/>
      <c r="I53" s="51" t="n"/>
    </row>
    <row r="54" ht="15" customHeight="1" s="30">
      <c r="A54" s="48" t="n"/>
      <c r="B54" s="48" t="n"/>
      <c r="C54" s="48" t="n"/>
      <c r="D54" s="48" t="n"/>
      <c r="E54" s="49" t="n"/>
      <c r="F54" s="50" t="n"/>
      <c r="G54" s="48" t="n"/>
      <c r="H54" s="51" t="n"/>
      <c r="I54" s="51" t="n"/>
    </row>
    <row r="55" ht="15" customHeight="1" s="30">
      <c r="A55" s="48" t="n"/>
      <c r="B55" s="48" t="n"/>
      <c r="C55" s="48" t="n"/>
      <c r="D55" s="48" t="n"/>
      <c r="E55" s="49" t="n"/>
      <c r="F55" s="50" t="n"/>
      <c r="G55" s="48" t="n"/>
      <c r="H55" s="51" t="n"/>
      <c r="I55" s="51" t="n"/>
    </row>
    <row r="56" ht="15" customHeight="1" s="30">
      <c r="A56" s="48" t="n"/>
      <c r="B56" s="48" t="n"/>
      <c r="C56" s="48" t="n"/>
      <c r="D56" s="48" t="n"/>
      <c r="E56" s="49" t="n"/>
      <c r="F56" s="50" t="n"/>
      <c r="G56" s="48" t="n"/>
      <c r="H56" s="51" t="n"/>
      <c r="I56" s="51" t="n"/>
    </row>
    <row r="57" ht="15" customHeight="1" s="30">
      <c r="A57" s="48" t="n"/>
      <c r="B57" s="48" t="n"/>
      <c r="C57" s="48" t="n"/>
      <c r="D57" s="48" t="n"/>
      <c r="E57" s="49" t="n"/>
      <c r="F57" s="50" t="n"/>
      <c r="G57" s="48" t="n"/>
      <c r="H57" s="51" t="n"/>
      <c r="I57" s="51" t="n"/>
    </row>
    <row r="58" ht="15" customHeight="1" s="30">
      <c r="A58" s="48" t="n"/>
      <c r="B58" s="48" t="n"/>
      <c r="C58" s="48" t="n"/>
      <c r="D58" s="48" t="n"/>
      <c r="E58" s="49" t="n"/>
      <c r="F58" s="50" t="n"/>
      <c r="G58" s="48" t="n"/>
      <c r="H58" s="51" t="n"/>
      <c r="I58" s="51" t="n"/>
    </row>
    <row r="59" ht="15" customHeight="1" s="30">
      <c r="A59" s="48" t="n"/>
      <c r="B59" s="48" t="n"/>
      <c r="C59" s="48" t="n"/>
      <c r="D59" s="48" t="n"/>
      <c r="E59" s="49" t="n"/>
      <c r="F59" s="50" t="n"/>
      <c r="G59" s="48" t="n"/>
      <c r="H59" s="51" t="n"/>
      <c r="I59" s="51" t="n"/>
    </row>
    <row r="60" ht="15" customHeight="1" s="30">
      <c r="A60" s="48" t="n"/>
      <c r="B60" s="48" t="n"/>
      <c r="C60" s="48" t="n"/>
      <c r="D60" s="48" t="n"/>
      <c r="E60" s="49" t="n"/>
      <c r="F60" s="50" t="n"/>
      <c r="G60" s="48" t="n"/>
      <c r="H60" s="51" t="n"/>
      <c r="I60" s="51" t="n"/>
    </row>
    <row r="61" ht="15" customHeight="1" s="30">
      <c r="A61" s="48" t="n"/>
      <c r="B61" s="48" t="n"/>
      <c r="C61" s="48" t="n"/>
      <c r="D61" s="48" t="n"/>
      <c r="E61" s="49" t="n"/>
      <c r="F61" s="50" t="n"/>
      <c r="G61" s="48" t="n"/>
      <c r="H61" s="51" t="n"/>
      <c r="I61" s="51" t="n"/>
    </row>
    <row r="62" ht="15" customHeight="1" s="30">
      <c r="A62" s="48" t="n"/>
      <c r="B62" s="48" t="n"/>
      <c r="C62" s="48" t="n"/>
      <c r="D62" s="48" t="n"/>
      <c r="E62" s="49" t="n"/>
      <c r="F62" s="50" t="n"/>
      <c r="G62" s="48" t="n"/>
      <c r="H62" s="51" t="n"/>
      <c r="I62" s="51" t="n"/>
    </row>
    <row r="63" ht="15" customHeight="1" s="30">
      <c r="A63" s="48" t="n"/>
      <c r="B63" s="48" t="n"/>
      <c r="C63" s="48" t="n"/>
      <c r="D63" s="48" t="n"/>
      <c r="E63" s="49" t="n"/>
      <c r="F63" s="50" t="n"/>
      <c r="G63" s="48" t="n"/>
      <c r="H63" s="51" t="n"/>
      <c r="I63" s="51" t="n"/>
    </row>
    <row r="64" ht="15" customHeight="1" s="30">
      <c r="A64" s="48" t="n"/>
      <c r="B64" s="48" t="n"/>
      <c r="C64" s="48" t="n"/>
      <c r="D64" s="48" t="n"/>
      <c r="E64" s="49" t="n"/>
      <c r="F64" s="50" t="n"/>
      <c r="G64" s="48" t="n"/>
      <c r="H64" s="51" t="n"/>
      <c r="I64" s="51" t="n"/>
    </row>
    <row r="65" ht="15" customHeight="1" s="30">
      <c r="A65" s="48" t="n"/>
      <c r="B65" s="48" t="n"/>
      <c r="C65" s="48" t="n"/>
      <c r="D65" s="48" t="n"/>
      <c r="E65" s="49" t="n"/>
      <c r="F65" s="50" t="n"/>
      <c r="G65" s="48" t="n"/>
      <c r="H65" s="51" t="n"/>
      <c r="I65" s="51" t="n"/>
    </row>
    <row r="66" ht="15" customHeight="1" s="30">
      <c r="A66" s="48" t="n"/>
      <c r="B66" s="48" t="n"/>
      <c r="C66" s="48" t="n"/>
      <c r="D66" s="48" t="n"/>
      <c r="E66" s="49" t="n"/>
      <c r="F66" s="50" t="n"/>
      <c r="G66" s="48" t="n"/>
      <c r="H66" s="51" t="n"/>
      <c r="I66" s="51" t="n"/>
    </row>
    <row r="67" ht="15" customHeight="1" s="30">
      <c r="A67" s="48" t="n"/>
      <c r="B67" s="48" t="n"/>
      <c r="C67" s="48" t="n"/>
      <c r="D67" s="48" t="n"/>
      <c r="E67" s="49" t="n"/>
      <c r="F67" s="50" t="n"/>
      <c r="G67" s="48" t="n"/>
      <c r="H67" s="51" t="n"/>
      <c r="I67" s="51" t="n"/>
    </row>
    <row r="68" ht="15" customHeight="1" s="30">
      <c r="A68" s="48" t="n"/>
      <c r="B68" s="48" t="n"/>
      <c r="C68" s="48" t="n"/>
      <c r="D68" s="48" t="n"/>
      <c r="E68" s="49" t="n"/>
      <c r="F68" s="50" t="n"/>
      <c r="G68" s="48" t="n"/>
      <c r="H68" s="51" t="n"/>
      <c r="I68" s="51" t="n"/>
    </row>
    <row r="69" ht="15" customHeight="1" s="30">
      <c r="A69" s="48" t="n"/>
      <c r="B69" s="48" t="n"/>
      <c r="C69" s="48" t="n"/>
      <c r="D69" s="48" t="n"/>
      <c r="E69" s="49" t="n"/>
      <c r="F69" s="50" t="n"/>
      <c r="G69" s="48" t="n"/>
      <c r="H69" s="51" t="n"/>
      <c r="I69" s="51" t="n"/>
    </row>
    <row r="70" ht="15" customHeight="1" s="30">
      <c r="A70" s="48" t="n"/>
      <c r="B70" s="48" t="n"/>
      <c r="C70" s="48" t="n"/>
      <c r="D70" s="48" t="n"/>
      <c r="E70" s="49" t="n"/>
      <c r="F70" s="50" t="n"/>
      <c r="G70" s="48" t="n"/>
      <c r="H70" s="51" t="n"/>
      <c r="I70" s="51" t="n"/>
    </row>
    <row r="71" ht="15" customHeight="1" s="30">
      <c r="A71" s="48" t="n"/>
      <c r="B71" s="48" t="n"/>
      <c r="C71" s="48" t="n"/>
      <c r="D71" s="48" t="n"/>
      <c r="E71" s="49" t="n"/>
      <c r="F71" s="50" t="n"/>
      <c r="G71" s="48" t="n"/>
      <c r="H71" s="51" t="n"/>
      <c r="I71" s="51" t="n"/>
    </row>
    <row r="72" ht="15" customHeight="1" s="30">
      <c r="A72" s="48" t="n"/>
      <c r="B72" s="48" t="n"/>
      <c r="C72" s="48" t="n"/>
      <c r="D72" s="48" t="n"/>
      <c r="E72" s="49" t="n"/>
      <c r="F72" s="50" t="n"/>
      <c r="G72" s="48" t="n"/>
      <c r="H72" s="51" t="n"/>
      <c r="I72" s="51" t="n"/>
    </row>
    <row r="73" ht="15" customHeight="1" s="30">
      <c r="A73" s="48" t="n"/>
      <c r="B73" s="48" t="n"/>
      <c r="C73" s="48" t="n"/>
      <c r="D73" s="48" t="n"/>
      <c r="E73" s="49" t="n"/>
      <c r="F73" s="50" t="n"/>
      <c r="G73" s="48" t="n"/>
      <c r="H73" s="51" t="n"/>
      <c r="I73" s="51" t="n"/>
    </row>
    <row r="74" ht="15" customHeight="1" s="30">
      <c r="A74" s="48" t="n"/>
      <c r="B74" s="48" t="n"/>
      <c r="C74" s="48" t="n"/>
      <c r="D74" s="48" t="n"/>
      <c r="E74" s="49" t="n"/>
      <c r="F74" s="50" t="n"/>
      <c r="G74" s="48" t="n"/>
      <c r="H74" s="51" t="n"/>
      <c r="I74" s="51" t="n"/>
    </row>
    <row r="75" ht="15" customHeight="1" s="30">
      <c r="A75" s="48" t="n"/>
      <c r="B75" s="48" t="n"/>
      <c r="C75" s="48" t="n"/>
      <c r="D75" s="48" t="n"/>
      <c r="E75" s="49" t="n"/>
      <c r="F75" s="50" t="n"/>
      <c r="G75" s="48" t="n"/>
      <c r="H75" s="51" t="n"/>
      <c r="I75" s="51" t="n"/>
    </row>
    <row r="76" ht="15" customHeight="1" s="30">
      <c r="A76" s="48" t="n"/>
      <c r="B76" s="48" t="n"/>
      <c r="C76" s="48" t="n"/>
      <c r="D76" s="48" t="n"/>
      <c r="E76" s="49" t="n"/>
      <c r="F76" s="50" t="n"/>
      <c r="G76" s="48" t="n"/>
      <c r="H76" s="51" t="n"/>
      <c r="I76" s="51" t="n"/>
    </row>
    <row r="77" ht="15" customHeight="1" s="30">
      <c r="A77" s="48" t="n"/>
      <c r="B77" s="48" t="n"/>
      <c r="C77" s="48" t="n"/>
      <c r="D77" s="48" t="n"/>
      <c r="E77" s="49" t="n"/>
      <c r="F77" s="50" t="n"/>
      <c r="G77" s="48" t="n"/>
      <c r="H77" s="51" t="n"/>
      <c r="I77" s="51" t="n"/>
    </row>
    <row r="78" ht="15" customHeight="1" s="30">
      <c r="A78" s="48" t="n"/>
      <c r="B78" s="48" t="n"/>
      <c r="C78" s="48" t="n"/>
      <c r="D78" s="48" t="n"/>
      <c r="E78" s="49" t="n"/>
      <c r="F78" s="50" t="n"/>
      <c r="G78" s="48" t="n"/>
      <c r="H78" s="51" t="n"/>
      <c r="I78" s="51" t="n"/>
    </row>
    <row r="79" ht="15" customHeight="1" s="30">
      <c r="A79" s="48" t="n"/>
      <c r="B79" s="48" t="n"/>
      <c r="C79" s="48" t="n"/>
      <c r="D79" s="48" t="n"/>
      <c r="E79" s="49" t="n"/>
      <c r="F79" s="50" t="n"/>
      <c r="G79" s="48" t="n"/>
      <c r="H79" s="51" t="n"/>
      <c r="I79" s="51" t="n"/>
    </row>
    <row r="80" ht="15" customHeight="1" s="30">
      <c r="A80" s="48" t="n"/>
      <c r="B80" s="48" t="n"/>
      <c r="C80" s="48" t="n"/>
      <c r="D80" s="48" t="n"/>
      <c r="E80" s="49" t="n"/>
      <c r="F80" s="50" t="n"/>
      <c r="G80" s="48" t="n"/>
      <c r="H80" s="51" t="n"/>
      <c r="I80" s="51" t="n"/>
    </row>
    <row r="81" ht="15" customHeight="1" s="30">
      <c r="A81" s="48" t="n"/>
      <c r="B81" s="48" t="n"/>
      <c r="C81" s="48" t="n"/>
      <c r="D81" s="48" t="n"/>
      <c r="E81" s="49" t="n"/>
      <c r="F81" s="50" t="n"/>
      <c r="G81" s="48" t="n"/>
      <c r="H81" s="51" t="n"/>
      <c r="I81" s="51" t="n"/>
    </row>
    <row r="82" ht="15" customHeight="1" s="30">
      <c r="A82" s="48" t="n"/>
      <c r="B82" s="48" t="n"/>
      <c r="C82" s="48" t="n"/>
      <c r="D82" s="48" t="n"/>
      <c r="E82" s="49" t="n"/>
      <c r="F82" s="50" t="n"/>
      <c r="G82" s="48" t="n"/>
      <c r="H82" s="51" t="n"/>
      <c r="I82" s="51" t="n"/>
    </row>
    <row r="83" ht="15" customHeight="1" s="30">
      <c r="A83" s="48" t="n"/>
      <c r="B83" s="48" t="n"/>
      <c r="C83" s="48" t="n"/>
      <c r="D83" s="48" t="n"/>
      <c r="E83" s="49" t="n"/>
      <c r="F83" s="50" t="n"/>
      <c r="G83" s="48" t="n"/>
      <c r="H83" s="51" t="n"/>
      <c r="I83" s="51" t="n"/>
    </row>
    <row r="84" ht="15" customHeight="1" s="30">
      <c r="A84" s="48" t="n"/>
      <c r="B84" s="48" t="n"/>
      <c r="C84" s="48" t="n"/>
      <c r="D84" s="48" t="n"/>
      <c r="E84" s="49" t="n"/>
      <c r="F84" s="50" t="n"/>
      <c r="G84" s="48" t="n"/>
      <c r="H84" s="51" t="n"/>
      <c r="I84" s="51" t="n"/>
    </row>
    <row r="85" ht="15" customHeight="1" s="30">
      <c r="A85" s="48" t="n"/>
      <c r="B85" s="48" t="n"/>
      <c r="C85" s="48" t="n"/>
      <c r="D85" s="48" t="n"/>
      <c r="E85" s="49" t="n"/>
      <c r="F85" s="50" t="n"/>
      <c r="G85" s="48" t="n"/>
      <c r="H85" s="51" t="n"/>
      <c r="I85" s="51" t="n"/>
    </row>
    <row r="86" ht="15" customHeight="1" s="30">
      <c r="A86" s="48" t="n"/>
      <c r="B86" s="48" t="n"/>
      <c r="C86" s="48" t="n"/>
      <c r="D86" s="48" t="n"/>
      <c r="E86" s="49" t="n"/>
      <c r="F86" s="50" t="n"/>
      <c r="G86" s="48" t="n"/>
      <c r="H86" s="51" t="n"/>
      <c r="I86" s="51" t="n"/>
    </row>
    <row r="87" ht="15" customHeight="1" s="30">
      <c r="A87" s="48" t="n"/>
      <c r="B87" s="48" t="n"/>
      <c r="C87" s="48" t="n"/>
      <c r="D87" s="48" t="n"/>
      <c r="E87" s="49" t="n"/>
      <c r="F87" s="50" t="n"/>
      <c r="G87" s="48" t="n"/>
      <c r="H87" s="51" t="n"/>
      <c r="I87" s="51" t="n"/>
    </row>
    <row r="88" ht="15" customHeight="1" s="30">
      <c r="A88" s="48" t="n"/>
      <c r="B88" s="48" t="n"/>
      <c r="C88" s="48" t="n"/>
      <c r="D88" s="48" t="n"/>
      <c r="E88" s="49" t="n"/>
      <c r="F88" s="50" t="n"/>
      <c r="G88" s="48" t="n"/>
      <c r="H88" s="51" t="n"/>
      <c r="I88" s="51" t="n"/>
    </row>
    <row r="89" ht="15" customHeight="1" s="30">
      <c r="A89" s="48" t="n"/>
      <c r="B89" s="48" t="n"/>
      <c r="C89" s="48" t="n"/>
      <c r="D89" s="48" t="n"/>
      <c r="E89" s="49" t="n"/>
      <c r="F89" s="50" t="n"/>
      <c r="G89" s="48" t="n"/>
      <c r="H89" s="51" t="n"/>
      <c r="I89" s="51" t="n"/>
    </row>
    <row r="90" ht="15" customHeight="1" s="30">
      <c r="A90" s="48" t="n"/>
      <c r="B90" s="48" t="n"/>
      <c r="C90" s="48" t="n"/>
      <c r="D90" s="48" t="n"/>
      <c r="E90" s="49" t="n"/>
      <c r="F90" s="50" t="n"/>
      <c r="G90" s="48" t="n"/>
      <c r="H90" s="51" t="n"/>
      <c r="I90" s="51" t="n"/>
    </row>
    <row r="91" ht="15" customHeight="1" s="30">
      <c r="A91" s="48" t="n"/>
      <c r="B91" s="48" t="n"/>
      <c r="C91" s="48" t="n"/>
      <c r="D91" s="48" t="n"/>
      <c r="E91" s="49" t="n"/>
      <c r="F91" s="50" t="n"/>
      <c r="G91" s="48" t="n"/>
      <c r="H91" s="51" t="n"/>
      <c r="I91" s="51" t="n"/>
    </row>
    <row r="92" ht="15" customHeight="1" s="30">
      <c r="A92" s="48" t="n"/>
      <c r="B92" s="48" t="n"/>
      <c r="C92" s="48" t="n"/>
      <c r="D92" s="48" t="n"/>
      <c r="E92" s="49" t="n"/>
      <c r="F92" s="50" t="n"/>
      <c r="G92" s="48" t="n"/>
      <c r="H92" s="51" t="n"/>
      <c r="I92" s="51" t="n"/>
    </row>
    <row r="93" ht="15" customHeight="1" s="30">
      <c r="A93" s="48" t="n"/>
      <c r="B93" s="48" t="n"/>
      <c r="C93" s="48" t="n"/>
      <c r="D93" s="48" t="n"/>
      <c r="E93" s="49" t="n"/>
      <c r="F93" s="50" t="n"/>
      <c r="G93" s="48" t="n"/>
      <c r="H93" s="51" t="n"/>
      <c r="I93" s="51" t="n"/>
    </row>
    <row r="94" ht="15" customHeight="1" s="30">
      <c r="A94" s="48" t="n"/>
      <c r="B94" s="48" t="n"/>
      <c r="C94" s="48" t="n"/>
      <c r="D94" s="48" t="n"/>
      <c r="E94" s="49" t="n"/>
      <c r="F94" s="50" t="n"/>
      <c r="G94" s="48" t="n"/>
      <c r="H94" s="51" t="n"/>
      <c r="I94" s="51" t="n"/>
    </row>
    <row r="95" ht="15" customHeight="1" s="30">
      <c r="A95" s="48" t="n"/>
      <c r="B95" s="48" t="n"/>
      <c r="C95" s="48" t="n"/>
      <c r="D95" s="48" t="n"/>
      <c r="E95" s="49" t="n"/>
      <c r="F95" s="50" t="n"/>
      <c r="G95" s="48" t="n"/>
      <c r="H95" s="51" t="n"/>
      <c r="I95" s="51" t="n"/>
    </row>
    <row r="96" ht="15" customHeight="1" s="30">
      <c r="A96" s="48" t="n"/>
      <c r="B96" s="48" t="n"/>
      <c r="C96" s="48" t="n"/>
      <c r="D96" s="48" t="n"/>
      <c r="E96" s="49" t="n"/>
      <c r="F96" s="50" t="n"/>
      <c r="G96" s="48" t="n"/>
      <c r="H96" s="51" t="n"/>
      <c r="I96" s="51" t="n"/>
    </row>
    <row r="97" ht="15" customHeight="1" s="30">
      <c r="A97" s="48" t="n"/>
      <c r="B97" s="48" t="n"/>
      <c r="C97" s="48" t="n"/>
      <c r="D97" s="48" t="n"/>
      <c r="E97" s="49" t="n"/>
      <c r="F97" s="50" t="n"/>
      <c r="G97" s="48" t="n"/>
      <c r="H97" s="51" t="n"/>
      <c r="I97" s="51" t="n"/>
    </row>
    <row r="98" ht="15" customHeight="1" s="30">
      <c r="A98" s="48" t="n"/>
      <c r="B98" s="48" t="n"/>
      <c r="C98" s="48" t="n"/>
      <c r="D98" s="48" t="n"/>
      <c r="E98" s="49" t="n"/>
      <c r="F98" s="50" t="n"/>
      <c r="G98" s="48" t="n"/>
      <c r="H98" s="51" t="n"/>
      <c r="I98" s="51" t="n"/>
    </row>
    <row r="99" ht="15" customHeight="1" s="30">
      <c r="A99" s="48" t="n"/>
      <c r="B99" s="48" t="n"/>
      <c r="C99" s="48" t="n"/>
      <c r="D99" s="48" t="n"/>
      <c r="E99" s="49" t="n"/>
      <c r="F99" s="50" t="n"/>
      <c r="G99" s="48" t="n"/>
      <c r="H99" s="51" t="n"/>
      <c r="I99" s="51" t="n"/>
    </row>
    <row r="100" ht="15" customHeight="1" s="30">
      <c r="A100" s="48" t="n"/>
      <c r="B100" s="48" t="n"/>
      <c r="C100" s="48" t="n"/>
      <c r="D100" s="48" t="n"/>
      <c r="E100" s="49" t="n"/>
      <c r="F100" s="50" t="n"/>
      <c r="G100" s="48" t="n"/>
      <c r="H100" s="51" t="n"/>
      <c r="I100" s="51" t="n"/>
    </row>
    <row r="101" ht="15" customHeight="1" s="30">
      <c r="A101" s="48" t="n"/>
      <c r="B101" s="48" t="n"/>
      <c r="C101" s="48" t="n"/>
      <c r="D101" s="48" t="n"/>
      <c r="E101" s="49" t="n"/>
      <c r="F101" s="50" t="n"/>
      <c r="G101" s="48" t="n"/>
      <c r="H101" s="51" t="n"/>
      <c r="I101" s="51" t="n"/>
    </row>
    <row r="102" ht="15" customHeight="1" s="30">
      <c r="A102" s="48" t="n"/>
      <c r="B102" s="48" t="n"/>
      <c r="C102" s="48" t="n"/>
      <c r="D102" s="48" t="n"/>
      <c r="E102" s="49" t="n"/>
      <c r="F102" s="50" t="n"/>
      <c r="G102" s="48" t="n"/>
      <c r="H102" s="51" t="n"/>
      <c r="I102" s="51" t="n"/>
    </row>
    <row r="103" ht="15" customHeight="1" s="30">
      <c r="A103" s="48" t="n"/>
      <c r="B103" s="48" t="n"/>
      <c r="C103" s="48" t="n"/>
      <c r="D103" s="48" t="n"/>
      <c r="E103" s="49" t="n"/>
      <c r="F103" s="50" t="n"/>
      <c r="G103" s="48" t="n"/>
      <c r="H103" s="51" t="n"/>
      <c r="I103" s="5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29" min="1" max="1"/>
    <col width="13" customWidth="1" style="29" min="2" max="2"/>
    <col width="11" customWidth="1" style="29" min="3" max="3"/>
    <col width="30" customWidth="1" style="29" min="4" max="4"/>
    <col width="32" customWidth="1" style="29" min="5" max="5"/>
    <col width="20" customWidth="1" style="29" min="6" max="6"/>
    <col width="9" customWidth="1" style="29" min="7" max="7"/>
    <col width="20" customWidth="1" style="29" min="8" max="8"/>
    <col width="13" customWidth="1" style="29" min="9" max="9"/>
    <col width="14" customWidth="1" style="29" min="10" max="10"/>
    <col width="16" customWidth="1" style="29" min="11" max="11"/>
    <col width="18" customWidth="1" style="29" min="12" max="12"/>
    <col width="8" customWidth="1" style="29" min="13" max="14"/>
    <col width="24" customWidth="1" style="29" min="15" max="15"/>
  </cols>
  <sheetData>
    <row r="1" ht="17.35" customHeight="1" s="30">
      <c r="A1" s="31" t="inlineStr">
        <is>
          <t>SỔ THEO DÕI BÁO GIÁ</t>
        </is>
      </c>
    </row>
    <row r="2" ht="15" customHeight="1" s="30">
      <c r="A2" s="32" t="inlineStr">
        <is>
          <t>Nhập cột chữ xanh · cột chữ đen tự tính</t>
        </is>
      </c>
    </row>
    <row r="3" ht="31.5" customHeight="1" s="30">
      <c r="A3" s="39" t="inlineStr">
        <is>
          <t>Mã báo giá</t>
        </is>
      </c>
      <c r="B3" s="39" t="inlineStr">
        <is>
          <t>Ngày báo giá</t>
        </is>
      </c>
      <c r="C3" s="39" t="inlineStr">
        <is>
          <t>Mã KH</t>
        </is>
      </c>
      <c r="D3" s="39" t="inlineStr">
        <is>
          <t>Tên khách hàng</t>
        </is>
      </c>
      <c r="E3" s="39" t="inlineStr">
        <is>
          <t>Nội dung / hạng mục</t>
        </is>
      </c>
      <c r="F3" s="39" t="inlineStr">
        <is>
          <t>Giá trị trước VAT (VNĐ)</t>
        </is>
      </c>
      <c r="G3" s="39" t="inlineStr">
        <is>
          <t>VAT (%)</t>
        </is>
      </c>
      <c r="H3" s="39" t="inlineStr">
        <is>
          <t>Giá trị sau VAT (VNĐ)</t>
        </is>
      </c>
      <c r="I3" s="39" t="inlineStr">
        <is>
          <t>Hiệu lực đến</t>
        </is>
      </c>
      <c r="J3" s="39" t="inlineStr">
        <is>
          <t>Trạng thái</t>
        </is>
      </c>
      <c r="K3" s="39" t="inlineStr">
        <is>
          <t>Mã PO (khi thắng)</t>
        </is>
      </c>
      <c r="L3" s="39" t="inlineStr">
        <is>
          <t>NV phụ trách</t>
        </is>
      </c>
      <c r="M3" s="39" t="inlineStr">
        <is>
          <t>Tháng</t>
        </is>
      </c>
      <c r="N3" s="39" t="inlineStr">
        <is>
          <t>Năm</t>
        </is>
      </c>
      <c r="O3" s="39" t="inlineStr">
        <is>
          <t>Ghi chú</t>
        </is>
      </c>
      <c r="P3" s="47" t="inlineStr">
        <is>
          <t>Ngày chốt đơn</t>
        </is>
      </c>
      <c r="Q3" s="47" t="inlineStr">
        <is>
          <t>Tháng chốt</t>
        </is>
      </c>
      <c r="R3" s="47" t="inlineStr">
        <is>
          <t>Năm chốt</t>
        </is>
      </c>
    </row>
    <row r="4" ht="15" customHeight="1" s="30">
      <c r="A4" s="48" t="inlineStr">
        <is>
          <t>BG2026-001</t>
        </is>
      </c>
      <c r="B4" s="52" t="n">
        <v>46027</v>
      </c>
      <c r="C4" s="48" t="inlineStr">
        <is>
          <t>KH001</t>
        </is>
      </c>
      <c r="D4" s="35">
        <f>IFERROR(INDEX('Khách hàng'!$B$4:$B$103,MATCH($C4,'Khách hàng'!$A$4:$A$103,0)),"")</f>
        <v/>
      </c>
      <c r="E4" s="48" t="inlineStr">
        <is>
          <t>Cung cấp vật tư theo YCKH ngày 03/01</t>
        </is>
      </c>
      <c r="F4" s="50" t="n">
        <v>250000000</v>
      </c>
      <c r="G4" s="53" t="n">
        <v>0.08</v>
      </c>
      <c r="H4" s="41">
        <f>IFERROR($F4*(1+$G4),"")</f>
        <v/>
      </c>
      <c r="I4" s="52" t="n">
        <v>46058</v>
      </c>
      <c r="J4" s="48" t="inlineStr">
        <is>
          <t>Thắng</t>
        </is>
      </c>
      <c r="K4" s="48" t="inlineStr">
        <is>
          <t>PO2026-001</t>
        </is>
      </c>
      <c r="L4" s="48" t="inlineStr">
        <is>
          <t>Nguyễn Văn A</t>
        </is>
      </c>
      <c r="M4" s="54">
        <f>IFERROR(MONTH($B4),"")</f>
        <v/>
      </c>
      <c r="N4" s="54">
        <f>IFERROR(YEAR($B4),"")</f>
        <v/>
      </c>
      <c r="O4" s="48" t="inlineStr">
        <is>
          <t>Dòng ví dụ - xoá trước khi dùng</t>
        </is>
      </c>
      <c r="P4" s="55" t="n">
        <v>46037</v>
      </c>
      <c r="Q4" s="56">
        <f>IFERROR(MONTH(IF($P4="",$B4,$P4)),"")</f>
        <v/>
      </c>
      <c r="R4" s="56">
        <f>IFERROR(YEAR(IF($P4="",$B4,$P4)),"")</f>
        <v/>
      </c>
    </row>
    <row r="5" ht="15" customHeight="1" s="30">
      <c r="A5" s="48" t="n"/>
      <c r="B5" s="52" t="n"/>
      <c r="C5" s="48" t="n"/>
      <c r="D5" s="35">
        <f>IFERROR(INDEX('Khách hàng'!$B$4:$B$103,MATCH($C5,'Khách hàng'!$A$4:$A$103,0)),"")</f>
        <v/>
      </c>
      <c r="E5" s="48" t="n"/>
      <c r="F5" s="50" t="n"/>
      <c r="G5" s="53" t="n"/>
      <c r="H5" s="41">
        <f>IFERROR($F5*(1+$G5),"")</f>
        <v/>
      </c>
      <c r="I5" s="52" t="n"/>
      <c r="J5" s="48" t="n"/>
      <c r="K5" s="48" t="n"/>
      <c r="L5" s="48" t="n"/>
      <c r="M5" s="54">
        <f>IFERROR(MONTH($B5),"")</f>
        <v/>
      </c>
      <c r="N5" s="54">
        <f>IFERROR(YEAR($B5),"")</f>
        <v/>
      </c>
      <c r="O5" s="48" t="n"/>
      <c r="P5" s="55" t="n"/>
      <c r="Q5" s="56">
        <f>IFERROR(MONTH(IF($P5="",$B5,$P5)),"")</f>
        <v/>
      </c>
      <c r="R5" s="56">
        <f>IFERROR(YEAR(IF($P5="",$B5,$P5)),"")</f>
        <v/>
      </c>
    </row>
    <row r="6" ht="15" customHeight="1" s="30">
      <c r="A6" s="48" t="n"/>
      <c r="B6" s="52" t="n"/>
      <c r="C6" s="48" t="n"/>
      <c r="D6" s="35">
        <f>IFERROR(INDEX('Khách hàng'!$B$4:$B$103,MATCH($C6,'Khách hàng'!$A$4:$A$103,0)),"")</f>
        <v/>
      </c>
      <c r="E6" s="48" t="n"/>
      <c r="F6" s="50" t="n"/>
      <c r="G6" s="53" t="n"/>
      <c r="H6" s="41">
        <f>IFERROR($F6*(1+$G6),"")</f>
        <v/>
      </c>
      <c r="I6" s="52" t="n"/>
      <c r="J6" s="48" t="n"/>
      <c r="K6" s="48" t="n"/>
      <c r="L6" s="48" t="n"/>
      <c r="M6" s="54">
        <f>IFERROR(MONTH($B6),"")</f>
        <v/>
      </c>
      <c r="N6" s="54">
        <f>IFERROR(YEAR($B6),"")</f>
        <v/>
      </c>
      <c r="O6" s="48" t="n"/>
      <c r="P6" s="55" t="n"/>
      <c r="Q6" s="56">
        <f>IFERROR(MONTH(IF($P6="",$B6,$P6)),"")</f>
        <v/>
      </c>
      <c r="R6" s="56">
        <f>IFERROR(YEAR(IF($P6="",$B6,$P6)),"")</f>
        <v/>
      </c>
    </row>
    <row r="7" ht="15" customHeight="1" s="30">
      <c r="A7" s="48" t="n"/>
      <c r="B7" s="52" t="n"/>
      <c r="C7" s="48" t="n"/>
      <c r="D7" s="35">
        <f>IFERROR(INDEX('Khách hàng'!$B$4:$B$103,MATCH($C7,'Khách hàng'!$A$4:$A$103,0)),"")</f>
        <v/>
      </c>
      <c r="E7" s="48" t="n"/>
      <c r="F7" s="50" t="n"/>
      <c r="G7" s="53" t="n"/>
      <c r="H7" s="41">
        <f>IFERROR($F7*(1+$G7),"")</f>
        <v/>
      </c>
      <c r="I7" s="52" t="n"/>
      <c r="J7" s="48" t="n"/>
      <c r="K7" s="48" t="n"/>
      <c r="L7" s="48" t="n"/>
      <c r="M7" s="54">
        <f>IFERROR(MONTH($B7),"")</f>
        <v/>
      </c>
      <c r="N7" s="54">
        <f>IFERROR(YEAR($B7),"")</f>
        <v/>
      </c>
      <c r="O7" s="48" t="n"/>
      <c r="P7" s="55" t="n"/>
      <c r="Q7" s="56">
        <f>IFERROR(MONTH(IF($P7="",$B7,$P7)),"")</f>
        <v/>
      </c>
      <c r="R7" s="56">
        <f>IFERROR(YEAR(IF($P7="",$B7,$P7)),"")</f>
        <v/>
      </c>
    </row>
    <row r="8" ht="15" customHeight="1" s="30">
      <c r="A8" s="48" t="n"/>
      <c r="B8" s="52" t="n"/>
      <c r="C8" s="48" t="n"/>
      <c r="D8" s="35">
        <f>IFERROR(INDEX('Khách hàng'!$B$4:$B$103,MATCH($C8,'Khách hàng'!$A$4:$A$103,0)),"")</f>
        <v/>
      </c>
      <c r="E8" s="48" t="n"/>
      <c r="F8" s="50" t="n"/>
      <c r="G8" s="53" t="n"/>
      <c r="H8" s="41">
        <f>IFERROR($F8*(1+$G8),"")</f>
        <v/>
      </c>
      <c r="I8" s="52" t="n"/>
      <c r="J8" s="48" t="n"/>
      <c r="K8" s="48" t="n"/>
      <c r="L8" s="48" t="n"/>
      <c r="M8" s="54">
        <f>IFERROR(MONTH($B8),"")</f>
        <v/>
      </c>
      <c r="N8" s="54">
        <f>IFERROR(YEAR($B8),"")</f>
        <v/>
      </c>
      <c r="O8" s="48" t="n"/>
      <c r="P8" s="55" t="n"/>
      <c r="Q8" s="56">
        <f>IFERROR(MONTH(IF($P8="",$B8,$P8)),"")</f>
        <v/>
      </c>
      <c r="R8" s="56">
        <f>IFERROR(YEAR(IF($P8="",$B8,$P8)),"")</f>
        <v/>
      </c>
    </row>
    <row r="9" ht="15" customHeight="1" s="30">
      <c r="A9" s="48" t="n"/>
      <c r="B9" s="52" t="n"/>
      <c r="C9" s="48" t="n"/>
      <c r="D9" s="35">
        <f>IFERROR(INDEX('Khách hàng'!$B$4:$B$103,MATCH($C9,'Khách hàng'!$A$4:$A$103,0)),"")</f>
        <v/>
      </c>
      <c r="E9" s="48" t="n"/>
      <c r="F9" s="50" t="n"/>
      <c r="G9" s="53" t="n"/>
      <c r="H9" s="41">
        <f>IFERROR($F9*(1+$G9),"")</f>
        <v/>
      </c>
      <c r="I9" s="52" t="n"/>
      <c r="J9" s="48" t="n"/>
      <c r="K9" s="48" t="n"/>
      <c r="L9" s="48" t="n"/>
      <c r="M9" s="54">
        <f>IFERROR(MONTH($B9),"")</f>
        <v/>
      </c>
      <c r="N9" s="54">
        <f>IFERROR(YEAR($B9),"")</f>
        <v/>
      </c>
      <c r="O9" s="48" t="n"/>
      <c r="P9" s="55" t="n"/>
      <c r="Q9" s="56">
        <f>IFERROR(MONTH(IF($P9="",$B9,$P9)),"")</f>
        <v/>
      </c>
      <c r="R9" s="56">
        <f>IFERROR(YEAR(IF($P9="",$B9,$P9)),"")</f>
        <v/>
      </c>
    </row>
    <row r="10" ht="15" customHeight="1" s="30">
      <c r="A10" s="48" t="n"/>
      <c r="B10" s="52" t="n"/>
      <c r="C10" s="48" t="n"/>
      <c r="D10" s="35">
        <f>IFERROR(INDEX('Khách hàng'!$B$4:$B$103,MATCH($C10,'Khách hàng'!$A$4:$A$103,0)),"")</f>
        <v/>
      </c>
      <c r="E10" s="48" t="n"/>
      <c r="F10" s="50" t="n"/>
      <c r="G10" s="53" t="n"/>
      <c r="H10" s="41">
        <f>IFERROR($F10*(1+$G10),"")</f>
        <v/>
      </c>
      <c r="I10" s="52" t="n"/>
      <c r="J10" s="48" t="n"/>
      <c r="K10" s="48" t="n"/>
      <c r="L10" s="48" t="n"/>
      <c r="M10" s="54">
        <f>IFERROR(MONTH($B10),"")</f>
        <v/>
      </c>
      <c r="N10" s="54">
        <f>IFERROR(YEAR($B10),"")</f>
        <v/>
      </c>
      <c r="O10" s="48" t="n"/>
      <c r="P10" s="55" t="n"/>
      <c r="Q10" s="56">
        <f>IFERROR(MONTH(IF($P10="",$B10,$P10)),"")</f>
        <v/>
      </c>
      <c r="R10" s="56">
        <f>IFERROR(YEAR(IF($P10="",$B10,$P10)),"")</f>
        <v/>
      </c>
    </row>
    <row r="11" ht="15" customHeight="1" s="30">
      <c r="A11" s="48" t="n"/>
      <c r="B11" s="52" t="n"/>
      <c r="C11" s="48" t="n"/>
      <c r="D11" s="35">
        <f>IFERROR(INDEX('Khách hàng'!$B$4:$B$103,MATCH($C11,'Khách hàng'!$A$4:$A$103,0)),"")</f>
        <v/>
      </c>
      <c r="E11" s="48" t="n"/>
      <c r="F11" s="50" t="n"/>
      <c r="G11" s="53" t="n"/>
      <c r="H11" s="41">
        <f>IFERROR($F11*(1+$G11),"")</f>
        <v/>
      </c>
      <c r="I11" s="52" t="n"/>
      <c r="J11" s="48" t="n"/>
      <c r="K11" s="48" t="n"/>
      <c r="L11" s="48" t="n"/>
      <c r="M11" s="54">
        <f>IFERROR(MONTH($B11),"")</f>
        <v/>
      </c>
      <c r="N11" s="54">
        <f>IFERROR(YEAR($B11),"")</f>
        <v/>
      </c>
      <c r="O11" s="48" t="n"/>
      <c r="P11" s="55" t="n"/>
      <c r="Q11" s="56">
        <f>IFERROR(MONTH(IF($P11="",$B11,$P11)),"")</f>
        <v/>
      </c>
      <c r="R11" s="56">
        <f>IFERROR(YEAR(IF($P11="",$B11,$P11)),"")</f>
        <v/>
      </c>
    </row>
    <row r="12" ht="15" customHeight="1" s="30">
      <c r="A12" s="48" t="n"/>
      <c r="B12" s="52" t="n"/>
      <c r="C12" s="48" t="n"/>
      <c r="D12" s="35">
        <f>IFERROR(INDEX('Khách hàng'!$B$4:$B$103,MATCH($C12,'Khách hàng'!$A$4:$A$103,0)),"")</f>
        <v/>
      </c>
      <c r="E12" s="48" t="n"/>
      <c r="F12" s="50" t="n"/>
      <c r="G12" s="53" t="n"/>
      <c r="H12" s="41">
        <f>IFERROR($F12*(1+$G12),"")</f>
        <v/>
      </c>
      <c r="I12" s="52" t="n"/>
      <c r="J12" s="48" t="n"/>
      <c r="K12" s="48" t="n"/>
      <c r="L12" s="48" t="n"/>
      <c r="M12" s="54">
        <f>IFERROR(MONTH($B12),"")</f>
        <v/>
      </c>
      <c r="N12" s="54">
        <f>IFERROR(YEAR($B12),"")</f>
        <v/>
      </c>
      <c r="O12" s="48" t="n"/>
      <c r="P12" s="55" t="n"/>
      <c r="Q12" s="56">
        <f>IFERROR(MONTH(IF($P12="",$B12,$P12)),"")</f>
        <v/>
      </c>
      <c r="R12" s="56">
        <f>IFERROR(YEAR(IF($P12="",$B12,$P12)),"")</f>
        <v/>
      </c>
    </row>
    <row r="13" ht="15" customHeight="1" s="30">
      <c r="A13" s="48" t="n"/>
      <c r="B13" s="52" t="n"/>
      <c r="C13" s="48" t="n"/>
      <c r="D13" s="35">
        <f>IFERROR(INDEX('Khách hàng'!$B$4:$B$103,MATCH($C13,'Khách hàng'!$A$4:$A$103,0)),"")</f>
        <v/>
      </c>
      <c r="E13" s="48" t="n"/>
      <c r="F13" s="50" t="n"/>
      <c r="G13" s="53" t="n"/>
      <c r="H13" s="41">
        <f>IFERROR($F13*(1+$G13),"")</f>
        <v/>
      </c>
      <c r="I13" s="52" t="n"/>
      <c r="J13" s="48" t="n"/>
      <c r="K13" s="48" t="n"/>
      <c r="L13" s="48" t="n"/>
      <c r="M13" s="54">
        <f>IFERROR(MONTH($B13),"")</f>
        <v/>
      </c>
      <c r="N13" s="54">
        <f>IFERROR(YEAR($B13),"")</f>
        <v/>
      </c>
      <c r="O13" s="48" t="n"/>
      <c r="P13" s="55" t="n"/>
      <c r="Q13" s="56">
        <f>IFERROR(MONTH(IF($P13="",$B13,$P13)),"")</f>
        <v/>
      </c>
      <c r="R13" s="56">
        <f>IFERROR(YEAR(IF($P13="",$B13,$P13)),"")</f>
        <v/>
      </c>
    </row>
    <row r="14" ht="15" customHeight="1" s="30">
      <c r="A14" s="48" t="n"/>
      <c r="B14" s="52" t="n"/>
      <c r="C14" s="48" t="n"/>
      <c r="D14" s="35">
        <f>IFERROR(INDEX('Khách hàng'!$B$4:$B$103,MATCH($C14,'Khách hàng'!$A$4:$A$103,0)),"")</f>
        <v/>
      </c>
      <c r="E14" s="48" t="n"/>
      <c r="F14" s="50" t="n"/>
      <c r="G14" s="53" t="n"/>
      <c r="H14" s="41">
        <f>IFERROR($F14*(1+$G14),"")</f>
        <v/>
      </c>
      <c r="I14" s="52" t="n"/>
      <c r="J14" s="48" t="n"/>
      <c r="K14" s="48" t="n"/>
      <c r="L14" s="48" t="n"/>
      <c r="M14" s="54">
        <f>IFERROR(MONTH($B14),"")</f>
        <v/>
      </c>
      <c r="N14" s="54">
        <f>IFERROR(YEAR($B14),"")</f>
        <v/>
      </c>
      <c r="O14" s="48" t="n"/>
      <c r="P14" s="55" t="n"/>
      <c r="Q14" s="56">
        <f>IFERROR(MONTH(IF($P14="",$B14,$P14)),"")</f>
        <v/>
      </c>
      <c r="R14" s="56">
        <f>IFERROR(YEAR(IF($P14="",$B14,$P14)),"")</f>
        <v/>
      </c>
    </row>
    <row r="15" ht="15" customHeight="1" s="30">
      <c r="A15" s="48" t="n"/>
      <c r="B15" s="52" t="n"/>
      <c r="C15" s="48" t="n"/>
      <c r="D15" s="35">
        <f>IFERROR(INDEX('Khách hàng'!$B$4:$B$103,MATCH($C15,'Khách hàng'!$A$4:$A$103,0)),"")</f>
        <v/>
      </c>
      <c r="E15" s="48" t="n"/>
      <c r="F15" s="50" t="n"/>
      <c r="G15" s="53" t="n"/>
      <c r="H15" s="41">
        <f>IFERROR($F15*(1+$G15),"")</f>
        <v/>
      </c>
      <c r="I15" s="52" t="n"/>
      <c r="J15" s="48" t="n"/>
      <c r="K15" s="48" t="n"/>
      <c r="L15" s="48" t="n"/>
      <c r="M15" s="54">
        <f>IFERROR(MONTH($B15),"")</f>
        <v/>
      </c>
      <c r="N15" s="54">
        <f>IFERROR(YEAR($B15),"")</f>
        <v/>
      </c>
      <c r="O15" s="48" t="n"/>
      <c r="P15" s="55" t="n"/>
      <c r="Q15" s="56">
        <f>IFERROR(MONTH(IF($P15="",$B15,$P15)),"")</f>
        <v/>
      </c>
      <c r="R15" s="56">
        <f>IFERROR(YEAR(IF($P15="",$B15,$P15)),"")</f>
        <v/>
      </c>
    </row>
    <row r="16" ht="15" customHeight="1" s="30">
      <c r="A16" s="48" t="n"/>
      <c r="B16" s="52" t="n"/>
      <c r="C16" s="48" t="n"/>
      <c r="D16" s="35">
        <f>IFERROR(INDEX('Khách hàng'!$B$4:$B$103,MATCH($C16,'Khách hàng'!$A$4:$A$103,0)),"")</f>
        <v/>
      </c>
      <c r="E16" s="48" t="n"/>
      <c r="F16" s="50" t="n"/>
      <c r="G16" s="53" t="n"/>
      <c r="H16" s="41">
        <f>IFERROR($F16*(1+$G16),"")</f>
        <v/>
      </c>
      <c r="I16" s="52" t="n"/>
      <c r="J16" s="48" t="n"/>
      <c r="K16" s="48" t="n"/>
      <c r="L16" s="48" t="n"/>
      <c r="M16" s="54">
        <f>IFERROR(MONTH($B16),"")</f>
        <v/>
      </c>
      <c r="N16" s="54">
        <f>IFERROR(YEAR($B16),"")</f>
        <v/>
      </c>
      <c r="O16" s="48" t="n"/>
      <c r="P16" s="55" t="n"/>
      <c r="Q16" s="56">
        <f>IFERROR(MONTH(IF($P16="",$B16,$P16)),"")</f>
        <v/>
      </c>
      <c r="R16" s="56">
        <f>IFERROR(YEAR(IF($P16="",$B16,$P16)),"")</f>
        <v/>
      </c>
    </row>
    <row r="17" ht="15" customHeight="1" s="30">
      <c r="A17" s="48" t="n"/>
      <c r="B17" s="52" t="n"/>
      <c r="C17" s="48" t="n"/>
      <c r="D17" s="35">
        <f>IFERROR(INDEX('Khách hàng'!$B$4:$B$103,MATCH($C17,'Khách hàng'!$A$4:$A$103,0)),"")</f>
        <v/>
      </c>
      <c r="E17" s="48" t="n"/>
      <c r="F17" s="50" t="n"/>
      <c r="G17" s="53" t="n"/>
      <c r="H17" s="41">
        <f>IFERROR($F17*(1+$G17),"")</f>
        <v/>
      </c>
      <c r="I17" s="52" t="n"/>
      <c r="J17" s="48" t="n"/>
      <c r="K17" s="48" t="n"/>
      <c r="L17" s="48" t="n"/>
      <c r="M17" s="54">
        <f>IFERROR(MONTH($B17),"")</f>
        <v/>
      </c>
      <c r="N17" s="54">
        <f>IFERROR(YEAR($B17),"")</f>
        <v/>
      </c>
      <c r="O17" s="48" t="n"/>
      <c r="P17" s="55" t="n"/>
      <c r="Q17" s="56">
        <f>IFERROR(MONTH(IF($P17="",$B17,$P17)),"")</f>
        <v/>
      </c>
      <c r="R17" s="56">
        <f>IFERROR(YEAR(IF($P17="",$B17,$P17)),"")</f>
        <v/>
      </c>
    </row>
    <row r="18" ht="15" customHeight="1" s="30">
      <c r="A18" s="48" t="n"/>
      <c r="B18" s="52" t="n"/>
      <c r="C18" s="48" t="n"/>
      <c r="D18" s="35">
        <f>IFERROR(INDEX('Khách hàng'!$B$4:$B$103,MATCH($C18,'Khách hàng'!$A$4:$A$103,0)),"")</f>
        <v/>
      </c>
      <c r="E18" s="48" t="n"/>
      <c r="F18" s="50" t="n"/>
      <c r="G18" s="53" t="n"/>
      <c r="H18" s="41">
        <f>IFERROR($F18*(1+$G18),"")</f>
        <v/>
      </c>
      <c r="I18" s="52" t="n"/>
      <c r="J18" s="48" t="n"/>
      <c r="K18" s="48" t="n"/>
      <c r="L18" s="48" t="n"/>
      <c r="M18" s="54">
        <f>IFERROR(MONTH($B18),"")</f>
        <v/>
      </c>
      <c r="N18" s="54">
        <f>IFERROR(YEAR($B18),"")</f>
        <v/>
      </c>
      <c r="O18" s="48" t="n"/>
      <c r="P18" s="55" t="n"/>
      <c r="Q18" s="56">
        <f>IFERROR(MONTH(IF($P18="",$B18,$P18)),"")</f>
        <v/>
      </c>
      <c r="R18" s="56">
        <f>IFERROR(YEAR(IF($P18="",$B18,$P18)),"")</f>
        <v/>
      </c>
    </row>
    <row r="19" ht="15" customHeight="1" s="30">
      <c r="A19" s="48" t="n"/>
      <c r="B19" s="52" t="n"/>
      <c r="C19" s="48" t="n"/>
      <c r="D19" s="35">
        <f>IFERROR(INDEX('Khách hàng'!$B$4:$B$103,MATCH($C19,'Khách hàng'!$A$4:$A$103,0)),"")</f>
        <v/>
      </c>
      <c r="E19" s="48" t="n"/>
      <c r="F19" s="50" t="n"/>
      <c r="G19" s="53" t="n"/>
      <c r="H19" s="41">
        <f>IFERROR($F19*(1+$G19),"")</f>
        <v/>
      </c>
      <c r="I19" s="52" t="n"/>
      <c r="J19" s="48" t="n"/>
      <c r="K19" s="48" t="n"/>
      <c r="L19" s="48" t="n"/>
      <c r="M19" s="54">
        <f>IFERROR(MONTH($B19),"")</f>
        <v/>
      </c>
      <c r="N19" s="54">
        <f>IFERROR(YEAR($B19),"")</f>
        <v/>
      </c>
      <c r="O19" s="48" t="n"/>
      <c r="P19" s="55" t="n"/>
      <c r="Q19" s="56">
        <f>IFERROR(MONTH(IF($P19="",$B19,$P19)),"")</f>
        <v/>
      </c>
      <c r="R19" s="56">
        <f>IFERROR(YEAR(IF($P19="",$B19,$P19)),"")</f>
        <v/>
      </c>
    </row>
    <row r="20" ht="15" customHeight="1" s="30">
      <c r="A20" s="48" t="n"/>
      <c r="B20" s="52" t="n"/>
      <c r="C20" s="48" t="n"/>
      <c r="D20" s="35">
        <f>IFERROR(INDEX('Khách hàng'!$B$4:$B$103,MATCH($C20,'Khách hàng'!$A$4:$A$103,0)),"")</f>
        <v/>
      </c>
      <c r="E20" s="48" t="n"/>
      <c r="F20" s="50" t="n"/>
      <c r="G20" s="53" t="n"/>
      <c r="H20" s="41">
        <f>IFERROR($F20*(1+$G20),"")</f>
        <v/>
      </c>
      <c r="I20" s="52" t="n"/>
      <c r="J20" s="48" t="n"/>
      <c r="K20" s="48" t="n"/>
      <c r="L20" s="48" t="n"/>
      <c r="M20" s="54">
        <f>IFERROR(MONTH($B20),"")</f>
        <v/>
      </c>
      <c r="N20" s="54">
        <f>IFERROR(YEAR($B20),"")</f>
        <v/>
      </c>
      <c r="O20" s="48" t="n"/>
      <c r="P20" s="55" t="n"/>
      <c r="Q20" s="56">
        <f>IFERROR(MONTH(IF($P20="",$B20,$P20)),"")</f>
        <v/>
      </c>
      <c r="R20" s="56">
        <f>IFERROR(YEAR(IF($P20="",$B20,$P20)),"")</f>
        <v/>
      </c>
    </row>
    <row r="21" ht="15" customHeight="1" s="30">
      <c r="A21" s="48" t="n"/>
      <c r="B21" s="52" t="n"/>
      <c r="C21" s="48" t="n"/>
      <c r="D21" s="35">
        <f>IFERROR(INDEX('Khách hàng'!$B$4:$B$103,MATCH($C21,'Khách hàng'!$A$4:$A$103,0)),"")</f>
        <v/>
      </c>
      <c r="E21" s="48" t="n"/>
      <c r="F21" s="50" t="n"/>
      <c r="G21" s="53" t="n"/>
      <c r="H21" s="41">
        <f>IFERROR($F21*(1+$G21),"")</f>
        <v/>
      </c>
      <c r="I21" s="52" t="n"/>
      <c r="J21" s="48" t="n"/>
      <c r="K21" s="48" t="n"/>
      <c r="L21" s="48" t="n"/>
      <c r="M21" s="54">
        <f>IFERROR(MONTH($B21),"")</f>
        <v/>
      </c>
      <c r="N21" s="54">
        <f>IFERROR(YEAR($B21),"")</f>
        <v/>
      </c>
      <c r="O21" s="48" t="n"/>
      <c r="P21" s="55" t="n"/>
      <c r="Q21" s="56">
        <f>IFERROR(MONTH(IF($P21="",$B21,$P21)),"")</f>
        <v/>
      </c>
      <c r="R21" s="56">
        <f>IFERROR(YEAR(IF($P21="",$B21,$P21)),"")</f>
        <v/>
      </c>
    </row>
    <row r="22" ht="15" customHeight="1" s="30">
      <c r="A22" s="48" t="n"/>
      <c r="B22" s="52" t="n"/>
      <c r="C22" s="48" t="n"/>
      <c r="D22" s="35">
        <f>IFERROR(INDEX('Khách hàng'!$B$4:$B$103,MATCH($C22,'Khách hàng'!$A$4:$A$103,0)),"")</f>
        <v/>
      </c>
      <c r="E22" s="48" t="n"/>
      <c r="F22" s="50" t="n"/>
      <c r="G22" s="53" t="n"/>
      <c r="H22" s="41">
        <f>IFERROR($F22*(1+$G22),"")</f>
        <v/>
      </c>
      <c r="I22" s="52" t="n"/>
      <c r="J22" s="48" t="n"/>
      <c r="K22" s="48" t="n"/>
      <c r="L22" s="48" t="n"/>
      <c r="M22" s="54">
        <f>IFERROR(MONTH($B22),"")</f>
        <v/>
      </c>
      <c r="N22" s="54">
        <f>IFERROR(YEAR($B22),"")</f>
        <v/>
      </c>
      <c r="O22" s="48" t="n"/>
      <c r="P22" s="55" t="n"/>
      <c r="Q22" s="56">
        <f>IFERROR(MONTH(IF($P22="",$B22,$P22)),"")</f>
        <v/>
      </c>
      <c r="R22" s="56">
        <f>IFERROR(YEAR(IF($P22="",$B22,$P22)),"")</f>
        <v/>
      </c>
    </row>
    <row r="23" ht="15" customHeight="1" s="30">
      <c r="A23" s="48" t="n"/>
      <c r="B23" s="52" t="n"/>
      <c r="C23" s="48" t="n"/>
      <c r="D23" s="35">
        <f>IFERROR(INDEX('Khách hàng'!$B$4:$B$103,MATCH($C23,'Khách hàng'!$A$4:$A$103,0)),"")</f>
        <v/>
      </c>
      <c r="E23" s="48" t="n"/>
      <c r="F23" s="50" t="n"/>
      <c r="G23" s="53" t="n"/>
      <c r="H23" s="41">
        <f>IFERROR($F23*(1+$G23),"")</f>
        <v/>
      </c>
      <c r="I23" s="52" t="n"/>
      <c r="J23" s="48" t="n"/>
      <c r="K23" s="48" t="n"/>
      <c r="L23" s="48" t="n"/>
      <c r="M23" s="54">
        <f>IFERROR(MONTH($B23),"")</f>
        <v/>
      </c>
      <c r="N23" s="54">
        <f>IFERROR(YEAR($B23),"")</f>
        <v/>
      </c>
      <c r="O23" s="48" t="n"/>
      <c r="P23" s="55" t="n"/>
      <c r="Q23" s="56">
        <f>IFERROR(MONTH(IF($P23="",$B23,$P23)),"")</f>
        <v/>
      </c>
      <c r="R23" s="56">
        <f>IFERROR(YEAR(IF($P23="",$B23,$P23)),"")</f>
        <v/>
      </c>
    </row>
    <row r="24" ht="15" customHeight="1" s="30">
      <c r="A24" s="48" t="n"/>
      <c r="B24" s="52" t="n"/>
      <c r="C24" s="48" t="n"/>
      <c r="D24" s="35">
        <f>IFERROR(INDEX('Khách hàng'!$B$4:$B$103,MATCH($C24,'Khách hàng'!$A$4:$A$103,0)),"")</f>
        <v/>
      </c>
      <c r="E24" s="48" t="n"/>
      <c r="F24" s="50" t="n"/>
      <c r="G24" s="53" t="n"/>
      <c r="H24" s="41">
        <f>IFERROR($F24*(1+$G24),"")</f>
        <v/>
      </c>
      <c r="I24" s="52" t="n"/>
      <c r="J24" s="48" t="n"/>
      <c r="K24" s="48" t="n"/>
      <c r="L24" s="48" t="n"/>
      <c r="M24" s="54">
        <f>IFERROR(MONTH($B24),"")</f>
        <v/>
      </c>
      <c r="N24" s="54">
        <f>IFERROR(YEAR($B24),"")</f>
        <v/>
      </c>
      <c r="O24" s="48" t="n"/>
      <c r="P24" s="55" t="n"/>
      <c r="Q24" s="56">
        <f>IFERROR(MONTH(IF($P24="",$B24,$P24)),"")</f>
        <v/>
      </c>
      <c r="R24" s="56">
        <f>IFERROR(YEAR(IF($P24="",$B24,$P24)),"")</f>
        <v/>
      </c>
    </row>
    <row r="25" ht="15" customHeight="1" s="30">
      <c r="A25" s="48" t="n"/>
      <c r="B25" s="52" t="n"/>
      <c r="C25" s="48" t="n"/>
      <c r="D25" s="35">
        <f>IFERROR(INDEX('Khách hàng'!$B$4:$B$103,MATCH($C25,'Khách hàng'!$A$4:$A$103,0)),"")</f>
        <v/>
      </c>
      <c r="E25" s="48" t="n"/>
      <c r="F25" s="50" t="n"/>
      <c r="G25" s="53" t="n"/>
      <c r="H25" s="41">
        <f>IFERROR($F25*(1+$G25),"")</f>
        <v/>
      </c>
      <c r="I25" s="52" t="n"/>
      <c r="J25" s="48" t="n"/>
      <c r="K25" s="48" t="n"/>
      <c r="L25" s="48" t="n"/>
      <c r="M25" s="54">
        <f>IFERROR(MONTH($B25),"")</f>
        <v/>
      </c>
      <c r="N25" s="54">
        <f>IFERROR(YEAR($B25),"")</f>
        <v/>
      </c>
      <c r="O25" s="48" t="n"/>
      <c r="P25" s="55" t="n"/>
      <c r="Q25" s="56">
        <f>IFERROR(MONTH(IF($P25="",$B25,$P25)),"")</f>
        <v/>
      </c>
      <c r="R25" s="56">
        <f>IFERROR(YEAR(IF($P25="",$B25,$P25)),"")</f>
        <v/>
      </c>
    </row>
    <row r="26" ht="15" customHeight="1" s="30">
      <c r="A26" s="48" t="n"/>
      <c r="B26" s="52" t="n"/>
      <c r="C26" s="48" t="n"/>
      <c r="D26" s="35">
        <f>IFERROR(INDEX('Khách hàng'!$B$4:$B$103,MATCH($C26,'Khách hàng'!$A$4:$A$103,0)),"")</f>
        <v/>
      </c>
      <c r="E26" s="48" t="n"/>
      <c r="F26" s="50" t="n"/>
      <c r="G26" s="53" t="n"/>
      <c r="H26" s="41">
        <f>IFERROR($F26*(1+$G26),"")</f>
        <v/>
      </c>
      <c r="I26" s="52" t="n"/>
      <c r="J26" s="48" t="n"/>
      <c r="K26" s="48" t="n"/>
      <c r="L26" s="48" t="n"/>
      <c r="M26" s="54">
        <f>IFERROR(MONTH($B26),"")</f>
        <v/>
      </c>
      <c r="N26" s="54">
        <f>IFERROR(YEAR($B26),"")</f>
        <v/>
      </c>
      <c r="O26" s="48" t="n"/>
      <c r="P26" s="55" t="n"/>
      <c r="Q26" s="56">
        <f>IFERROR(MONTH(IF($P26="",$B26,$P26)),"")</f>
        <v/>
      </c>
      <c r="R26" s="56">
        <f>IFERROR(YEAR(IF($P26="",$B26,$P26)),"")</f>
        <v/>
      </c>
    </row>
    <row r="27" ht="15" customHeight="1" s="30">
      <c r="A27" s="48" t="n"/>
      <c r="B27" s="52" t="n"/>
      <c r="C27" s="48" t="n"/>
      <c r="D27" s="35">
        <f>IFERROR(INDEX('Khách hàng'!$B$4:$B$103,MATCH($C27,'Khách hàng'!$A$4:$A$103,0)),"")</f>
        <v/>
      </c>
      <c r="E27" s="48" t="n"/>
      <c r="F27" s="50" t="n"/>
      <c r="G27" s="53" t="n"/>
      <c r="H27" s="41">
        <f>IFERROR($F27*(1+$G27),"")</f>
        <v/>
      </c>
      <c r="I27" s="52" t="n"/>
      <c r="J27" s="48" t="n"/>
      <c r="K27" s="48" t="n"/>
      <c r="L27" s="48" t="n"/>
      <c r="M27" s="54">
        <f>IFERROR(MONTH($B27),"")</f>
        <v/>
      </c>
      <c r="N27" s="54">
        <f>IFERROR(YEAR($B27),"")</f>
        <v/>
      </c>
      <c r="O27" s="48" t="n"/>
      <c r="P27" s="55" t="n"/>
      <c r="Q27" s="56">
        <f>IFERROR(MONTH(IF($P27="",$B27,$P27)),"")</f>
        <v/>
      </c>
      <c r="R27" s="56">
        <f>IFERROR(YEAR(IF($P27="",$B27,$P27)),"")</f>
        <v/>
      </c>
    </row>
    <row r="28" ht="15" customHeight="1" s="30">
      <c r="A28" s="48" t="n"/>
      <c r="B28" s="52" t="n"/>
      <c r="C28" s="48" t="n"/>
      <c r="D28" s="35">
        <f>IFERROR(INDEX('Khách hàng'!$B$4:$B$103,MATCH($C28,'Khách hàng'!$A$4:$A$103,0)),"")</f>
        <v/>
      </c>
      <c r="E28" s="48" t="n"/>
      <c r="F28" s="50" t="n"/>
      <c r="G28" s="53" t="n"/>
      <c r="H28" s="41">
        <f>IFERROR($F28*(1+$G28),"")</f>
        <v/>
      </c>
      <c r="I28" s="52" t="n"/>
      <c r="J28" s="48" t="n"/>
      <c r="K28" s="48" t="n"/>
      <c r="L28" s="48" t="n"/>
      <c r="M28" s="54">
        <f>IFERROR(MONTH($B28),"")</f>
        <v/>
      </c>
      <c r="N28" s="54">
        <f>IFERROR(YEAR($B28),"")</f>
        <v/>
      </c>
      <c r="O28" s="48" t="n"/>
      <c r="P28" s="55" t="n"/>
      <c r="Q28" s="56">
        <f>IFERROR(MONTH(IF($P28="",$B28,$P28)),"")</f>
        <v/>
      </c>
      <c r="R28" s="56">
        <f>IFERROR(YEAR(IF($P28="",$B28,$P28)),"")</f>
        <v/>
      </c>
    </row>
    <row r="29" ht="15" customHeight="1" s="30">
      <c r="A29" s="48" t="n"/>
      <c r="B29" s="52" t="n"/>
      <c r="C29" s="48" t="n"/>
      <c r="D29" s="35">
        <f>IFERROR(INDEX('Khách hàng'!$B$4:$B$103,MATCH($C29,'Khách hàng'!$A$4:$A$103,0)),"")</f>
        <v/>
      </c>
      <c r="E29" s="48" t="n"/>
      <c r="F29" s="50" t="n"/>
      <c r="G29" s="53" t="n"/>
      <c r="H29" s="41">
        <f>IFERROR($F29*(1+$G29),"")</f>
        <v/>
      </c>
      <c r="I29" s="52" t="n"/>
      <c r="J29" s="48" t="n"/>
      <c r="K29" s="48" t="n"/>
      <c r="L29" s="48" t="n"/>
      <c r="M29" s="54">
        <f>IFERROR(MONTH($B29),"")</f>
        <v/>
      </c>
      <c r="N29" s="54">
        <f>IFERROR(YEAR($B29),"")</f>
        <v/>
      </c>
      <c r="O29" s="48" t="n"/>
      <c r="P29" s="55" t="n"/>
      <c r="Q29" s="56">
        <f>IFERROR(MONTH(IF($P29="",$B29,$P29)),"")</f>
        <v/>
      </c>
      <c r="R29" s="56">
        <f>IFERROR(YEAR(IF($P29="",$B29,$P29)),"")</f>
        <v/>
      </c>
    </row>
    <row r="30" ht="15" customHeight="1" s="30">
      <c r="A30" s="48" t="n"/>
      <c r="B30" s="52" t="n"/>
      <c r="C30" s="48" t="n"/>
      <c r="D30" s="35">
        <f>IFERROR(INDEX('Khách hàng'!$B$4:$B$103,MATCH($C30,'Khách hàng'!$A$4:$A$103,0)),"")</f>
        <v/>
      </c>
      <c r="E30" s="48" t="n"/>
      <c r="F30" s="50" t="n"/>
      <c r="G30" s="53" t="n"/>
      <c r="H30" s="41">
        <f>IFERROR($F30*(1+$G30),"")</f>
        <v/>
      </c>
      <c r="I30" s="52" t="n"/>
      <c r="J30" s="48" t="n"/>
      <c r="K30" s="48" t="n"/>
      <c r="L30" s="48" t="n"/>
      <c r="M30" s="54">
        <f>IFERROR(MONTH($B30),"")</f>
        <v/>
      </c>
      <c r="N30" s="54">
        <f>IFERROR(YEAR($B30),"")</f>
        <v/>
      </c>
      <c r="O30" s="48" t="n"/>
      <c r="P30" s="55" t="n"/>
      <c r="Q30" s="56">
        <f>IFERROR(MONTH(IF($P30="",$B30,$P30)),"")</f>
        <v/>
      </c>
      <c r="R30" s="56">
        <f>IFERROR(YEAR(IF($P30="",$B30,$P30)),"")</f>
        <v/>
      </c>
    </row>
    <row r="31" ht="15" customHeight="1" s="30">
      <c r="A31" s="48" t="n"/>
      <c r="B31" s="52" t="n"/>
      <c r="C31" s="48" t="n"/>
      <c r="D31" s="35">
        <f>IFERROR(INDEX('Khách hàng'!$B$4:$B$103,MATCH($C31,'Khách hàng'!$A$4:$A$103,0)),"")</f>
        <v/>
      </c>
      <c r="E31" s="48" t="n"/>
      <c r="F31" s="50" t="n"/>
      <c r="G31" s="53" t="n"/>
      <c r="H31" s="41">
        <f>IFERROR($F31*(1+$G31),"")</f>
        <v/>
      </c>
      <c r="I31" s="52" t="n"/>
      <c r="J31" s="48" t="n"/>
      <c r="K31" s="48" t="n"/>
      <c r="L31" s="48" t="n"/>
      <c r="M31" s="54">
        <f>IFERROR(MONTH($B31),"")</f>
        <v/>
      </c>
      <c r="N31" s="54">
        <f>IFERROR(YEAR($B31),"")</f>
        <v/>
      </c>
      <c r="O31" s="48" t="n"/>
      <c r="P31" s="55" t="n"/>
      <c r="Q31" s="56">
        <f>IFERROR(MONTH(IF($P31="",$B31,$P31)),"")</f>
        <v/>
      </c>
      <c r="R31" s="56">
        <f>IFERROR(YEAR(IF($P31="",$B31,$P31)),"")</f>
        <v/>
      </c>
    </row>
    <row r="32" ht="15" customHeight="1" s="30">
      <c r="A32" s="48" t="n"/>
      <c r="B32" s="52" t="n"/>
      <c r="C32" s="48" t="n"/>
      <c r="D32" s="35">
        <f>IFERROR(INDEX('Khách hàng'!$B$4:$B$103,MATCH($C32,'Khách hàng'!$A$4:$A$103,0)),"")</f>
        <v/>
      </c>
      <c r="E32" s="48" t="n"/>
      <c r="F32" s="50" t="n"/>
      <c r="G32" s="53" t="n"/>
      <c r="H32" s="41">
        <f>IFERROR($F32*(1+$G32),"")</f>
        <v/>
      </c>
      <c r="I32" s="52" t="n"/>
      <c r="J32" s="48" t="n"/>
      <c r="K32" s="48" t="n"/>
      <c r="L32" s="48" t="n"/>
      <c r="M32" s="54">
        <f>IFERROR(MONTH($B32),"")</f>
        <v/>
      </c>
      <c r="N32" s="54">
        <f>IFERROR(YEAR($B32),"")</f>
        <v/>
      </c>
      <c r="O32" s="48" t="n"/>
      <c r="P32" s="55" t="n"/>
      <c r="Q32" s="56">
        <f>IFERROR(MONTH(IF($P32="",$B32,$P32)),"")</f>
        <v/>
      </c>
      <c r="R32" s="56">
        <f>IFERROR(YEAR(IF($P32="",$B32,$P32)),"")</f>
        <v/>
      </c>
    </row>
    <row r="33" ht="15" customHeight="1" s="30">
      <c r="A33" s="48" t="n"/>
      <c r="B33" s="52" t="n"/>
      <c r="C33" s="48" t="n"/>
      <c r="D33" s="35">
        <f>IFERROR(INDEX('Khách hàng'!$B$4:$B$103,MATCH($C33,'Khách hàng'!$A$4:$A$103,0)),"")</f>
        <v/>
      </c>
      <c r="E33" s="48" t="n"/>
      <c r="F33" s="50" t="n"/>
      <c r="G33" s="53" t="n"/>
      <c r="H33" s="41">
        <f>IFERROR($F33*(1+$G33),"")</f>
        <v/>
      </c>
      <c r="I33" s="52" t="n"/>
      <c r="J33" s="48" t="n"/>
      <c r="K33" s="48" t="n"/>
      <c r="L33" s="48" t="n"/>
      <c r="M33" s="54">
        <f>IFERROR(MONTH($B33),"")</f>
        <v/>
      </c>
      <c r="N33" s="54">
        <f>IFERROR(YEAR($B33),"")</f>
        <v/>
      </c>
      <c r="O33" s="48" t="n"/>
      <c r="P33" s="55" t="n"/>
      <c r="Q33" s="56">
        <f>IFERROR(MONTH(IF($P33="",$B33,$P33)),"")</f>
        <v/>
      </c>
      <c r="R33" s="56">
        <f>IFERROR(YEAR(IF($P33="",$B33,$P33)),"")</f>
        <v/>
      </c>
    </row>
    <row r="34" ht="15" customHeight="1" s="30">
      <c r="A34" s="48" t="n"/>
      <c r="B34" s="52" t="n"/>
      <c r="C34" s="48" t="n"/>
      <c r="D34" s="35">
        <f>IFERROR(INDEX('Khách hàng'!$B$4:$B$103,MATCH($C34,'Khách hàng'!$A$4:$A$103,0)),"")</f>
        <v/>
      </c>
      <c r="E34" s="48" t="n"/>
      <c r="F34" s="50" t="n"/>
      <c r="G34" s="53" t="n"/>
      <c r="H34" s="41">
        <f>IFERROR($F34*(1+$G34),"")</f>
        <v/>
      </c>
      <c r="I34" s="52" t="n"/>
      <c r="J34" s="48" t="n"/>
      <c r="K34" s="48" t="n"/>
      <c r="L34" s="48" t="n"/>
      <c r="M34" s="54">
        <f>IFERROR(MONTH($B34),"")</f>
        <v/>
      </c>
      <c r="N34" s="54">
        <f>IFERROR(YEAR($B34),"")</f>
        <v/>
      </c>
      <c r="O34" s="48" t="n"/>
      <c r="P34" s="55" t="n"/>
      <c r="Q34" s="56">
        <f>IFERROR(MONTH(IF($P34="",$B34,$P34)),"")</f>
        <v/>
      </c>
      <c r="R34" s="56">
        <f>IFERROR(YEAR(IF($P34="",$B34,$P34)),"")</f>
        <v/>
      </c>
    </row>
    <row r="35" ht="15" customHeight="1" s="30">
      <c r="A35" s="48" t="n"/>
      <c r="B35" s="52" t="n"/>
      <c r="C35" s="48" t="n"/>
      <c r="D35" s="35">
        <f>IFERROR(INDEX('Khách hàng'!$B$4:$B$103,MATCH($C35,'Khách hàng'!$A$4:$A$103,0)),"")</f>
        <v/>
      </c>
      <c r="E35" s="48" t="n"/>
      <c r="F35" s="50" t="n"/>
      <c r="G35" s="53" t="n"/>
      <c r="H35" s="41">
        <f>IFERROR($F35*(1+$G35),"")</f>
        <v/>
      </c>
      <c r="I35" s="52" t="n"/>
      <c r="J35" s="48" t="n"/>
      <c r="K35" s="48" t="n"/>
      <c r="L35" s="48" t="n"/>
      <c r="M35" s="54">
        <f>IFERROR(MONTH($B35),"")</f>
        <v/>
      </c>
      <c r="N35" s="54">
        <f>IFERROR(YEAR($B35),"")</f>
        <v/>
      </c>
      <c r="O35" s="48" t="n"/>
      <c r="P35" s="55" t="n"/>
      <c r="Q35" s="56">
        <f>IFERROR(MONTH(IF($P35="",$B35,$P35)),"")</f>
        <v/>
      </c>
      <c r="R35" s="56">
        <f>IFERROR(YEAR(IF($P35="",$B35,$P35)),"")</f>
        <v/>
      </c>
    </row>
    <row r="36" ht="15" customHeight="1" s="30">
      <c r="A36" s="48" t="n"/>
      <c r="B36" s="52" t="n"/>
      <c r="C36" s="48" t="n"/>
      <c r="D36" s="35">
        <f>IFERROR(INDEX('Khách hàng'!$B$4:$B$103,MATCH($C36,'Khách hàng'!$A$4:$A$103,0)),"")</f>
        <v/>
      </c>
      <c r="E36" s="48" t="n"/>
      <c r="F36" s="50" t="n"/>
      <c r="G36" s="53" t="n"/>
      <c r="H36" s="41">
        <f>IFERROR($F36*(1+$G36),"")</f>
        <v/>
      </c>
      <c r="I36" s="52" t="n"/>
      <c r="J36" s="48" t="n"/>
      <c r="K36" s="48" t="n"/>
      <c r="L36" s="48" t="n"/>
      <c r="M36" s="54">
        <f>IFERROR(MONTH($B36),"")</f>
        <v/>
      </c>
      <c r="N36" s="54">
        <f>IFERROR(YEAR($B36),"")</f>
        <v/>
      </c>
      <c r="O36" s="48" t="n"/>
      <c r="P36" s="55" t="n"/>
      <c r="Q36" s="56">
        <f>IFERROR(MONTH(IF($P36="",$B36,$P36)),"")</f>
        <v/>
      </c>
      <c r="R36" s="56">
        <f>IFERROR(YEAR(IF($P36="",$B36,$P36)),"")</f>
        <v/>
      </c>
    </row>
    <row r="37" ht="15" customHeight="1" s="30">
      <c r="A37" s="48" t="n"/>
      <c r="B37" s="52" t="n"/>
      <c r="C37" s="48" t="n"/>
      <c r="D37" s="35">
        <f>IFERROR(INDEX('Khách hàng'!$B$4:$B$103,MATCH($C37,'Khách hàng'!$A$4:$A$103,0)),"")</f>
        <v/>
      </c>
      <c r="E37" s="48" t="n"/>
      <c r="F37" s="50" t="n"/>
      <c r="G37" s="53" t="n"/>
      <c r="H37" s="41">
        <f>IFERROR($F37*(1+$G37),"")</f>
        <v/>
      </c>
      <c r="I37" s="52" t="n"/>
      <c r="J37" s="48" t="n"/>
      <c r="K37" s="48" t="n"/>
      <c r="L37" s="48" t="n"/>
      <c r="M37" s="54">
        <f>IFERROR(MONTH($B37),"")</f>
        <v/>
      </c>
      <c r="N37" s="54">
        <f>IFERROR(YEAR($B37),"")</f>
        <v/>
      </c>
      <c r="O37" s="48" t="n"/>
      <c r="P37" s="55" t="n"/>
      <c r="Q37" s="56">
        <f>IFERROR(MONTH(IF($P37="",$B37,$P37)),"")</f>
        <v/>
      </c>
      <c r="R37" s="56">
        <f>IFERROR(YEAR(IF($P37="",$B37,$P37)),"")</f>
        <v/>
      </c>
    </row>
    <row r="38" ht="15" customHeight="1" s="30">
      <c r="A38" s="48" t="n"/>
      <c r="B38" s="52" t="n"/>
      <c r="C38" s="48" t="n"/>
      <c r="D38" s="35">
        <f>IFERROR(INDEX('Khách hàng'!$B$4:$B$103,MATCH($C38,'Khách hàng'!$A$4:$A$103,0)),"")</f>
        <v/>
      </c>
      <c r="E38" s="48" t="n"/>
      <c r="F38" s="50" t="n"/>
      <c r="G38" s="53" t="n"/>
      <c r="H38" s="41">
        <f>IFERROR($F38*(1+$G38),"")</f>
        <v/>
      </c>
      <c r="I38" s="52" t="n"/>
      <c r="J38" s="48" t="n"/>
      <c r="K38" s="48" t="n"/>
      <c r="L38" s="48" t="n"/>
      <c r="M38" s="54">
        <f>IFERROR(MONTH($B38),"")</f>
        <v/>
      </c>
      <c r="N38" s="54">
        <f>IFERROR(YEAR($B38),"")</f>
        <v/>
      </c>
      <c r="O38" s="48" t="n"/>
      <c r="P38" s="55" t="n"/>
      <c r="Q38" s="56">
        <f>IFERROR(MONTH(IF($P38="",$B38,$P38)),"")</f>
        <v/>
      </c>
      <c r="R38" s="56">
        <f>IFERROR(YEAR(IF($P38="",$B38,$P38)),"")</f>
        <v/>
      </c>
    </row>
    <row r="39" ht="15" customHeight="1" s="30">
      <c r="A39" s="48" t="n"/>
      <c r="B39" s="52" t="n"/>
      <c r="C39" s="48" t="n"/>
      <c r="D39" s="35">
        <f>IFERROR(INDEX('Khách hàng'!$B$4:$B$103,MATCH($C39,'Khách hàng'!$A$4:$A$103,0)),"")</f>
        <v/>
      </c>
      <c r="E39" s="48" t="n"/>
      <c r="F39" s="50" t="n"/>
      <c r="G39" s="53" t="n"/>
      <c r="H39" s="41">
        <f>IFERROR($F39*(1+$G39),"")</f>
        <v/>
      </c>
      <c r="I39" s="52" t="n"/>
      <c r="J39" s="48" t="n"/>
      <c r="K39" s="48" t="n"/>
      <c r="L39" s="48" t="n"/>
      <c r="M39" s="54">
        <f>IFERROR(MONTH($B39),"")</f>
        <v/>
      </c>
      <c r="N39" s="54">
        <f>IFERROR(YEAR($B39),"")</f>
        <v/>
      </c>
      <c r="O39" s="48" t="n"/>
      <c r="P39" s="55" t="n"/>
      <c r="Q39" s="56">
        <f>IFERROR(MONTH(IF($P39="",$B39,$P39)),"")</f>
        <v/>
      </c>
      <c r="R39" s="56">
        <f>IFERROR(YEAR(IF($P39="",$B39,$P39)),"")</f>
        <v/>
      </c>
    </row>
    <row r="40" ht="15" customHeight="1" s="30">
      <c r="A40" s="48" t="n"/>
      <c r="B40" s="52" t="n"/>
      <c r="C40" s="48" t="n"/>
      <c r="D40" s="35">
        <f>IFERROR(INDEX('Khách hàng'!$B$4:$B$103,MATCH($C40,'Khách hàng'!$A$4:$A$103,0)),"")</f>
        <v/>
      </c>
      <c r="E40" s="48" t="n"/>
      <c r="F40" s="50" t="n"/>
      <c r="G40" s="53" t="n"/>
      <c r="H40" s="41">
        <f>IFERROR($F40*(1+$G40),"")</f>
        <v/>
      </c>
      <c r="I40" s="52" t="n"/>
      <c r="J40" s="48" t="n"/>
      <c r="K40" s="48" t="n"/>
      <c r="L40" s="48" t="n"/>
      <c r="M40" s="54">
        <f>IFERROR(MONTH($B40),"")</f>
        <v/>
      </c>
      <c r="N40" s="54">
        <f>IFERROR(YEAR($B40),"")</f>
        <v/>
      </c>
      <c r="O40" s="48" t="n"/>
      <c r="P40" s="55" t="n"/>
      <c r="Q40" s="56">
        <f>IFERROR(MONTH(IF($P40="",$B40,$P40)),"")</f>
        <v/>
      </c>
      <c r="R40" s="56">
        <f>IFERROR(YEAR(IF($P40="",$B40,$P40)),"")</f>
        <v/>
      </c>
    </row>
    <row r="41" ht="15" customHeight="1" s="30">
      <c r="A41" s="48" t="n"/>
      <c r="B41" s="52" t="n"/>
      <c r="C41" s="48" t="n"/>
      <c r="D41" s="35">
        <f>IFERROR(INDEX('Khách hàng'!$B$4:$B$103,MATCH($C41,'Khách hàng'!$A$4:$A$103,0)),"")</f>
        <v/>
      </c>
      <c r="E41" s="48" t="n"/>
      <c r="F41" s="50" t="n"/>
      <c r="G41" s="53" t="n"/>
      <c r="H41" s="41">
        <f>IFERROR($F41*(1+$G41),"")</f>
        <v/>
      </c>
      <c r="I41" s="52" t="n"/>
      <c r="J41" s="48" t="n"/>
      <c r="K41" s="48" t="n"/>
      <c r="L41" s="48" t="n"/>
      <c r="M41" s="54">
        <f>IFERROR(MONTH($B41),"")</f>
        <v/>
      </c>
      <c r="N41" s="54">
        <f>IFERROR(YEAR($B41),"")</f>
        <v/>
      </c>
      <c r="O41" s="48" t="n"/>
      <c r="P41" s="55" t="n"/>
      <c r="Q41" s="56">
        <f>IFERROR(MONTH(IF($P41="",$B41,$P41)),"")</f>
        <v/>
      </c>
      <c r="R41" s="56">
        <f>IFERROR(YEAR(IF($P41="",$B41,$P41)),"")</f>
        <v/>
      </c>
    </row>
    <row r="42" ht="15" customHeight="1" s="30">
      <c r="A42" s="48" t="n"/>
      <c r="B42" s="52" t="n"/>
      <c r="C42" s="48" t="n"/>
      <c r="D42" s="35">
        <f>IFERROR(INDEX('Khách hàng'!$B$4:$B$103,MATCH($C42,'Khách hàng'!$A$4:$A$103,0)),"")</f>
        <v/>
      </c>
      <c r="E42" s="48" t="n"/>
      <c r="F42" s="50" t="n"/>
      <c r="G42" s="53" t="n"/>
      <c r="H42" s="41">
        <f>IFERROR($F42*(1+$G42),"")</f>
        <v/>
      </c>
      <c r="I42" s="52" t="n"/>
      <c r="J42" s="48" t="n"/>
      <c r="K42" s="48" t="n"/>
      <c r="L42" s="48" t="n"/>
      <c r="M42" s="54">
        <f>IFERROR(MONTH($B42),"")</f>
        <v/>
      </c>
      <c r="N42" s="54">
        <f>IFERROR(YEAR($B42),"")</f>
        <v/>
      </c>
      <c r="O42" s="48" t="n"/>
      <c r="P42" s="55" t="n"/>
      <c r="Q42" s="56">
        <f>IFERROR(MONTH(IF($P42="",$B42,$P42)),"")</f>
        <v/>
      </c>
      <c r="R42" s="56">
        <f>IFERROR(YEAR(IF($P42="",$B42,$P42)),"")</f>
        <v/>
      </c>
    </row>
    <row r="43" ht="15" customHeight="1" s="30">
      <c r="A43" s="48" t="n"/>
      <c r="B43" s="52" t="n"/>
      <c r="C43" s="48" t="n"/>
      <c r="D43" s="35">
        <f>IFERROR(INDEX('Khách hàng'!$B$4:$B$103,MATCH($C43,'Khách hàng'!$A$4:$A$103,0)),"")</f>
        <v/>
      </c>
      <c r="E43" s="48" t="n"/>
      <c r="F43" s="50" t="n"/>
      <c r="G43" s="53" t="n"/>
      <c r="H43" s="41">
        <f>IFERROR($F43*(1+$G43),"")</f>
        <v/>
      </c>
      <c r="I43" s="52" t="n"/>
      <c r="J43" s="48" t="n"/>
      <c r="K43" s="48" t="n"/>
      <c r="L43" s="48" t="n"/>
      <c r="M43" s="54">
        <f>IFERROR(MONTH($B43),"")</f>
        <v/>
      </c>
      <c r="N43" s="54">
        <f>IFERROR(YEAR($B43),"")</f>
        <v/>
      </c>
      <c r="O43" s="48" t="n"/>
      <c r="P43" s="55" t="n"/>
      <c r="Q43" s="56">
        <f>IFERROR(MONTH(IF($P43="",$B43,$P43)),"")</f>
        <v/>
      </c>
      <c r="R43" s="56">
        <f>IFERROR(YEAR(IF($P43="",$B43,$P43)),"")</f>
        <v/>
      </c>
    </row>
    <row r="44" ht="15" customHeight="1" s="30">
      <c r="A44" s="48" t="n"/>
      <c r="B44" s="52" t="n"/>
      <c r="C44" s="48" t="n"/>
      <c r="D44" s="35">
        <f>IFERROR(INDEX('Khách hàng'!$B$4:$B$103,MATCH($C44,'Khách hàng'!$A$4:$A$103,0)),"")</f>
        <v/>
      </c>
      <c r="E44" s="48" t="n"/>
      <c r="F44" s="50" t="n"/>
      <c r="G44" s="53" t="n"/>
      <c r="H44" s="41">
        <f>IFERROR($F44*(1+$G44),"")</f>
        <v/>
      </c>
      <c r="I44" s="52" t="n"/>
      <c r="J44" s="48" t="n"/>
      <c r="K44" s="48" t="n"/>
      <c r="L44" s="48" t="n"/>
      <c r="M44" s="54">
        <f>IFERROR(MONTH($B44),"")</f>
        <v/>
      </c>
      <c r="N44" s="54">
        <f>IFERROR(YEAR($B44),"")</f>
        <v/>
      </c>
      <c r="O44" s="48" t="n"/>
      <c r="P44" s="55" t="n"/>
      <c r="Q44" s="56">
        <f>IFERROR(MONTH(IF($P44="",$B44,$P44)),"")</f>
        <v/>
      </c>
      <c r="R44" s="56">
        <f>IFERROR(YEAR(IF($P44="",$B44,$P44)),"")</f>
        <v/>
      </c>
    </row>
    <row r="45" ht="15" customHeight="1" s="30">
      <c r="A45" s="48" t="n"/>
      <c r="B45" s="52" t="n"/>
      <c r="C45" s="48" t="n"/>
      <c r="D45" s="35">
        <f>IFERROR(INDEX('Khách hàng'!$B$4:$B$103,MATCH($C45,'Khách hàng'!$A$4:$A$103,0)),"")</f>
        <v/>
      </c>
      <c r="E45" s="48" t="n"/>
      <c r="F45" s="50" t="n"/>
      <c r="G45" s="53" t="n"/>
      <c r="H45" s="41">
        <f>IFERROR($F45*(1+$G45),"")</f>
        <v/>
      </c>
      <c r="I45" s="52" t="n"/>
      <c r="J45" s="48" t="n"/>
      <c r="K45" s="48" t="n"/>
      <c r="L45" s="48" t="n"/>
      <c r="M45" s="54">
        <f>IFERROR(MONTH($B45),"")</f>
        <v/>
      </c>
      <c r="N45" s="54">
        <f>IFERROR(YEAR($B45),"")</f>
        <v/>
      </c>
      <c r="O45" s="48" t="n"/>
      <c r="P45" s="55" t="n"/>
      <c r="Q45" s="56">
        <f>IFERROR(MONTH(IF($P45="",$B45,$P45)),"")</f>
        <v/>
      </c>
      <c r="R45" s="56">
        <f>IFERROR(YEAR(IF($P45="",$B45,$P45)),"")</f>
        <v/>
      </c>
    </row>
    <row r="46" ht="15" customHeight="1" s="30">
      <c r="A46" s="48" t="n"/>
      <c r="B46" s="52" t="n"/>
      <c r="C46" s="48" t="n"/>
      <c r="D46" s="35">
        <f>IFERROR(INDEX('Khách hàng'!$B$4:$B$103,MATCH($C46,'Khách hàng'!$A$4:$A$103,0)),"")</f>
        <v/>
      </c>
      <c r="E46" s="48" t="n"/>
      <c r="F46" s="50" t="n"/>
      <c r="G46" s="53" t="n"/>
      <c r="H46" s="41">
        <f>IFERROR($F46*(1+$G46),"")</f>
        <v/>
      </c>
      <c r="I46" s="52" t="n"/>
      <c r="J46" s="48" t="n"/>
      <c r="K46" s="48" t="n"/>
      <c r="L46" s="48" t="n"/>
      <c r="M46" s="54">
        <f>IFERROR(MONTH($B46),"")</f>
        <v/>
      </c>
      <c r="N46" s="54">
        <f>IFERROR(YEAR($B46),"")</f>
        <v/>
      </c>
      <c r="O46" s="48" t="n"/>
      <c r="P46" s="55" t="n"/>
      <c r="Q46" s="56">
        <f>IFERROR(MONTH(IF($P46="",$B46,$P46)),"")</f>
        <v/>
      </c>
      <c r="R46" s="56">
        <f>IFERROR(YEAR(IF($P46="",$B46,$P46)),"")</f>
        <v/>
      </c>
    </row>
    <row r="47" ht="15" customHeight="1" s="30">
      <c r="A47" s="48" t="n"/>
      <c r="B47" s="52" t="n"/>
      <c r="C47" s="48" t="n"/>
      <c r="D47" s="35">
        <f>IFERROR(INDEX('Khách hàng'!$B$4:$B$103,MATCH($C47,'Khách hàng'!$A$4:$A$103,0)),"")</f>
        <v/>
      </c>
      <c r="E47" s="48" t="n"/>
      <c r="F47" s="50" t="n"/>
      <c r="G47" s="53" t="n"/>
      <c r="H47" s="41">
        <f>IFERROR($F47*(1+$G47),"")</f>
        <v/>
      </c>
      <c r="I47" s="52" t="n"/>
      <c r="J47" s="48" t="n"/>
      <c r="K47" s="48" t="n"/>
      <c r="L47" s="48" t="n"/>
      <c r="M47" s="54">
        <f>IFERROR(MONTH($B47),"")</f>
        <v/>
      </c>
      <c r="N47" s="54">
        <f>IFERROR(YEAR($B47),"")</f>
        <v/>
      </c>
      <c r="O47" s="48" t="n"/>
      <c r="P47" s="55" t="n"/>
      <c r="Q47" s="56">
        <f>IFERROR(MONTH(IF($P47="",$B47,$P47)),"")</f>
        <v/>
      </c>
      <c r="R47" s="56">
        <f>IFERROR(YEAR(IF($P47="",$B47,$P47)),"")</f>
        <v/>
      </c>
    </row>
    <row r="48" ht="15" customHeight="1" s="30">
      <c r="A48" s="48" t="n"/>
      <c r="B48" s="52" t="n"/>
      <c r="C48" s="48" t="n"/>
      <c r="D48" s="35">
        <f>IFERROR(INDEX('Khách hàng'!$B$4:$B$103,MATCH($C48,'Khách hàng'!$A$4:$A$103,0)),"")</f>
        <v/>
      </c>
      <c r="E48" s="48" t="n"/>
      <c r="F48" s="50" t="n"/>
      <c r="G48" s="53" t="n"/>
      <c r="H48" s="41">
        <f>IFERROR($F48*(1+$G48),"")</f>
        <v/>
      </c>
      <c r="I48" s="52" t="n"/>
      <c r="J48" s="48" t="n"/>
      <c r="K48" s="48" t="n"/>
      <c r="L48" s="48" t="n"/>
      <c r="M48" s="54">
        <f>IFERROR(MONTH($B48),"")</f>
        <v/>
      </c>
      <c r="N48" s="54">
        <f>IFERROR(YEAR($B48),"")</f>
        <v/>
      </c>
      <c r="O48" s="48" t="n"/>
      <c r="P48" s="55" t="n"/>
      <c r="Q48" s="56">
        <f>IFERROR(MONTH(IF($P48="",$B48,$P48)),"")</f>
        <v/>
      </c>
      <c r="R48" s="56">
        <f>IFERROR(YEAR(IF($P48="",$B48,$P48)),"")</f>
        <v/>
      </c>
    </row>
    <row r="49" ht="15" customHeight="1" s="30">
      <c r="A49" s="48" t="n"/>
      <c r="B49" s="52" t="n"/>
      <c r="C49" s="48" t="n"/>
      <c r="D49" s="35">
        <f>IFERROR(INDEX('Khách hàng'!$B$4:$B$103,MATCH($C49,'Khách hàng'!$A$4:$A$103,0)),"")</f>
        <v/>
      </c>
      <c r="E49" s="48" t="n"/>
      <c r="F49" s="50" t="n"/>
      <c r="G49" s="53" t="n"/>
      <c r="H49" s="41">
        <f>IFERROR($F49*(1+$G49),"")</f>
        <v/>
      </c>
      <c r="I49" s="52" t="n"/>
      <c r="J49" s="48" t="n"/>
      <c r="K49" s="48" t="n"/>
      <c r="L49" s="48" t="n"/>
      <c r="M49" s="54">
        <f>IFERROR(MONTH($B49),"")</f>
        <v/>
      </c>
      <c r="N49" s="54">
        <f>IFERROR(YEAR($B49),"")</f>
        <v/>
      </c>
      <c r="O49" s="48" t="n"/>
      <c r="P49" s="55" t="n"/>
      <c r="Q49" s="56">
        <f>IFERROR(MONTH(IF($P49="",$B49,$P49)),"")</f>
        <v/>
      </c>
      <c r="R49" s="56">
        <f>IFERROR(YEAR(IF($P49="",$B49,$P49)),"")</f>
        <v/>
      </c>
    </row>
    <row r="50" ht="15" customHeight="1" s="30">
      <c r="A50" s="48" t="n"/>
      <c r="B50" s="52" t="n"/>
      <c r="C50" s="48" t="n"/>
      <c r="D50" s="35">
        <f>IFERROR(INDEX('Khách hàng'!$B$4:$B$103,MATCH($C50,'Khách hàng'!$A$4:$A$103,0)),"")</f>
        <v/>
      </c>
      <c r="E50" s="48" t="n"/>
      <c r="F50" s="50" t="n"/>
      <c r="G50" s="53" t="n"/>
      <c r="H50" s="41">
        <f>IFERROR($F50*(1+$G50),"")</f>
        <v/>
      </c>
      <c r="I50" s="52" t="n"/>
      <c r="J50" s="48" t="n"/>
      <c r="K50" s="48" t="n"/>
      <c r="L50" s="48" t="n"/>
      <c r="M50" s="54">
        <f>IFERROR(MONTH($B50),"")</f>
        <v/>
      </c>
      <c r="N50" s="54">
        <f>IFERROR(YEAR($B50),"")</f>
        <v/>
      </c>
      <c r="O50" s="48" t="n"/>
      <c r="P50" s="55" t="n"/>
      <c r="Q50" s="56">
        <f>IFERROR(MONTH(IF($P50="",$B50,$P50)),"")</f>
        <v/>
      </c>
      <c r="R50" s="56">
        <f>IFERROR(YEAR(IF($P50="",$B50,$P50)),"")</f>
        <v/>
      </c>
    </row>
    <row r="51" ht="15" customHeight="1" s="30">
      <c r="A51" s="48" t="n"/>
      <c r="B51" s="52" t="n"/>
      <c r="C51" s="48" t="n"/>
      <c r="D51" s="35">
        <f>IFERROR(INDEX('Khách hàng'!$B$4:$B$103,MATCH($C51,'Khách hàng'!$A$4:$A$103,0)),"")</f>
        <v/>
      </c>
      <c r="E51" s="48" t="n"/>
      <c r="F51" s="50" t="n"/>
      <c r="G51" s="53" t="n"/>
      <c r="H51" s="41">
        <f>IFERROR($F51*(1+$G51),"")</f>
        <v/>
      </c>
      <c r="I51" s="52" t="n"/>
      <c r="J51" s="48" t="n"/>
      <c r="K51" s="48" t="n"/>
      <c r="L51" s="48" t="n"/>
      <c r="M51" s="54">
        <f>IFERROR(MONTH($B51),"")</f>
        <v/>
      </c>
      <c r="N51" s="54">
        <f>IFERROR(YEAR($B51),"")</f>
        <v/>
      </c>
      <c r="O51" s="48" t="n"/>
      <c r="P51" s="55" t="n"/>
      <c r="Q51" s="56">
        <f>IFERROR(MONTH(IF($P51="",$B51,$P51)),"")</f>
        <v/>
      </c>
      <c r="R51" s="56">
        <f>IFERROR(YEAR(IF($P51="",$B51,$P51)),"")</f>
        <v/>
      </c>
    </row>
    <row r="52" ht="15" customHeight="1" s="30">
      <c r="A52" s="48" t="n"/>
      <c r="B52" s="52" t="n"/>
      <c r="C52" s="48" t="n"/>
      <c r="D52" s="35">
        <f>IFERROR(INDEX('Khách hàng'!$B$4:$B$103,MATCH($C52,'Khách hàng'!$A$4:$A$103,0)),"")</f>
        <v/>
      </c>
      <c r="E52" s="48" t="n"/>
      <c r="F52" s="50" t="n"/>
      <c r="G52" s="53" t="n"/>
      <c r="H52" s="41">
        <f>IFERROR($F52*(1+$G52),"")</f>
        <v/>
      </c>
      <c r="I52" s="52" t="n"/>
      <c r="J52" s="48" t="n"/>
      <c r="K52" s="48" t="n"/>
      <c r="L52" s="48" t="n"/>
      <c r="M52" s="54">
        <f>IFERROR(MONTH($B52),"")</f>
        <v/>
      </c>
      <c r="N52" s="54">
        <f>IFERROR(YEAR($B52),"")</f>
        <v/>
      </c>
      <c r="O52" s="48" t="n"/>
      <c r="P52" s="55" t="n"/>
      <c r="Q52" s="56">
        <f>IFERROR(MONTH(IF($P52="",$B52,$P52)),"")</f>
        <v/>
      </c>
      <c r="R52" s="56">
        <f>IFERROR(YEAR(IF($P52="",$B52,$P52)),"")</f>
        <v/>
      </c>
    </row>
    <row r="53" ht="15" customHeight="1" s="30">
      <c r="A53" s="48" t="n"/>
      <c r="B53" s="52" t="n"/>
      <c r="C53" s="48" t="n"/>
      <c r="D53" s="35">
        <f>IFERROR(INDEX('Khách hàng'!$B$4:$B$103,MATCH($C53,'Khách hàng'!$A$4:$A$103,0)),"")</f>
        <v/>
      </c>
      <c r="E53" s="48" t="n"/>
      <c r="F53" s="50" t="n"/>
      <c r="G53" s="53" t="n"/>
      <c r="H53" s="41">
        <f>IFERROR($F53*(1+$G53),"")</f>
        <v/>
      </c>
      <c r="I53" s="52" t="n"/>
      <c r="J53" s="48" t="n"/>
      <c r="K53" s="48" t="n"/>
      <c r="L53" s="48" t="n"/>
      <c r="M53" s="54">
        <f>IFERROR(MONTH($B53),"")</f>
        <v/>
      </c>
      <c r="N53" s="54">
        <f>IFERROR(YEAR($B53),"")</f>
        <v/>
      </c>
      <c r="O53" s="48" t="n"/>
      <c r="P53" s="55" t="n"/>
      <c r="Q53" s="56">
        <f>IFERROR(MONTH(IF($P53="",$B53,$P53)),"")</f>
        <v/>
      </c>
      <c r="R53" s="56">
        <f>IFERROR(YEAR(IF($P53="",$B53,$P53)),"")</f>
        <v/>
      </c>
    </row>
    <row r="54" ht="15" customHeight="1" s="30">
      <c r="A54" s="48" t="n"/>
      <c r="B54" s="52" t="n"/>
      <c r="C54" s="48" t="n"/>
      <c r="D54" s="35">
        <f>IFERROR(INDEX('Khách hàng'!$B$4:$B$103,MATCH($C54,'Khách hàng'!$A$4:$A$103,0)),"")</f>
        <v/>
      </c>
      <c r="E54" s="48" t="n"/>
      <c r="F54" s="50" t="n"/>
      <c r="G54" s="53" t="n"/>
      <c r="H54" s="41">
        <f>IFERROR($F54*(1+$G54),"")</f>
        <v/>
      </c>
      <c r="I54" s="52" t="n"/>
      <c r="J54" s="48" t="n"/>
      <c r="K54" s="48" t="n"/>
      <c r="L54" s="48" t="n"/>
      <c r="M54" s="54">
        <f>IFERROR(MONTH($B54),"")</f>
        <v/>
      </c>
      <c r="N54" s="54">
        <f>IFERROR(YEAR($B54),"")</f>
        <v/>
      </c>
      <c r="O54" s="48" t="n"/>
      <c r="P54" s="55" t="n"/>
      <c r="Q54" s="56">
        <f>IFERROR(MONTH(IF($P54="",$B54,$P54)),"")</f>
        <v/>
      </c>
      <c r="R54" s="56">
        <f>IFERROR(YEAR(IF($P54="",$B54,$P54)),"")</f>
        <v/>
      </c>
    </row>
    <row r="55" ht="15" customHeight="1" s="30">
      <c r="A55" s="48" t="n"/>
      <c r="B55" s="52" t="n"/>
      <c r="C55" s="48" t="n"/>
      <c r="D55" s="35">
        <f>IFERROR(INDEX('Khách hàng'!$B$4:$B$103,MATCH($C55,'Khách hàng'!$A$4:$A$103,0)),"")</f>
        <v/>
      </c>
      <c r="E55" s="48" t="n"/>
      <c r="F55" s="50" t="n"/>
      <c r="G55" s="53" t="n"/>
      <c r="H55" s="41">
        <f>IFERROR($F55*(1+$G55),"")</f>
        <v/>
      </c>
      <c r="I55" s="52" t="n"/>
      <c r="J55" s="48" t="n"/>
      <c r="K55" s="48" t="n"/>
      <c r="L55" s="48" t="n"/>
      <c r="M55" s="54">
        <f>IFERROR(MONTH($B55),"")</f>
        <v/>
      </c>
      <c r="N55" s="54">
        <f>IFERROR(YEAR($B55),"")</f>
        <v/>
      </c>
      <c r="O55" s="48" t="n"/>
      <c r="P55" s="55" t="n"/>
      <c r="Q55" s="56">
        <f>IFERROR(MONTH(IF($P55="",$B55,$P55)),"")</f>
        <v/>
      </c>
      <c r="R55" s="56">
        <f>IFERROR(YEAR(IF($P55="",$B55,$P55)),"")</f>
        <v/>
      </c>
    </row>
    <row r="56" ht="15" customHeight="1" s="30">
      <c r="A56" s="48" t="n"/>
      <c r="B56" s="52" t="n"/>
      <c r="C56" s="48" t="n"/>
      <c r="D56" s="35">
        <f>IFERROR(INDEX('Khách hàng'!$B$4:$B$103,MATCH($C56,'Khách hàng'!$A$4:$A$103,0)),"")</f>
        <v/>
      </c>
      <c r="E56" s="48" t="n"/>
      <c r="F56" s="50" t="n"/>
      <c r="G56" s="53" t="n"/>
      <c r="H56" s="41">
        <f>IFERROR($F56*(1+$G56),"")</f>
        <v/>
      </c>
      <c r="I56" s="52" t="n"/>
      <c r="J56" s="48" t="n"/>
      <c r="K56" s="48" t="n"/>
      <c r="L56" s="48" t="n"/>
      <c r="M56" s="54">
        <f>IFERROR(MONTH($B56),"")</f>
        <v/>
      </c>
      <c r="N56" s="54">
        <f>IFERROR(YEAR($B56),"")</f>
        <v/>
      </c>
      <c r="O56" s="48" t="n"/>
      <c r="P56" s="55" t="n"/>
      <c r="Q56" s="56">
        <f>IFERROR(MONTH(IF($P56="",$B56,$P56)),"")</f>
        <v/>
      </c>
      <c r="R56" s="56">
        <f>IFERROR(YEAR(IF($P56="",$B56,$P56)),"")</f>
        <v/>
      </c>
    </row>
    <row r="57" ht="15" customHeight="1" s="30">
      <c r="A57" s="48" t="n"/>
      <c r="B57" s="52" t="n"/>
      <c r="C57" s="48" t="n"/>
      <c r="D57" s="35">
        <f>IFERROR(INDEX('Khách hàng'!$B$4:$B$103,MATCH($C57,'Khách hàng'!$A$4:$A$103,0)),"")</f>
        <v/>
      </c>
      <c r="E57" s="48" t="n"/>
      <c r="F57" s="50" t="n"/>
      <c r="G57" s="53" t="n"/>
      <c r="H57" s="41">
        <f>IFERROR($F57*(1+$G57),"")</f>
        <v/>
      </c>
      <c r="I57" s="52" t="n"/>
      <c r="J57" s="48" t="n"/>
      <c r="K57" s="48" t="n"/>
      <c r="L57" s="48" t="n"/>
      <c r="M57" s="54">
        <f>IFERROR(MONTH($B57),"")</f>
        <v/>
      </c>
      <c r="N57" s="54">
        <f>IFERROR(YEAR($B57),"")</f>
        <v/>
      </c>
      <c r="O57" s="48" t="n"/>
      <c r="P57" s="55" t="n"/>
      <c r="Q57" s="56">
        <f>IFERROR(MONTH(IF($P57="",$B57,$P57)),"")</f>
        <v/>
      </c>
      <c r="R57" s="56">
        <f>IFERROR(YEAR(IF($P57="",$B57,$P57)),"")</f>
        <v/>
      </c>
    </row>
    <row r="58" ht="15" customHeight="1" s="30">
      <c r="A58" s="48" t="n"/>
      <c r="B58" s="52" t="n"/>
      <c r="C58" s="48" t="n"/>
      <c r="D58" s="35">
        <f>IFERROR(INDEX('Khách hàng'!$B$4:$B$103,MATCH($C58,'Khách hàng'!$A$4:$A$103,0)),"")</f>
        <v/>
      </c>
      <c r="E58" s="48" t="n"/>
      <c r="F58" s="50" t="n"/>
      <c r="G58" s="53" t="n"/>
      <c r="H58" s="41">
        <f>IFERROR($F58*(1+$G58),"")</f>
        <v/>
      </c>
      <c r="I58" s="52" t="n"/>
      <c r="J58" s="48" t="n"/>
      <c r="K58" s="48" t="n"/>
      <c r="L58" s="48" t="n"/>
      <c r="M58" s="54">
        <f>IFERROR(MONTH($B58),"")</f>
        <v/>
      </c>
      <c r="N58" s="54">
        <f>IFERROR(YEAR($B58),"")</f>
        <v/>
      </c>
      <c r="O58" s="48" t="n"/>
      <c r="P58" s="55" t="n"/>
      <c r="Q58" s="56">
        <f>IFERROR(MONTH(IF($P58="",$B58,$P58)),"")</f>
        <v/>
      </c>
      <c r="R58" s="56">
        <f>IFERROR(YEAR(IF($P58="",$B58,$P58)),"")</f>
        <v/>
      </c>
    </row>
    <row r="59" ht="15" customHeight="1" s="30">
      <c r="A59" s="48" t="n"/>
      <c r="B59" s="52" t="n"/>
      <c r="C59" s="48" t="n"/>
      <c r="D59" s="35">
        <f>IFERROR(INDEX('Khách hàng'!$B$4:$B$103,MATCH($C59,'Khách hàng'!$A$4:$A$103,0)),"")</f>
        <v/>
      </c>
      <c r="E59" s="48" t="n"/>
      <c r="F59" s="50" t="n"/>
      <c r="G59" s="53" t="n"/>
      <c r="H59" s="41">
        <f>IFERROR($F59*(1+$G59),"")</f>
        <v/>
      </c>
      <c r="I59" s="52" t="n"/>
      <c r="J59" s="48" t="n"/>
      <c r="K59" s="48" t="n"/>
      <c r="L59" s="48" t="n"/>
      <c r="M59" s="54">
        <f>IFERROR(MONTH($B59),"")</f>
        <v/>
      </c>
      <c r="N59" s="54">
        <f>IFERROR(YEAR($B59),"")</f>
        <v/>
      </c>
      <c r="O59" s="48" t="n"/>
      <c r="P59" s="55" t="n"/>
      <c r="Q59" s="56">
        <f>IFERROR(MONTH(IF($P59="",$B59,$P59)),"")</f>
        <v/>
      </c>
      <c r="R59" s="56">
        <f>IFERROR(YEAR(IF($P59="",$B59,$P59)),"")</f>
        <v/>
      </c>
    </row>
    <row r="60" ht="15" customHeight="1" s="30">
      <c r="A60" s="48" t="n"/>
      <c r="B60" s="52" t="n"/>
      <c r="C60" s="48" t="n"/>
      <c r="D60" s="35">
        <f>IFERROR(INDEX('Khách hàng'!$B$4:$B$103,MATCH($C60,'Khách hàng'!$A$4:$A$103,0)),"")</f>
        <v/>
      </c>
      <c r="E60" s="48" t="n"/>
      <c r="F60" s="50" t="n"/>
      <c r="G60" s="53" t="n"/>
      <c r="H60" s="41">
        <f>IFERROR($F60*(1+$G60),"")</f>
        <v/>
      </c>
      <c r="I60" s="52" t="n"/>
      <c r="J60" s="48" t="n"/>
      <c r="K60" s="48" t="n"/>
      <c r="L60" s="48" t="n"/>
      <c r="M60" s="54">
        <f>IFERROR(MONTH($B60),"")</f>
        <v/>
      </c>
      <c r="N60" s="54">
        <f>IFERROR(YEAR($B60),"")</f>
        <v/>
      </c>
      <c r="O60" s="48" t="n"/>
      <c r="P60" s="55" t="n"/>
      <c r="Q60" s="56">
        <f>IFERROR(MONTH(IF($P60="",$B60,$P60)),"")</f>
        <v/>
      </c>
      <c r="R60" s="56">
        <f>IFERROR(YEAR(IF($P60="",$B60,$P60)),"")</f>
        <v/>
      </c>
    </row>
    <row r="61" ht="15" customHeight="1" s="30">
      <c r="A61" s="48" t="n"/>
      <c r="B61" s="52" t="n"/>
      <c r="C61" s="48" t="n"/>
      <c r="D61" s="35">
        <f>IFERROR(INDEX('Khách hàng'!$B$4:$B$103,MATCH($C61,'Khách hàng'!$A$4:$A$103,0)),"")</f>
        <v/>
      </c>
      <c r="E61" s="48" t="n"/>
      <c r="F61" s="50" t="n"/>
      <c r="G61" s="53" t="n"/>
      <c r="H61" s="41">
        <f>IFERROR($F61*(1+$G61),"")</f>
        <v/>
      </c>
      <c r="I61" s="52" t="n"/>
      <c r="J61" s="48" t="n"/>
      <c r="K61" s="48" t="n"/>
      <c r="L61" s="48" t="n"/>
      <c r="M61" s="54">
        <f>IFERROR(MONTH($B61),"")</f>
        <v/>
      </c>
      <c r="N61" s="54">
        <f>IFERROR(YEAR($B61),"")</f>
        <v/>
      </c>
      <c r="O61" s="48" t="n"/>
      <c r="P61" s="55" t="n"/>
      <c r="Q61" s="56">
        <f>IFERROR(MONTH(IF($P61="",$B61,$P61)),"")</f>
        <v/>
      </c>
      <c r="R61" s="56">
        <f>IFERROR(YEAR(IF($P61="",$B61,$P61)),"")</f>
        <v/>
      </c>
    </row>
    <row r="62" ht="15" customHeight="1" s="30">
      <c r="A62" s="48" t="n"/>
      <c r="B62" s="52" t="n"/>
      <c r="C62" s="48" t="n"/>
      <c r="D62" s="35">
        <f>IFERROR(INDEX('Khách hàng'!$B$4:$B$103,MATCH($C62,'Khách hàng'!$A$4:$A$103,0)),"")</f>
        <v/>
      </c>
      <c r="E62" s="48" t="n"/>
      <c r="F62" s="50" t="n"/>
      <c r="G62" s="53" t="n"/>
      <c r="H62" s="41">
        <f>IFERROR($F62*(1+$G62),"")</f>
        <v/>
      </c>
      <c r="I62" s="52" t="n"/>
      <c r="J62" s="48" t="n"/>
      <c r="K62" s="48" t="n"/>
      <c r="L62" s="48" t="n"/>
      <c r="M62" s="54">
        <f>IFERROR(MONTH($B62),"")</f>
        <v/>
      </c>
      <c r="N62" s="54">
        <f>IFERROR(YEAR($B62),"")</f>
        <v/>
      </c>
      <c r="O62" s="48" t="n"/>
      <c r="P62" s="55" t="n"/>
      <c r="Q62" s="56">
        <f>IFERROR(MONTH(IF($P62="",$B62,$P62)),"")</f>
        <v/>
      </c>
      <c r="R62" s="56">
        <f>IFERROR(YEAR(IF($P62="",$B62,$P62)),"")</f>
        <v/>
      </c>
    </row>
    <row r="63" ht="15" customHeight="1" s="30">
      <c r="A63" s="48" t="n"/>
      <c r="B63" s="52" t="n"/>
      <c r="C63" s="48" t="n"/>
      <c r="D63" s="35">
        <f>IFERROR(INDEX('Khách hàng'!$B$4:$B$103,MATCH($C63,'Khách hàng'!$A$4:$A$103,0)),"")</f>
        <v/>
      </c>
      <c r="E63" s="48" t="n"/>
      <c r="F63" s="50" t="n"/>
      <c r="G63" s="53" t="n"/>
      <c r="H63" s="41">
        <f>IFERROR($F63*(1+$G63),"")</f>
        <v/>
      </c>
      <c r="I63" s="52" t="n"/>
      <c r="J63" s="48" t="n"/>
      <c r="K63" s="48" t="n"/>
      <c r="L63" s="48" t="n"/>
      <c r="M63" s="54">
        <f>IFERROR(MONTH($B63),"")</f>
        <v/>
      </c>
      <c r="N63" s="54">
        <f>IFERROR(YEAR($B63),"")</f>
        <v/>
      </c>
      <c r="O63" s="48" t="n"/>
      <c r="P63" s="55" t="n"/>
      <c r="Q63" s="56">
        <f>IFERROR(MONTH(IF($P63="",$B63,$P63)),"")</f>
        <v/>
      </c>
      <c r="R63" s="56">
        <f>IFERROR(YEAR(IF($P63="",$B63,$P63)),"")</f>
        <v/>
      </c>
    </row>
    <row r="64" ht="15" customHeight="1" s="30">
      <c r="A64" s="48" t="n"/>
      <c r="B64" s="52" t="n"/>
      <c r="C64" s="48" t="n"/>
      <c r="D64" s="35">
        <f>IFERROR(INDEX('Khách hàng'!$B$4:$B$103,MATCH($C64,'Khách hàng'!$A$4:$A$103,0)),"")</f>
        <v/>
      </c>
      <c r="E64" s="48" t="n"/>
      <c r="F64" s="50" t="n"/>
      <c r="G64" s="53" t="n"/>
      <c r="H64" s="41">
        <f>IFERROR($F64*(1+$G64),"")</f>
        <v/>
      </c>
      <c r="I64" s="52" t="n"/>
      <c r="J64" s="48" t="n"/>
      <c r="K64" s="48" t="n"/>
      <c r="L64" s="48" t="n"/>
      <c r="M64" s="54">
        <f>IFERROR(MONTH($B64),"")</f>
        <v/>
      </c>
      <c r="N64" s="54">
        <f>IFERROR(YEAR($B64),"")</f>
        <v/>
      </c>
      <c r="O64" s="48" t="n"/>
      <c r="P64" s="55" t="n"/>
      <c r="Q64" s="56">
        <f>IFERROR(MONTH(IF($P64="",$B64,$P64)),"")</f>
        <v/>
      </c>
      <c r="R64" s="56">
        <f>IFERROR(YEAR(IF($P64="",$B64,$P64)),"")</f>
        <v/>
      </c>
    </row>
    <row r="65" ht="15" customHeight="1" s="30">
      <c r="A65" s="48" t="n"/>
      <c r="B65" s="52" t="n"/>
      <c r="C65" s="48" t="n"/>
      <c r="D65" s="35">
        <f>IFERROR(INDEX('Khách hàng'!$B$4:$B$103,MATCH($C65,'Khách hàng'!$A$4:$A$103,0)),"")</f>
        <v/>
      </c>
      <c r="E65" s="48" t="n"/>
      <c r="F65" s="50" t="n"/>
      <c r="G65" s="53" t="n"/>
      <c r="H65" s="41">
        <f>IFERROR($F65*(1+$G65),"")</f>
        <v/>
      </c>
      <c r="I65" s="52" t="n"/>
      <c r="J65" s="48" t="n"/>
      <c r="K65" s="48" t="n"/>
      <c r="L65" s="48" t="n"/>
      <c r="M65" s="54">
        <f>IFERROR(MONTH($B65),"")</f>
        <v/>
      </c>
      <c r="N65" s="54">
        <f>IFERROR(YEAR($B65),"")</f>
        <v/>
      </c>
      <c r="O65" s="48" t="n"/>
      <c r="P65" s="55" t="n"/>
      <c r="Q65" s="56">
        <f>IFERROR(MONTH(IF($P65="",$B65,$P65)),"")</f>
        <v/>
      </c>
      <c r="R65" s="56">
        <f>IFERROR(YEAR(IF($P65="",$B65,$P65)),"")</f>
        <v/>
      </c>
    </row>
    <row r="66" ht="15" customHeight="1" s="30">
      <c r="A66" s="48" t="n"/>
      <c r="B66" s="52" t="n"/>
      <c r="C66" s="48" t="n"/>
      <c r="D66" s="35">
        <f>IFERROR(INDEX('Khách hàng'!$B$4:$B$103,MATCH($C66,'Khách hàng'!$A$4:$A$103,0)),"")</f>
        <v/>
      </c>
      <c r="E66" s="48" t="n"/>
      <c r="F66" s="50" t="n"/>
      <c r="G66" s="53" t="n"/>
      <c r="H66" s="41">
        <f>IFERROR($F66*(1+$G66),"")</f>
        <v/>
      </c>
      <c r="I66" s="52" t="n"/>
      <c r="J66" s="48" t="n"/>
      <c r="K66" s="48" t="n"/>
      <c r="L66" s="48" t="n"/>
      <c r="M66" s="54">
        <f>IFERROR(MONTH($B66),"")</f>
        <v/>
      </c>
      <c r="N66" s="54">
        <f>IFERROR(YEAR($B66),"")</f>
        <v/>
      </c>
      <c r="O66" s="48" t="n"/>
      <c r="P66" s="55" t="n"/>
      <c r="Q66" s="56">
        <f>IFERROR(MONTH(IF($P66="",$B66,$P66)),"")</f>
        <v/>
      </c>
      <c r="R66" s="56">
        <f>IFERROR(YEAR(IF($P66="",$B66,$P66)),"")</f>
        <v/>
      </c>
    </row>
    <row r="67" ht="15" customHeight="1" s="30">
      <c r="A67" s="48" t="n"/>
      <c r="B67" s="52" t="n"/>
      <c r="C67" s="48" t="n"/>
      <c r="D67" s="35">
        <f>IFERROR(INDEX('Khách hàng'!$B$4:$B$103,MATCH($C67,'Khách hàng'!$A$4:$A$103,0)),"")</f>
        <v/>
      </c>
      <c r="E67" s="48" t="n"/>
      <c r="F67" s="50" t="n"/>
      <c r="G67" s="53" t="n"/>
      <c r="H67" s="41">
        <f>IFERROR($F67*(1+$G67),"")</f>
        <v/>
      </c>
      <c r="I67" s="52" t="n"/>
      <c r="J67" s="48" t="n"/>
      <c r="K67" s="48" t="n"/>
      <c r="L67" s="48" t="n"/>
      <c r="M67" s="54">
        <f>IFERROR(MONTH($B67),"")</f>
        <v/>
      </c>
      <c r="N67" s="54">
        <f>IFERROR(YEAR($B67),"")</f>
        <v/>
      </c>
      <c r="O67" s="48" t="n"/>
      <c r="P67" s="55" t="n"/>
      <c r="Q67" s="56">
        <f>IFERROR(MONTH(IF($P67="",$B67,$P67)),"")</f>
        <v/>
      </c>
      <c r="R67" s="56">
        <f>IFERROR(YEAR(IF($P67="",$B67,$P67)),"")</f>
        <v/>
      </c>
    </row>
    <row r="68" ht="15" customHeight="1" s="30">
      <c r="A68" s="48" t="n"/>
      <c r="B68" s="52" t="n"/>
      <c r="C68" s="48" t="n"/>
      <c r="D68" s="35">
        <f>IFERROR(INDEX('Khách hàng'!$B$4:$B$103,MATCH($C68,'Khách hàng'!$A$4:$A$103,0)),"")</f>
        <v/>
      </c>
      <c r="E68" s="48" t="n"/>
      <c r="F68" s="50" t="n"/>
      <c r="G68" s="53" t="n"/>
      <c r="H68" s="41">
        <f>IFERROR($F68*(1+$G68),"")</f>
        <v/>
      </c>
      <c r="I68" s="52" t="n"/>
      <c r="J68" s="48" t="n"/>
      <c r="K68" s="48" t="n"/>
      <c r="L68" s="48" t="n"/>
      <c r="M68" s="54">
        <f>IFERROR(MONTH($B68),"")</f>
        <v/>
      </c>
      <c r="N68" s="54">
        <f>IFERROR(YEAR($B68),"")</f>
        <v/>
      </c>
      <c r="O68" s="48" t="n"/>
      <c r="P68" s="55" t="n"/>
      <c r="Q68" s="56">
        <f>IFERROR(MONTH(IF($P68="",$B68,$P68)),"")</f>
        <v/>
      </c>
      <c r="R68" s="56">
        <f>IFERROR(YEAR(IF($P68="",$B68,$P68)),"")</f>
        <v/>
      </c>
    </row>
    <row r="69" ht="15" customHeight="1" s="30">
      <c r="A69" s="48" t="n"/>
      <c r="B69" s="52" t="n"/>
      <c r="C69" s="48" t="n"/>
      <c r="D69" s="35">
        <f>IFERROR(INDEX('Khách hàng'!$B$4:$B$103,MATCH($C69,'Khách hàng'!$A$4:$A$103,0)),"")</f>
        <v/>
      </c>
      <c r="E69" s="48" t="n"/>
      <c r="F69" s="50" t="n"/>
      <c r="G69" s="53" t="n"/>
      <c r="H69" s="41">
        <f>IFERROR($F69*(1+$G69),"")</f>
        <v/>
      </c>
      <c r="I69" s="52" t="n"/>
      <c r="J69" s="48" t="n"/>
      <c r="K69" s="48" t="n"/>
      <c r="L69" s="48" t="n"/>
      <c r="M69" s="54">
        <f>IFERROR(MONTH($B69),"")</f>
        <v/>
      </c>
      <c r="N69" s="54">
        <f>IFERROR(YEAR($B69),"")</f>
        <v/>
      </c>
      <c r="O69" s="48" t="n"/>
      <c r="P69" s="55" t="n"/>
      <c r="Q69" s="56">
        <f>IFERROR(MONTH(IF($P69="",$B69,$P69)),"")</f>
        <v/>
      </c>
      <c r="R69" s="56">
        <f>IFERROR(YEAR(IF($P69="",$B69,$P69)),"")</f>
        <v/>
      </c>
    </row>
    <row r="70" ht="15" customHeight="1" s="30">
      <c r="A70" s="48" t="n"/>
      <c r="B70" s="52" t="n"/>
      <c r="C70" s="48" t="n"/>
      <c r="D70" s="35">
        <f>IFERROR(INDEX('Khách hàng'!$B$4:$B$103,MATCH($C70,'Khách hàng'!$A$4:$A$103,0)),"")</f>
        <v/>
      </c>
      <c r="E70" s="48" t="n"/>
      <c r="F70" s="50" t="n"/>
      <c r="G70" s="53" t="n"/>
      <c r="H70" s="41">
        <f>IFERROR($F70*(1+$G70),"")</f>
        <v/>
      </c>
      <c r="I70" s="52" t="n"/>
      <c r="J70" s="48" t="n"/>
      <c r="K70" s="48" t="n"/>
      <c r="L70" s="48" t="n"/>
      <c r="M70" s="54">
        <f>IFERROR(MONTH($B70),"")</f>
        <v/>
      </c>
      <c r="N70" s="54">
        <f>IFERROR(YEAR($B70),"")</f>
        <v/>
      </c>
      <c r="O70" s="48" t="n"/>
      <c r="P70" s="55" t="n"/>
      <c r="Q70" s="56">
        <f>IFERROR(MONTH(IF($P70="",$B70,$P70)),"")</f>
        <v/>
      </c>
      <c r="R70" s="56">
        <f>IFERROR(YEAR(IF($P70="",$B70,$P70)),"")</f>
        <v/>
      </c>
    </row>
    <row r="71" ht="15" customHeight="1" s="30">
      <c r="A71" s="48" t="n"/>
      <c r="B71" s="52" t="n"/>
      <c r="C71" s="48" t="n"/>
      <c r="D71" s="35">
        <f>IFERROR(INDEX('Khách hàng'!$B$4:$B$103,MATCH($C71,'Khách hàng'!$A$4:$A$103,0)),"")</f>
        <v/>
      </c>
      <c r="E71" s="48" t="n"/>
      <c r="F71" s="50" t="n"/>
      <c r="G71" s="53" t="n"/>
      <c r="H71" s="41">
        <f>IFERROR($F71*(1+$G71),"")</f>
        <v/>
      </c>
      <c r="I71" s="52" t="n"/>
      <c r="J71" s="48" t="n"/>
      <c r="K71" s="48" t="n"/>
      <c r="L71" s="48" t="n"/>
      <c r="M71" s="54">
        <f>IFERROR(MONTH($B71),"")</f>
        <v/>
      </c>
      <c r="N71" s="54">
        <f>IFERROR(YEAR($B71),"")</f>
        <v/>
      </c>
      <c r="O71" s="48" t="n"/>
      <c r="P71" s="55" t="n"/>
      <c r="Q71" s="56">
        <f>IFERROR(MONTH(IF($P71="",$B71,$P71)),"")</f>
        <v/>
      </c>
      <c r="R71" s="56">
        <f>IFERROR(YEAR(IF($P71="",$B71,$P71)),"")</f>
        <v/>
      </c>
    </row>
    <row r="72" ht="15" customHeight="1" s="30">
      <c r="A72" s="48" t="n"/>
      <c r="B72" s="52" t="n"/>
      <c r="C72" s="48" t="n"/>
      <c r="D72" s="35">
        <f>IFERROR(INDEX('Khách hàng'!$B$4:$B$103,MATCH($C72,'Khách hàng'!$A$4:$A$103,0)),"")</f>
        <v/>
      </c>
      <c r="E72" s="48" t="n"/>
      <c r="F72" s="50" t="n"/>
      <c r="G72" s="53" t="n"/>
      <c r="H72" s="41">
        <f>IFERROR($F72*(1+$G72),"")</f>
        <v/>
      </c>
      <c r="I72" s="52" t="n"/>
      <c r="J72" s="48" t="n"/>
      <c r="K72" s="48" t="n"/>
      <c r="L72" s="48" t="n"/>
      <c r="M72" s="54">
        <f>IFERROR(MONTH($B72),"")</f>
        <v/>
      </c>
      <c r="N72" s="54">
        <f>IFERROR(YEAR($B72),"")</f>
        <v/>
      </c>
      <c r="O72" s="48" t="n"/>
      <c r="P72" s="55" t="n"/>
      <c r="Q72" s="56">
        <f>IFERROR(MONTH(IF($P72="",$B72,$P72)),"")</f>
        <v/>
      </c>
      <c r="R72" s="56">
        <f>IFERROR(YEAR(IF($P72="",$B72,$P72)),"")</f>
        <v/>
      </c>
    </row>
    <row r="73" ht="15" customHeight="1" s="30">
      <c r="A73" s="48" t="n"/>
      <c r="B73" s="52" t="n"/>
      <c r="C73" s="48" t="n"/>
      <c r="D73" s="35">
        <f>IFERROR(INDEX('Khách hàng'!$B$4:$B$103,MATCH($C73,'Khách hàng'!$A$4:$A$103,0)),"")</f>
        <v/>
      </c>
      <c r="E73" s="48" t="n"/>
      <c r="F73" s="50" t="n"/>
      <c r="G73" s="53" t="n"/>
      <c r="H73" s="41">
        <f>IFERROR($F73*(1+$G73),"")</f>
        <v/>
      </c>
      <c r="I73" s="52" t="n"/>
      <c r="J73" s="48" t="n"/>
      <c r="K73" s="48" t="n"/>
      <c r="L73" s="48" t="n"/>
      <c r="M73" s="54">
        <f>IFERROR(MONTH($B73),"")</f>
        <v/>
      </c>
      <c r="N73" s="54">
        <f>IFERROR(YEAR($B73),"")</f>
        <v/>
      </c>
      <c r="O73" s="48" t="n"/>
      <c r="P73" s="55" t="n"/>
      <c r="Q73" s="56">
        <f>IFERROR(MONTH(IF($P73="",$B73,$P73)),"")</f>
        <v/>
      </c>
      <c r="R73" s="56">
        <f>IFERROR(YEAR(IF($P73="",$B73,$P73)),"")</f>
        <v/>
      </c>
    </row>
    <row r="74" ht="15" customHeight="1" s="30">
      <c r="A74" s="48" t="n"/>
      <c r="B74" s="52" t="n"/>
      <c r="C74" s="48" t="n"/>
      <c r="D74" s="35">
        <f>IFERROR(INDEX('Khách hàng'!$B$4:$B$103,MATCH($C74,'Khách hàng'!$A$4:$A$103,0)),"")</f>
        <v/>
      </c>
      <c r="E74" s="48" t="n"/>
      <c r="F74" s="50" t="n"/>
      <c r="G74" s="53" t="n"/>
      <c r="H74" s="41">
        <f>IFERROR($F74*(1+$G74),"")</f>
        <v/>
      </c>
      <c r="I74" s="52" t="n"/>
      <c r="J74" s="48" t="n"/>
      <c r="K74" s="48" t="n"/>
      <c r="L74" s="48" t="n"/>
      <c r="M74" s="54">
        <f>IFERROR(MONTH($B74),"")</f>
        <v/>
      </c>
      <c r="N74" s="54">
        <f>IFERROR(YEAR($B74),"")</f>
        <v/>
      </c>
      <c r="O74" s="48" t="n"/>
      <c r="P74" s="55" t="n"/>
      <c r="Q74" s="56">
        <f>IFERROR(MONTH(IF($P74="",$B74,$P74)),"")</f>
        <v/>
      </c>
      <c r="R74" s="56">
        <f>IFERROR(YEAR(IF($P74="",$B74,$P74)),"")</f>
        <v/>
      </c>
    </row>
    <row r="75" ht="15" customHeight="1" s="30">
      <c r="A75" s="48" t="n"/>
      <c r="B75" s="52" t="n"/>
      <c r="C75" s="48" t="n"/>
      <c r="D75" s="35">
        <f>IFERROR(INDEX('Khách hàng'!$B$4:$B$103,MATCH($C75,'Khách hàng'!$A$4:$A$103,0)),"")</f>
        <v/>
      </c>
      <c r="E75" s="48" t="n"/>
      <c r="F75" s="50" t="n"/>
      <c r="G75" s="53" t="n"/>
      <c r="H75" s="41">
        <f>IFERROR($F75*(1+$G75),"")</f>
        <v/>
      </c>
      <c r="I75" s="52" t="n"/>
      <c r="J75" s="48" t="n"/>
      <c r="K75" s="48" t="n"/>
      <c r="L75" s="48" t="n"/>
      <c r="M75" s="54">
        <f>IFERROR(MONTH($B75),"")</f>
        <v/>
      </c>
      <c r="N75" s="54">
        <f>IFERROR(YEAR($B75),"")</f>
        <v/>
      </c>
      <c r="O75" s="48" t="n"/>
      <c r="P75" s="55" t="n"/>
      <c r="Q75" s="56">
        <f>IFERROR(MONTH(IF($P75="",$B75,$P75)),"")</f>
        <v/>
      </c>
      <c r="R75" s="56">
        <f>IFERROR(YEAR(IF($P75="",$B75,$P75)),"")</f>
        <v/>
      </c>
    </row>
    <row r="76" ht="15" customHeight="1" s="30">
      <c r="A76" s="48" t="n"/>
      <c r="B76" s="52" t="n"/>
      <c r="C76" s="48" t="n"/>
      <c r="D76" s="35">
        <f>IFERROR(INDEX('Khách hàng'!$B$4:$B$103,MATCH($C76,'Khách hàng'!$A$4:$A$103,0)),"")</f>
        <v/>
      </c>
      <c r="E76" s="48" t="n"/>
      <c r="F76" s="50" t="n"/>
      <c r="G76" s="53" t="n"/>
      <c r="H76" s="41">
        <f>IFERROR($F76*(1+$G76),"")</f>
        <v/>
      </c>
      <c r="I76" s="52" t="n"/>
      <c r="J76" s="48" t="n"/>
      <c r="K76" s="48" t="n"/>
      <c r="L76" s="48" t="n"/>
      <c r="M76" s="54">
        <f>IFERROR(MONTH($B76),"")</f>
        <v/>
      </c>
      <c r="N76" s="54">
        <f>IFERROR(YEAR($B76),"")</f>
        <v/>
      </c>
      <c r="O76" s="48" t="n"/>
      <c r="P76" s="55" t="n"/>
      <c r="Q76" s="56">
        <f>IFERROR(MONTH(IF($P76="",$B76,$P76)),"")</f>
        <v/>
      </c>
      <c r="R76" s="56">
        <f>IFERROR(YEAR(IF($P76="",$B76,$P76)),"")</f>
        <v/>
      </c>
    </row>
    <row r="77" ht="15" customHeight="1" s="30">
      <c r="A77" s="48" t="n"/>
      <c r="B77" s="52" t="n"/>
      <c r="C77" s="48" t="n"/>
      <c r="D77" s="35">
        <f>IFERROR(INDEX('Khách hàng'!$B$4:$B$103,MATCH($C77,'Khách hàng'!$A$4:$A$103,0)),"")</f>
        <v/>
      </c>
      <c r="E77" s="48" t="n"/>
      <c r="F77" s="50" t="n"/>
      <c r="G77" s="53" t="n"/>
      <c r="H77" s="41">
        <f>IFERROR($F77*(1+$G77),"")</f>
        <v/>
      </c>
      <c r="I77" s="52" t="n"/>
      <c r="J77" s="48" t="n"/>
      <c r="K77" s="48" t="n"/>
      <c r="L77" s="48" t="n"/>
      <c r="M77" s="54">
        <f>IFERROR(MONTH($B77),"")</f>
        <v/>
      </c>
      <c r="N77" s="54">
        <f>IFERROR(YEAR($B77),"")</f>
        <v/>
      </c>
      <c r="O77" s="48" t="n"/>
      <c r="P77" s="55" t="n"/>
      <c r="Q77" s="56">
        <f>IFERROR(MONTH(IF($P77="",$B77,$P77)),"")</f>
        <v/>
      </c>
      <c r="R77" s="56">
        <f>IFERROR(YEAR(IF($P77="",$B77,$P77)),"")</f>
        <v/>
      </c>
    </row>
    <row r="78" ht="15" customHeight="1" s="30">
      <c r="A78" s="48" t="n"/>
      <c r="B78" s="52" t="n"/>
      <c r="C78" s="48" t="n"/>
      <c r="D78" s="35">
        <f>IFERROR(INDEX('Khách hàng'!$B$4:$B$103,MATCH($C78,'Khách hàng'!$A$4:$A$103,0)),"")</f>
        <v/>
      </c>
      <c r="E78" s="48" t="n"/>
      <c r="F78" s="50" t="n"/>
      <c r="G78" s="53" t="n"/>
      <c r="H78" s="41">
        <f>IFERROR($F78*(1+$G78),"")</f>
        <v/>
      </c>
      <c r="I78" s="52" t="n"/>
      <c r="J78" s="48" t="n"/>
      <c r="K78" s="48" t="n"/>
      <c r="L78" s="48" t="n"/>
      <c r="M78" s="54">
        <f>IFERROR(MONTH($B78),"")</f>
        <v/>
      </c>
      <c r="N78" s="54">
        <f>IFERROR(YEAR($B78),"")</f>
        <v/>
      </c>
      <c r="O78" s="48" t="n"/>
      <c r="P78" s="55" t="n"/>
      <c r="Q78" s="56">
        <f>IFERROR(MONTH(IF($P78="",$B78,$P78)),"")</f>
        <v/>
      </c>
      <c r="R78" s="56">
        <f>IFERROR(YEAR(IF($P78="",$B78,$P78)),"")</f>
        <v/>
      </c>
    </row>
    <row r="79" ht="15" customHeight="1" s="30">
      <c r="A79" s="48" t="n"/>
      <c r="B79" s="52" t="n"/>
      <c r="C79" s="48" t="n"/>
      <c r="D79" s="35">
        <f>IFERROR(INDEX('Khách hàng'!$B$4:$B$103,MATCH($C79,'Khách hàng'!$A$4:$A$103,0)),"")</f>
        <v/>
      </c>
      <c r="E79" s="48" t="n"/>
      <c r="F79" s="50" t="n"/>
      <c r="G79" s="53" t="n"/>
      <c r="H79" s="41">
        <f>IFERROR($F79*(1+$G79),"")</f>
        <v/>
      </c>
      <c r="I79" s="52" t="n"/>
      <c r="J79" s="48" t="n"/>
      <c r="K79" s="48" t="n"/>
      <c r="L79" s="48" t="n"/>
      <c r="M79" s="54">
        <f>IFERROR(MONTH($B79),"")</f>
        <v/>
      </c>
      <c r="N79" s="54">
        <f>IFERROR(YEAR($B79),"")</f>
        <v/>
      </c>
      <c r="O79" s="48" t="n"/>
      <c r="P79" s="55" t="n"/>
      <c r="Q79" s="56">
        <f>IFERROR(MONTH(IF($P79="",$B79,$P79)),"")</f>
        <v/>
      </c>
      <c r="R79" s="56">
        <f>IFERROR(YEAR(IF($P79="",$B79,$P79)),"")</f>
        <v/>
      </c>
    </row>
    <row r="80" ht="15" customHeight="1" s="30">
      <c r="A80" s="48" t="n"/>
      <c r="B80" s="52" t="n"/>
      <c r="C80" s="48" t="n"/>
      <c r="D80" s="35">
        <f>IFERROR(INDEX('Khách hàng'!$B$4:$B$103,MATCH($C80,'Khách hàng'!$A$4:$A$103,0)),"")</f>
        <v/>
      </c>
      <c r="E80" s="48" t="n"/>
      <c r="F80" s="50" t="n"/>
      <c r="G80" s="53" t="n"/>
      <c r="H80" s="41">
        <f>IFERROR($F80*(1+$G80),"")</f>
        <v/>
      </c>
      <c r="I80" s="52" t="n"/>
      <c r="J80" s="48" t="n"/>
      <c r="K80" s="48" t="n"/>
      <c r="L80" s="48" t="n"/>
      <c r="M80" s="54">
        <f>IFERROR(MONTH($B80),"")</f>
        <v/>
      </c>
      <c r="N80" s="54">
        <f>IFERROR(YEAR($B80),"")</f>
        <v/>
      </c>
      <c r="O80" s="48" t="n"/>
      <c r="P80" s="55" t="n"/>
      <c r="Q80" s="56">
        <f>IFERROR(MONTH(IF($P80="",$B80,$P80)),"")</f>
        <v/>
      </c>
      <c r="R80" s="56">
        <f>IFERROR(YEAR(IF($P80="",$B80,$P80)),"")</f>
        <v/>
      </c>
    </row>
    <row r="81" ht="15" customHeight="1" s="30">
      <c r="A81" s="48" t="n"/>
      <c r="B81" s="52" t="n"/>
      <c r="C81" s="48" t="n"/>
      <c r="D81" s="35">
        <f>IFERROR(INDEX('Khách hàng'!$B$4:$B$103,MATCH($C81,'Khách hàng'!$A$4:$A$103,0)),"")</f>
        <v/>
      </c>
      <c r="E81" s="48" t="n"/>
      <c r="F81" s="50" t="n"/>
      <c r="G81" s="53" t="n"/>
      <c r="H81" s="41">
        <f>IFERROR($F81*(1+$G81),"")</f>
        <v/>
      </c>
      <c r="I81" s="52" t="n"/>
      <c r="J81" s="48" t="n"/>
      <c r="K81" s="48" t="n"/>
      <c r="L81" s="48" t="n"/>
      <c r="M81" s="54">
        <f>IFERROR(MONTH($B81),"")</f>
        <v/>
      </c>
      <c r="N81" s="54">
        <f>IFERROR(YEAR($B81),"")</f>
        <v/>
      </c>
      <c r="O81" s="48" t="n"/>
      <c r="P81" s="55" t="n"/>
      <c r="Q81" s="56">
        <f>IFERROR(MONTH(IF($P81="",$B81,$P81)),"")</f>
        <v/>
      </c>
      <c r="R81" s="56">
        <f>IFERROR(YEAR(IF($P81="",$B81,$P81)),"")</f>
        <v/>
      </c>
    </row>
    <row r="82" ht="15" customHeight="1" s="30">
      <c r="A82" s="48" t="n"/>
      <c r="B82" s="52" t="n"/>
      <c r="C82" s="48" t="n"/>
      <c r="D82" s="35">
        <f>IFERROR(INDEX('Khách hàng'!$B$4:$B$103,MATCH($C82,'Khách hàng'!$A$4:$A$103,0)),"")</f>
        <v/>
      </c>
      <c r="E82" s="48" t="n"/>
      <c r="F82" s="50" t="n"/>
      <c r="G82" s="53" t="n"/>
      <c r="H82" s="41">
        <f>IFERROR($F82*(1+$G82),"")</f>
        <v/>
      </c>
      <c r="I82" s="52" t="n"/>
      <c r="J82" s="48" t="n"/>
      <c r="K82" s="48" t="n"/>
      <c r="L82" s="48" t="n"/>
      <c r="M82" s="54">
        <f>IFERROR(MONTH($B82),"")</f>
        <v/>
      </c>
      <c r="N82" s="54">
        <f>IFERROR(YEAR($B82),"")</f>
        <v/>
      </c>
      <c r="O82" s="48" t="n"/>
      <c r="P82" s="55" t="n"/>
      <c r="Q82" s="56">
        <f>IFERROR(MONTH(IF($P82="",$B82,$P82)),"")</f>
        <v/>
      </c>
      <c r="R82" s="56">
        <f>IFERROR(YEAR(IF($P82="",$B82,$P82)),"")</f>
        <v/>
      </c>
    </row>
    <row r="83" ht="15" customHeight="1" s="30">
      <c r="A83" s="48" t="n"/>
      <c r="B83" s="52" t="n"/>
      <c r="C83" s="48" t="n"/>
      <c r="D83" s="35">
        <f>IFERROR(INDEX('Khách hàng'!$B$4:$B$103,MATCH($C83,'Khách hàng'!$A$4:$A$103,0)),"")</f>
        <v/>
      </c>
      <c r="E83" s="48" t="n"/>
      <c r="F83" s="50" t="n"/>
      <c r="G83" s="53" t="n"/>
      <c r="H83" s="41">
        <f>IFERROR($F83*(1+$G83),"")</f>
        <v/>
      </c>
      <c r="I83" s="52" t="n"/>
      <c r="J83" s="48" t="n"/>
      <c r="K83" s="48" t="n"/>
      <c r="L83" s="48" t="n"/>
      <c r="M83" s="54">
        <f>IFERROR(MONTH($B83),"")</f>
        <v/>
      </c>
      <c r="N83" s="54">
        <f>IFERROR(YEAR($B83),"")</f>
        <v/>
      </c>
      <c r="O83" s="48" t="n"/>
      <c r="P83" s="55" t="n"/>
      <c r="Q83" s="56">
        <f>IFERROR(MONTH(IF($P83="",$B83,$P83)),"")</f>
        <v/>
      </c>
      <c r="R83" s="56">
        <f>IFERROR(YEAR(IF($P83="",$B83,$P83)),"")</f>
        <v/>
      </c>
    </row>
    <row r="84" ht="15" customHeight="1" s="30">
      <c r="A84" s="48" t="n"/>
      <c r="B84" s="52" t="n"/>
      <c r="C84" s="48" t="n"/>
      <c r="D84" s="35">
        <f>IFERROR(INDEX('Khách hàng'!$B$4:$B$103,MATCH($C84,'Khách hàng'!$A$4:$A$103,0)),"")</f>
        <v/>
      </c>
      <c r="E84" s="48" t="n"/>
      <c r="F84" s="50" t="n"/>
      <c r="G84" s="53" t="n"/>
      <c r="H84" s="41">
        <f>IFERROR($F84*(1+$G84),"")</f>
        <v/>
      </c>
      <c r="I84" s="52" t="n"/>
      <c r="J84" s="48" t="n"/>
      <c r="K84" s="48" t="n"/>
      <c r="L84" s="48" t="n"/>
      <c r="M84" s="54">
        <f>IFERROR(MONTH($B84),"")</f>
        <v/>
      </c>
      <c r="N84" s="54">
        <f>IFERROR(YEAR($B84),"")</f>
        <v/>
      </c>
      <c r="O84" s="48" t="n"/>
      <c r="P84" s="55" t="n"/>
      <c r="Q84" s="56">
        <f>IFERROR(MONTH(IF($P84="",$B84,$P84)),"")</f>
        <v/>
      </c>
      <c r="R84" s="56">
        <f>IFERROR(YEAR(IF($P84="",$B84,$P84)),"")</f>
        <v/>
      </c>
    </row>
    <row r="85" ht="15" customHeight="1" s="30">
      <c r="A85" s="48" t="n"/>
      <c r="B85" s="52" t="n"/>
      <c r="C85" s="48" t="n"/>
      <c r="D85" s="35">
        <f>IFERROR(INDEX('Khách hàng'!$B$4:$B$103,MATCH($C85,'Khách hàng'!$A$4:$A$103,0)),"")</f>
        <v/>
      </c>
      <c r="E85" s="48" t="n"/>
      <c r="F85" s="50" t="n"/>
      <c r="G85" s="53" t="n"/>
      <c r="H85" s="41">
        <f>IFERROR($F85*(1+$G85),"")</f>
        <v/>
      </c>
      <c r="I85" s="52" t="n"/>
      <c r="J85" s="48" t="n"/>
      <c r="K85" s="48" t="n"/>
      <c r="L85" s="48" t="n"/>
      <c r="M85" s="54">
        <f>IFERROR(MONTH($B85),"")</f>
        <v/>
      </c>
      <c r="N85" s="54">
        <f>IFERROR(YEAR($B85),"")</f>
        <v/>
      </c>
      <c r="O85" s="48" t="n"/>
      <c r="P85" s="55" t="n"/>
      <c r="Q85" s="56">
        <f>IFERROR(MONTH(IF($P85="",$B85,$P85)),"")</f>
        <v/>
      </c>
      <c r="R85" s="56">
        <f>IFERROR(YEAR(IF($P85="",$B85,$P85)),"")</f>
        <v/>
      </c>
    </row>
    <row r="86" ht="15" customHeight="1" s="30">
      <c r="A86" s="48" t="n"/>
      <c r="B86" s="52" t="n"/>
      <c r="C86" s="48" t="n"/>
      <c r="D86" s="35">
        <f>IFERROR(INDEX('Khách hàng'!$B$4:$B$103,MATCH($C86,'Khách hàng'!$A$4:$A$103,0)),"")</f>
        <v/>
      </c>
      <c r="E86" s="48" t="n"/>
      <c r="F86" s="50" t="n"/>
      <c r="G86" s="53" t="n"/>
      <c r="H86" s="41">
        <f>IFERROR($F86*(1+$G86),"")</f>
        <v/>
      </c>
      <c r="I86" s="52" t="n"/>
      <c r="J86" s="48" t="n"/>
      <c r="K86" s="48" t="n"/>
      <c r="L86" s="48" t="n"/>
      <c r="M86" s="54">
        <f>IFERROR(MONTH($B86),"")</f>
        <v/>
      </c>
      <c r="N86" s="54">
        <f>IFERROR(YEAR($B86),"")</f>
        <v/>
      </c>
      <c r="O86" s="48" t="n"/>
      <c r="P86" s="55" t="n"/>
      <c r="Q86" s="56">
        <f>IFERROR(MONTH(IF($P86="",$B86,$P86)),"")</f>
        <v/>
      </c>
      <c r="R86" s="56">
        <f>IFERROR(YEAR(IF($P86="",$B86,$P86)),"")</f>
        <v/>
      </c>
    </row>
    <row r="87" ht="15" customHeight="1" s="30">
      <c r="A87" s="48" t="n"/>
      <c r="B87" s="52" t="n"/>
      <c r="C87" s="48" t="n"/>
      <c r="D87" s="35">
        <f>IFERROR(INDEX('Khách hàng'!$B$4:$B$103,MATCH($C87,'Khách hàng'!$A$4:$A$103,0)),"")</f>
        <v/>
      </c>
      <c r="E87" s="48" t="n"/>
      <c r="F87" s="50" t="n"/>
      <c r="G87" s="53" t="n"/>
      <c r="H87" s="41">
        <f>IFERROR($F87*(1+$G87),"")</f>
        <v/>
      </c>
      <c r="I87" s="52" t="n"/>
      <c r="J87" s="48" t="n"/>
      <c r="K87" s="48" t="n"/>
      <c r="L87" s="48" t="n"/>
      <c r="M87" s="54">
        <f>IFERROR(MONTH($B87),"")</f>
        <v/>
      </c>
      <c r="N87" s="54">
        <f>IFERROR(YEAR($B87),"")</f>
        <v/>
      </c>
      <c r="O87" s="48" t="n"/>
      <c r="P87" s="55" t="n"/>
      <c r="Q87" s="56">
        <f>IFERROR(MONTH(IF($P87="",$B87,$P87)),"")</f>
        <v/>
      </c>
      <c r="R87" s="56">
        <f>IFERROR(YEAR(IF($P87="",$B87,$P87)),"")</f>
        <v/>
      </c>
    </row>
    <row r="88" ht="15" customHeight="1" s="30">
      <c r="A88" s="48" t="n"/>
      <c r="B88" s="52" t="n"/>
      <c r="C88" s="48" t="n"/>
      <c r="D88" s="35">
        <f>IFERROR(INDEX('Khách hàng'!$B$4:$B$103,MATCH($C88,'Khách hàng'!$A$4:$A$103,0)),"")</f>
        <v/>
      </c>
      <c r="E88" s="48" t="n"/>
      <c r="F88" s="50" t="n"/>
      <c r="G88" s="53" t="n"/>
      <c r="H88" s="41">
        <f>IFERROR($F88*(1+$G88),"")</f>
        <v/>
      </c>
      <c r="I88" s="52" t="n"/>
      <c r="J88" s="48" t="n"/>
      <c r="K88" s="48" t="n"/>
      <c r="L88" s="48" t="n"/>
      <c r="M88" s="54">
        <f>IFERROR(MONTH($B88),"")</f>
        <v/>
      </c>
      <c r="N88" s="54">
        <f>IFERROR(YEAR($B88),"")</f>
        <v/>
      </c>
      <c r="O88" s="48" t="n"/>
      <c r="P88" s="55" t="n"/>
      <c r="Q88" s="56">
        <f>IFERROR(MONTH(IF($P88="",$B88,$P88)),"")</f>
        <v/>
      </c>
      <c r="R88" s="56">
        <f>IFERROR(YEAR(IF($P88="",$B88,$P88)),"")</f>
        <v/>
      </c>
    </row>
    <row r="89" ht="15" customHeight="1" s="30">
      <c r="A89" s="48" t="n"/>
      <c r="B89" s="52" t="n"/>
      <c r="C89" s="48" t="n"/>
      <c r="D89" s="35">
        <f>IFERROR(INDEX('Khách hàng'!$B$4:$B$103,MATCH($C89,'Khách hàng'!$A$4:$A$103,0)),"")</f>
        <v/>
      </c>
      <c r="E89" s="48" t="n"/>
      <c r="F89" s="50" t="n"/>
      <c r="G89" s="53" t="n"/>
      <c r="H89" s="41">
        <f>IFERROR($F89*(1+$G89),"")</f>
        <v/>
      </c>
      <c r="I89" s="52" t="n"/>
      <c r="J89" s="48" t="n"/>
      <c r="K89" s="48" t="n"/>
      <c r="L89" s="48" t="n"/>
      <c r="M89" s="54">
        <f>IFERROR(MONTH($B89),"")</f>
        <v/>
      </c>
      <c r="N89" s="54">
        <f>IFERROR(YEAR($B89),"")</f>
        <v/>
      </c>
      <c r="O89" s="48" t="n"/>
      <c r="P89" s="55" t="n"/>
      <c r="Q89" s="56">
        <f>IFERROR(MONTH(IF($P89="",$B89,$P89)),"")</f>
        <v/>
      </c>
      <c r="R89" s="56">
        <f>IFERROR(YEAR(IF($P89="",$B89,$P89)),"")</f>
        <v/>
      </c>
    </row>
    <row r="90" ht="15" customHeight="1" s="30">
      <c r="A90" s="48" t="n"/>
      <c r="B90" s="52" t="n"/>
      <c r="C90" s="48" t="n"/>
      <c r="D90" s="35">
        <f>IFERROR(INDEX('Khách hàng'!$B$4:$B$103,MATCH($C90,'Khách hàng'!$A$4:$A$103,0)),"")</f>
        <v/>
      </c>
      <c r="E90" s="48" t="n"/>
      <c r="F90" s="50" t="n"/>
      <c r="G90" s="53" t="n"/>
      <c r="H90" s="41">
        <f>IFERROR($F90*(1+$G90),"")</f>
        <v/>
      </c>
      <c r="I90" s="52" t="n"/>
      <c r="J90" s="48" t="n"/>
      <c r="K90" s="48" t="n"/>
      <c r="L90" s="48" t="n"/>
      <c r="M90" s="54">
        <f>IFERROR(MONTH($B90),"")</f>
        <v/>
      </c>
      <c r="N90" s="54">
        <f>IFERROR(YEAR($B90),"")</f>
        <v/>
      </c>
      <c r="O90" s="48" t="n"/>
      <c r="P90" s="55" t="n"/>
      <c r="Q90" s="56">
        <f>IFERROR(MONTH(IF($P90="",$B90,$P90)),"")</f>
        <v/>
      </c>
      <c r="R90" s="56">
        <f>IFERROR(YEAR(IF($P90="",$B90,$P90)),"")</f>
        <v/>
      </c>
    </row>
    <row r="91" ht="15" customHeight="1" s="30">
      <c r="A91" s="48" t="n"/>
      <c r="B91" s="52" t="n"/>
      <c r="C91" s="48" t="n"/>
      <c r="D91" s="35">
        <f>IFERROR(INDEX('Khách hàng'!$B$4:$B$103,MATCH($C91,'Khách hàng'!$A$4:$A$103,0)),"")</f>
        <v/>
      </c>
      <c r="E91" s="48" t="n"/>
      <c r="F91" s="50" t="n"/>
      <c r="G91" s="53" t="n"/>
      <c r="H91" s="41">
        <f>IFERROR($F91*(1+$G91),"")</f>
        <v/>
      </c>
      <c r="I91" s="52" t="n"/>
      <c r="J91" s="48" t="n"/>
      <c r="K91" s="48" t="n"/>
      <c r="L91" s="48" t="n"/>
      <c r="M91" s="54">
        <f>IFERROR(MONTH($B91),"")</f>
        <v/>
      </c>
      <c r="N91" s="54">
        <f>IFERROR(YEAR($B91),"")</f>
        <v/>
      </c>
      <c r="O91" s="48" t="n"/>
      <c r="P91" s="55" t="n"/>
      <c r="Q91" s="56">
        <f>IFERROR(MONTH(IF($P91="",$B91,$P91)),"")</f>
        <v/>
      </c>
      <c r="R91" s="56">
        <f>IFERROR(YEAR(IF($P91="",$B91,$P91)),"")</f>
        <v/>
      </c>
    </row>
    <row r="92" ht="15" customHeight="1" s="30">
      <c r="A92" s="48" t="n"/>
      <c r="B92" s="52" t="n"/>
      <c r="C92" s="48" t="n"/>
      <c r="D92" s="35">
        <f>IFERROR(INDEX('Khách hàng'!$B$4:$B$103,MATCH($C92,'Khách hàng'!$A$4:$A$103,0)),"")</f>
        <v/>
      </c>
      <c r="E92" s="48" t="n"/>
      <c r="F92" s="50" t="n"/>
      <c r="G92" s="53" t="n"/>
      <c r="H92" s="41">
        <f>IFERROR($F92*(1+$G92),"")</f>
        <v/>
      </c>
      <c r="I92" s="52" t="n"/>
      <c r="J92" s="48" t="n"/>
      <c r="K92" s="48" t="n"/>
      <c r="L92" s="48" t="n"/>
      <c r="M92" s="54">
        <f>IFERROR(MONTH($B92),"")</f>
        <v/>
      </c>
      <c r="N92" s="54">
        <f>IFERROR(YEAR($B92),"")</f>
        <v/>
      </c>
      <c r="O92" s="48" t="n"/>
      <c r="P92" s="55" t="n"/>
      <c r="Q92" s="56">
        <f>IFERROR(MONTH(IF($P92="",$B92,$P92)),"")</f>
        <v/>
      </c>
      <c r="R92" s="56">
        <f>IFERROR(YEAR(IF($P92="",$B92,$P92)),"")</f>
        <v/>
      </c>
    </row>
    <row r="93" ht="15" customHeight="1" s="30">
      <c r="A93" s="48" t="n"/>
      <c r="B93" s="52" t="n"/>
      <c r="C93" s="48" t="n"/>
      <c r="D93" s="35">
        <f>IFERROR(INDEX('Khách hàng'!$B$4:$B$103,MATCH($C93,'Khách hàng'!$A$4:$A$103,0)),"")</f>
        <v/>
      </c>
      <c r="E93" s="48" t="n"/>
      <c r="F93" s="50" t="n"/>
      <c r="G93" s="53" t="n"/>
      <c r="H93" s="41">
        <f>IFERROR($F93*(1+$G93),"")</f>
        <v/>
      </c>
      <c r="I93" s="52" t="n"/>
      <c r="J93" s="48" t="n"/>
      <c r="K93" s="48" t="n"/>
      <c r="L93" s="48" t="n"/>
      <c r="M93" s="54">
        <f>IFERROR(MONTH($B93),"")</f>
        <v/>
      </c>
      <c r="N93" s="54">
        <f>IFERROR(YEAR($B93),"")</f>
        <v/>
      </c>
      <c r="O93" s="48" t="n"/>
      <c r="P93" s="55" t="n"/>
      <c r="Q93" s="56">
        <f>IFERROR(MONTH(IF($P93="",$B93,$P93)),"")</f>
        <v/>
      </c>
      <c r="R93" s="56">
        <f>IFERROR(YEAR(IF($P93="",$B93,$P93)),"")</f>
        <v/>
      </c>
    </row>
    <row r="94" ht="15" customHeight="1" s="30">
      <c r="A94" s="48" t="n"/>
      <c r="B94" s="52" t="n"/>
      <c r="C94" s="48" t="n"/>
      <c r="D94" s="35">
        <f>IFERROR(INDEX('Khách hàng'!$B$4:$B$103,MATCH($C94,'Khách hàng'!$A$4:$A$103,0)),"")</f>
        <v/>
      </c>
      <c r="E94" s="48" t="n"/>
      <c r="F94" s="50" t="n"/>
      <c r="G94" s="53" t="n"/>
      <c r="H94" s="41">
        <f>IFERROR($F94*(1+$G94),"")</f>
        <v/>
      </c>
      <c r="I94" s="52" t="n"/>
      <c r="J94" s="48" t="n"/>
      <c r="K94" s="48" t="n"/>
      <c r="L94" s="48" t="n"/>
      <c r="M94" s="54">
        <f>IFERROR(MONTH($B94),"")</f>
        <v/>
      </c>
      <c r="N94" s="54">
        <f>IFERROR(YEAR($B94),"")</f>
        <v/>
      </c>
      <c r="O94" s="48" t="n"/>
      <c r="P94" s="55" t="n"/>
      <c r="Q94" s="56">
        <f>IFERROR(MONTH(IF($P94="",$B94,$P94)),"")</f>
        <v/>
      </c>
      <c r="R94" s="56">
        <f>IFERROR(YEAR(IF($P94="",$B94,$P94)),"")</f>
        <v/>
      </c>
    </row>
    <row r="95" ht="15" customHeight="1" s="30">
      <c r="A95" s="48" t="n"/>
      <c r="B95" s="52" t="n"/>
      <c r="C95" s="48" t="n"/>
      <c r="D95" s="35">
        <f>IFERROR(INDEX('Khách hàng'!$B$4:$B$103,MATCH($C95,'Khách hàng'!$A$4:$A$103,0)),"")</f>
        <v/>
      </c>
      <c r="E95" s="48" t="n"/>
      <c r="F95" s="50" t="n"/>
      <c r="G95" s="53" t="n"/>
      <c r="H95" s="41">
        <f>IFERROR($F95*(1+$G95),"")</f>
        <v/>
      </c>
      <c r="I95" s="52" t="n"/>
      <c r="J95" s="48" t="n"/>
      <c r="K95" s="48" t="n"/>
      <c r="L95" s="48" t="n"/>
      <c r="M95" s="54">
        <f>IFERROR(MONTH($B95),"")</f>
        <v/>
      </c>
      <c r="N95" s="54">
        <f>IFERROR(YEAR($B95),"")</f>
        <v/>
      </c>
      <c r="O95" s="48" t="n"/>
      <c r="P95" s="55" t="n"/>
      <c r="Q95" s="56">
        <f>IFERROR(MONTH(IF($P95="",$B95,$P95)),"")</f>
        <v/>
      </c>
      <c r="R95" s="56">
        <f>IFERROR(YEAR(IF($P95="",$B95,$P95)),"")</f>
        <v/>
      </c>
    </row>
    <row r="96" ht="15" customHeight="1" s="30">
      <c r="A96" s="48" t="n"/>
      <c r="B96" s="52" t="n"/>
      <c r="C96" s="48" t="n"/>
      <c r="D96" s="35">
        <f>IFERROR(INDEX('Khách hàng'!$B$4:$B$103,MATCH($C96,'Khách hàng'!$A$4:$A$103,0)),"")</f>
        <v/>
      </c>
      <c r="E96" s="48" t="n"/>
      <c r="F96" s="50" t="n"/>
      <c r="G96" s="53" t="n"/>
      <c r="H96" s="41">
        <f>IFERROR($F96*(1+$G96),"")</f>
        <v/>
      </c>
      <c r="I96" s="52" t="n"/>
      <c r="J96" s="48" t="n"/>
      <c r="K96" s="48" t="n"/>
      <c r="L96" s="48" t="n"/>
      <c r="M96" s="54">
        <f>IFERROR(MONTH($B96),"")</f>
        <v/>
      </c>
      <c r="N96" s="54">
        <f>IFERROR(YEAR($B96),"")</f>
        <v/>
      </c>
      <c r="O96" s="48" t="n"/>
      <c r="P96" s="55" t="n"/>
      <c r="Q96" s="56">
        <f>IFERROR(MONTH(IF($P96="",$B96,$P96)),"")</f>
        <v/>
      </c>
      <c r="R96" s="56">
        <f>IFERROR(YEAR(IF($P96="",$B96,$P96)),"")</f>
        <v/>
      </c>
    </row>
    <row r="97" ht="15" customHeight="1" s="30">
      <c r="A97" s="48" t="n"/>
      <c r="B97" s="52" t="n"/>
      <c r="C97" s="48" t="n"/>
      <c r="D97" s="35">
        <f>IFERROR(INDEX('Khách hàng'!$B$4:$B$103,MATCH($C97,'Khách hàng'!$A$4:$A$103,0)),"")</f>
        <v/>
      </c>
      <c r="E97" s="48" t="n"/>
      <c r="F97" s="50" t="n"/>
      <c r="G97" s="53" t="n"/>
      <c r="H97" s="41">
        <f>IFERROR($F97*(1+$G97),"")</f>
        <v/>
      </c>
      <c r="I97" s="52" t="n"/>
      <c r="J97" s="48" t="n"/>
      <c r="K97" s="48" t="n"/>
      <c r="L97" s="48" t="n"/>
      <c r="M97" s="54">
        <f>IFERROR(MONTH($B97),"")</f>
        <v/>
      </c>
      <c r="N97" s="54">
        <f>IFERROR(YEAR($B97),"")</f>
        <v/>
      </c>
      <c r="O97" s="48" t="n"/>
      <c r="P97" s="55" t="n"/>
      <c r="Q97" s="56">
        <f>IFERROR(MONTH(IF($P97="",$B97,$P97)),"")</f>
        <v/>
      </c>
      <c r="R97" s="56">
        <f>IFERROR(YEAR(IF($P97="",$B97,$P97)),"")</f>
        <v/>
      </c>
    </row>
    <row r="98" ht="15" customHeight="1" s="30">
      <c r="A98" s="48" t="n"/>
      <c r="B98" s="52" t="n"/>
      <c r="C98" s="48" t="n"/>
      <c r="D98" s="35">
        <f>IFERROR(INDEX('Khách hàng'!$B$4:$B$103,MATCH($C98,'Khách hàng'!$A$4:$A$103,0)),"")</f>
        <v/>
      </c>
      <c r="E98" s="48" t="n"/>
      <c r="F98" s="50" t="n"/>
      <c r="G98" s="53" t="n"/>
      <c r="H98" s="41">
        <f>IFERROR($F98*(1+$G98),"")</f>
        <v/>
      </c>
      <c r="I98" s="52" t="n"/>
      <c r="J98" s="48" t="n"/>
      <c r="K98" s="48" t="n"/>
      <c r="L98" s="48" t="n"/>
      <c r="M98" s="54">
        <f>IFERROR(MONTH($B98),"")</f>
        <v/>
      </c>
      <c r="N98" s="54">
        <f>IFERROR(YEAR($B98),"")</f>
        <v/>
      </c>
      <c r="O98" s="48" t="n"/>
      <c r="P98" s="55" t="n"/>
      <c r="Q98" s="56">
        <f>IFERROR(MONTH(IF($P98="",$B98,$P98)),"")</f>
        <v/>
      </c>
      <c r="R98" s="56">
        <f>IFERROR(YEAR(IF($P98="",$B98,$P98)),"")</f>
        <v/>
      </c>
    </row>
    <row r="99" ht="15" customHeight="1" s="30">
      <c r="A99" s="48" t="n"/>
      <c r="B99" s="52" t="n"/>
      <c r="C99" s="48" t="n"/>
      <c r="D99" s="35">
        <f>IFERROR(INDEX('Khách hàng'!$B$4:$B$103,MATCH($C99,'Khách hàng'!$A$4:$A$103,0)),"")</f>
        <v/>
      </c>
      <c r="E99" s="48" t="n"/>
      <c r="F99" s="50" t="n"/>
      <c r="G99" s="53" t="n"/>
      <c r="H99" s="41">
        <f>IFERROR($F99*(1+$G99),"")</f>
        <v/>
      </c>
      <c r="I99" s="52" t="n"/>
      <c r="J99" s="48" t="n"/>
      <c r="K99" s="48" t="n"/>
      <c r="L99" s="48" t="n"/>
      <c r="M99" s="54">
        <f>IFERROR(MONTH($B99),"")</f>
        <v/>
      </c>
      <c r="N99" s="54">
        <f>IFERROR(YEAR($B99),"")</f>
        <v/>
      </c>
      <c r="O99" s="48" t="n"/>
      <c r="P99" s="55" t="n"/>
      <c r="Q99" s="56">
        <f>IFERROR(MONTH(IF($P99="",$B99,$P99)),"")</f>
        <v/>
      </c>
      <c r="R99" s="56">
        <f>IFERROR(YEAR(IF($P99="",$B99,$P99)),"")</f>
        <v/>
      </c>
    </row>
    <row r="100" ht="15" customHeight="1" s="30">
      <c r="A100" s="48" t="n"/>
      <c r="B100" s="52" t="n"/>
      <c r="C100" s="48" t="n"/>
      <c r="D100" s="35">
        <f>IFERROR(INDEX('Khách hàng'!$B$4:$B$103,MATCH($C100,'Khách hàng'!$A$4:$A$103,0)),"")</f>
        <v/>
      </c>
      <c r="E100" s="48" t="n"/>
      <c r="F100" s="50" t="n"/>
      <c r="G100" s="53" t="n"/>
      <c r="H100" s="41">
        <f>IFERROR($F100*(1+$G100),"")</f>
        <v/>
      </c>
      <c r="I100" s="52" t="n"/>
      <c r="J100" s="48" t="n"/>
      <c r="K100" s="48" t="n"/>
      <c r="L100" s="48" t="n"/>
      <c r="M100" s="54">
        <f>IFERROR(MONTH($B100),"")</f>
        <v/>
      </c>
      <c r="N100" s="54">
        <f>IFERROR(YEAR($B100),"")</f>
        <v/>
      </c>
      <c r="O100" s="48" t="n"/>
      <c r="P100" s="55" t="n"/>
      <c r="Q100" s="56">
        <f>IFERROR(MONTH(IF($P100="",$B100,$P100)),"")</f>
        <v/>
      </c>
      <c r="R100" s="56">
        <f>IFERROR(YEAR(IF($P100="",$B100,$P100)),"")</f>
        <v/>
      </c>
    </row>
    <row r="101" ht="15" customHeight="1" s="30">
      <c r="A101" s="48" t="n"/>
      <c r="B101" s="52" t="n"/>
      <c r="C101" s="48" t="n"/>
      <c r="D101" s="35">
        <f>IFERROR(INDEX('Khách hàng'!$B$4:$B$103,MATCH($C101,'Khách hàng'!$A$4:$A$103,0)),"")</f>
        <v/>
      </c>
      <c r="E101" s="48" t="n"/>
      <c r="F101" s="50" t="n"/>
      <c r="G101" s="53" t="n"/>
      <c r="H101" s="41">
        <f>IFERROR($F101*(1+$G101),"")</f>
        <v/>
      </c>
      <c r="I101" s="52" t="n"/>
      <c r="J101" s="48" t="n"/>
      <c r="K101" s="48" t="n"/>
      <c r="L101" s="48" t="n"/>
      <c r="M101" s="54">
        <f>IFERROR(MONTH($B101),"")</f>
        <v/>
      </c>
      <c r="N101" s="54">
        <f>IFERROR(YEAR($B101),"")</f>
        <v/>
      </c>
      <c r="O101" s="48" t="n"/>
      <c r="P101" s="55" t="n"/>
      <c r="Q101" s="56">
        <f>IFERROR(MONTH(IF($P101="",$B101,$P101)),"")</f>
        <v/>
      </c>
      <c r="R101" s="56">
        <f>IFERROR(YEAR(IF($P101="",$B101,$P101)),"")</f>
        <v/>
      </c>
    </row>
    <row r="102" ht="15" customHeight="1" s="30">
      <c r="A102" s="48" t="n"/>
      <c r="B102" s="52" t="n"/>
      <c r="C102" s="48" t="n"/>
      <c r="D102" s="35">
        <f>IFERROR(INDEX('Khách hàng'!$B$4:$B$103,MATCH($C102,'Khách hàng'!$A$4:$A$103,0)),"")</f>
        <v/>
      </c>
      <c r="E102" s="48" t="n"/>
      <c r="F102" s="50" t="n"/>
      <c r="G102" s="53" t="n"/>
      <c r="H102" s="41">
        <f>IFERROR($F102*(1+$G102),"")</f>
        <v/>
      </c>
      <c r="I102" s="52" t="n"/>
      <c r="J102" s="48" t="n"/>
      <c r="K102" s="48" t="n"/>
      <c r="L102" s="48" t="n"/>
      <c r="M102" s="54">
        <f>IFERROR(MONTH($B102),"")</f>
        <v/>
      </c>
      <c r="N102" s="54">
        <f>IFERROR(YEAR($B102),"")</f>
        <v/>
      </c>
      <c r="O102" s="48" t="n"/>
      <c r="P102" s="55" t="n"/>
      <c r="Q102" s="56">
        <f>IFERROR(MONTH(IF($P102="",$B102,$P102)),"")</f>
        <v/>
      </c>
      <c r="R102" s="56">
        <f>IFERROR(YEAR(IF($P102="",$B102,$P102)),"")</f>
        <v/>
      </c>
    </row>
    <row r="103" ht="15" customHeight="1" s="30">
      <c r="A103" s="48" t="n"/>
      <c r="B103" s="52" t="n"/>
      <c r="C103" s="48" t="n"/>
      <c r="D103" s="35">
        <f>IFERROR(INDEX('Khách hàng'!$B$4:$B$103,MATCH($C103,'Khách hàng'!$A$4:$A$103,0)),"")</f>
        <v/>
      </c>
      <c r="E103" s="48" t="n"/>
      <c r="F103" s="50" t="n"/>
      <c r="G103" s="53" t="n"/>
      <c r="H103" s="41">
        <f>IFERROR($F103*(1+$G103),"")</f>
        <v/>
      </c>
      <c r="I103" s="52" t="n"/>
      <c r="J103" s="48" t="n"/>
      <c r="K103" s="48" t="n"/>
      <c r="L103" s="48" t="n"/>
      <c r="M103" s="54">
        <f>IFERROR(MONTH($B103),"")</f>
        <v/>
      </c>
      <c r="N103" s="54">
        <f>IFERROR(YEAR($B103),"")</f>
        <v/>
      </c>
      <c r="O103" s="48" t="n"/>
      <c r="P103" s="55" t="n"/>
      <c r="Q103" s="56">
        <f>IFERROR(MONTH(IF($P103="",$B103,$P103)),"")</f>
        <v/>
      </c>
      <c r="R103" s="56">
        <f>IFERROR(YEAR(IF($P103="",$B103,$P103)),"")</f>
        <v/>
      </c>
    </row>
    <row r="104" ht="15" customHeight="1" s="30">
      <c r="A104" s="48" t="n"/>
      <c r="B104" s="52" t="n"/>
      <c r="C104" s="48" t="n"/>
      <c r="D104" s="35">
        <f>IFERROR(INDEX('Khách hàng'!$B$4:$B$103,MATCH($C104,'Khách hàng'!$A$4:$A$103,0)),"")</f>
        <v/>
      </c>
      <c r="E104" s="48" t="n"/>
      <c r="F104" s="50" t="n"/>
      <c r="G104" s="53" t="n"/>
      <c r="H104" s="41">
        <f>IFERROR($F104*(1+$G104),"")</f>
        <v/>
      </c>
      <c r="I104" s="52" t="n"/>
      <c r="J104" s="48" t="n"/>
      <c r="K104" s="48" t="n"/>
      <c r="L104" s="48" t="n"/>
      <c r="M104" s="54">
        <f>IFERROR(MONTH($B104),"")</f>
        <v/>
      </c>
      <c r="N104" s="54">
        <f>IFERROR(YEAR($B104),"")</f>
        <v/>
      </c>
      <c r="O104" s="48" t="n"/>
      <c r="P104" s="55" t="n"/>
      <c r="Q104" s="56">
        <f>IFERROR(MONTH(IF($P104="",$B104,$P104)),"")</f>
        <v/>
      </c>
      <c r="R104" s="56">
        <f>IFERROR(YEAR(IF($P104="",$B104,$P104)),"")</f>
        <v/>
      </c>
    </row>
    <row r="105" ht="15" customHeight="1" s="30">
      <c r="A105" s="48" t="n"/>
      <c r="B105" s="52" t="n"/>
      <c r="C105" s="48" t="n"/>
      <c r="D105" s="35">
        <f>IFERROR(INDEX('Khách hàng'!$B$4:$B$103,MATCH($C105,'Khách hàng'!$A$4:$A$103,0)),"")</f>
        <v/>
      </c>
      <c r="E105" s="48" t="n"/>
      <c r="F105" s="50" t="n"/>
      <c r="G105" s="53" t="n"/>
      <c r="H105" s="41">
        <f>IFERROR($F105*(1+$G105),"")</f>
        <v/>
      </c>
      <c r="I105" s="52" t="n"/>
      <c r="J105" s="48" t="n"/>
      <c r="K105" s="48" t="n"/>
      <c r="L105" s="48" t="n"/>
      <c r="M105" s="54">
        <f>IFERROR(MONTH($B105),"")</f>
        <v/>
      </c>
      <c r="N105" s="54">
        <f>IFERROR(YEAR($B105),"")</f>
        <v/>
      </c>
      <c r="O105" s="48" t="n"/>
      <c r="P105" s="55" t="n"/>
      <c r="Q105" s="56">
        <f>IFERROR(MONTH(IF($P105="",$B105,$P105)),"")</f>
        <v/>
      </c>
      <c r="R105" s="56">
        <f>IFERROR(YEAR(IF($P105="",$B105,$P105)),"")</f>
        <v/>
      </c>
    </row>
    <row r="106" ht="15" customHeight="1" s="30">
      <c r="A106" s="48" t="n"/>
      <c r="B106" s="52" t="n"/>
      <c r="C106" s="48" t="n"/>
      <c r="D106" s="35">
        <f>IFERROR(INDEX('Khách hàng'!$B$4:$B$103,MATCH($C106,'Khách hàng'!$A$4:$A$103,0)),"")</f>
        <v/>
      </c>
      <c r="E106" s="48" t="n"/>
      <c r="F106" s="50" t="n"/>
      <c r="G106" s="53" t="n"/>
      <c r="H106" s="41">
        <f>IFERROR($F106*(1+$G106),"")</f>
        <v/>
      </c>
      <c r="I106" s="52" t="n"/>
      <c r="J106" s="48" t="n"/>
      <c r="K106" s="48" t="n"/>
      <c r="L106" s="48" t="n"/>
      <c r="M106" s="54">
        <f>IFERROR(MONTH($B106),"")</f>
        <v/>
      </c>
      <c r="N106" s="54">
        <f>IFERROR(YEAR($B106),"")</f>
        <v/>
      </c>
      <c r="O106" s="48" t="n"/>
      <c r="P106" s="55" t="n"/>
      <c r="Q106" s="56">
        <f>IFERROR(MONTH(IF($P106="",$B106,$P106)),"")</f>
        <v/>
      </c>
      <c r="R106" s="56">
        <f>IFERROR(YEAR(IF($P106="",$B106,$P106)),"")</f>
        <v/>
      </c>
    </row>
    <row r="107" ht="15" customHeight="1" s="30">
      <c r="A107" s="48" t="n"/>
      <c r="B107" s="52" t="n"/>
      <c r="C107" s="48" t="n"/>
      <c r="D107" s="35">
        <f>IFERROR(INDEX('Khách hàng'!$B$4:$B$103,MATCH($C107,'Khách hàng'!$A$4:$A$103,0)),"")</f>
        <v/>
      </c>
      <c r="E107" s="48" t="n"/>
      <c r="F107" s="50" t="n"/>
      <c r="G107" s="53" t="n"/>
      <c r="H107" s="41">
        <f>IFERROR($F107*(1+$G107),"")</f>
        <v/>
      </c>
      <c r="I107" s="52" t="n"/>
      <c r="J107" s="48" t="n"/>
      <c r="K107" s="48" t="n"/>
      <c r="L107" s="48" t="n"/>
      <c r="M107" s="54">
        <f>IFERROR(MONTH($B107),"")</f>
        <v/>
      </c>
      <c r="N107" s="54">
        <f>IFERROR(YEAR($B107),"")</f>
        <v/>
      </c>
      <c r="O107" s="48" t="n"/>
      <c r="P107" s="55" t="n"/>
      <c r="Q107" s="56">
        <f>IFERROR(MONTH(IF($P107="",$B107,$P107)),"")</f>
        <v/>
      </c>
      <c r="R107" s="56">
        <f>IFERROR(YEAR(IF($P107="",$B107,$P107)),"")</f>
        <v/>
      </c>
    </row>
    <row r="108" ht="15" customHeight="1" s="30">
      <c r="A108" s="48" t="n"/>
      <c r="B108" s="52" t="n"/>
      <c r="C108" s="48" t="n"/>
      <c r="D108" s="35">
        <f>IFERROR(INDEX('Khách hàng'!$B$4:$B$103,MATCH($C108,'Khách hàng'!$A$4:$A$103,0)),"")</f>
        <v/>
      </c>
      <c r="E108" s="48" t="n"/>
      <c r="F108" s="50" t="n"/>
      <c r="G108" s="53" t="n"/>
      <c r="H108" s="41">
        <f>IFERROR($F108*(1+$G108),"")</f>
        <v/>
      </c>
      <c r="I108" s="52" t="n"/>
      <c r="J108" s="48" t="n"/>
      <c r="K108" s="48" t="n"/>
      <c r="L108" s="48" t="n"/>
      <c r="M108" s="54">
        <f>IFERROR(MONTH($B108),"")</f>
        <v/>
      </c>
      <c r="N108" s="54">
        <f>IFERROR(YEAR($B108),"")</f>
        <v/>
      </c>
      <c r="O108" s="48" t="n"/>
      <c r="P108" s="55" t="n"/>
      <c r="Q108" s="56">
        <f>IFERROR(MONTH(IF($P108="",$B108,$P108)),"")</f>
        <v/>
      </c>
      <c r="R108" s="56">
        <f>IFERROR(YEAR(IF($P108="",$B108,$P108)),"")</f>
        <v/>
      </c>
    </row>
    <row r="109" ht="15" customHeight="1" s="30">
      <c r="A109" s="48" t="n"/>
      <c r="B109" s="52" t="n"/>
      <c r="C109" s="48" t="n"/>
      <c r="D109" s="35">
        <f>IFERROR(INDEX('Khách hàng'!$B$4:$B$103,MATCH($C109,'Khách hàng'!$A$4:$A$103,0)),"")</f>
        <v/>
      </c>
      <c r="E109" s="48" t="n"/>
      <c r="F109" s="50" t="n"/>
      <c r="G109" s="53" t="n"/>
      <c r="H109" s="41">
        <f>IFERROR($F109*(1+$G109),"")</f>
        <v/>
      </c>
      <c r="I109" s="52" t="n"/>
      <c r="J109" s="48" t="n"/>
      <c r="K109" s="48" t="n"/>
      <c r="L109" s="48" t="n"/>
      <c r="M109" s="54">
        <f>IFERROR(MONTH($B109),"")</f>
        <v/>
      </c>
      <c r="N109" s="54">
        <f>IFERROR(YEAR($B109),"")</f>
        <v/>
      </c>
      <c r="O109" s="48" t="n"/>
      <c r="P109" s="55" t="n"/>
      <c r="Q109" s="56">
        <f>IFERROR(MONTH(IF($P109="",$B109,$P109)),"")</f>
        <v/>
      </c>
      <c r="R109" s="56">
        <f>IFERROR(YEAR(IF($P109="",$B109,$P109)),"")</f>
        <v/>
      </c>
    </row>
    <row r="110" ht="15" customHeight="1" s="30">
      <c r="A110" s="48" t="n"/>
      <c r="B110" s="52" t="n"/>
      <c r="C110" s="48" t="n"/>
      <c r="D110" s="35">
        <f>IFERROR(INDEX('Khách hàng'!$B$4:$B$103,MATCH($C110,'Khách hàng'!$A$4:$A$103,0)),"")</f>
        <v/>
      </c>
      <c r="E110" s="48" t="n"/>
      <c r="F110" s="50" t="n"/>
      <c r="G110" s="53" t="n"/>
      <c r="H110" s="41">
        <f>IFERROR($F110*(1+$G110),"")</f>
        <v/>
      </c>
      <c r="I110" s="52" t="n"/>
      <c r="J110" s="48" t="n"/>
      <c r="K110" s="48" t="n"/>
      <c r="L110" s="48" t="n"/>
      <c r="M110" s="54">
        <f>IFERROR(MONTH($B110),"")</f>
        <v/>
      </c>
      <c r="N110" s="54">
        <f>IFERROR(YEAR($B110),"")</f>
        <v/>
      </c>
      <c r="O110" s="48" t="n"/>
      <c r="P110" s="55" t="n"/>
      <c r="Q110" s="56">
        <f>IFERROR(MONTH(IF($P110="",$B110,$P110)),"")</f>
        <v/>
      </c>
      <c r="R110" s="56">
        <f>IFERROR(YEAR(IF($P110="",$B110,$P110)),"")</f>
        <v/>
      </c>
    </row>
    <row r="111" ht="15" customHeight="1" s="30">
      <c r="A111" s="48" t="n"/>
      <c r="B111" s="52" t="n"/>
      <c r="C111" s="48" t="n"/>
      <c r="D111" s="35">
        <f>IFERROR(INDEX('Khách hàng'!$B$4:$B$103,MATCH($C111,'Khách hàng'!$A$4:$A$103,0)),"")</f>
        <v/>
      </c>
      <c r="E111" s="48" t="n"/>
      <c r="F111" s="50" t="n"/>
      <c r="G111" s="53" t="n"/>
      <c r="H111" s="41">
        <f>IFERROR($F111*(1+$G111),"")</f>
        <v/>
      </c>
      <c r="I111" s="52" t="n"/>
      <c r="J111" s="48" t="n"/>
      <c r="K111" s="48" t="n"/>
      <c r="L111" s="48" t="n"/>
      <c r="M111" s="54">
        <f>IFERROR(MONTH($B111),"")</f>
        <v/>
      </c>
      <c r="N111" s="54">
        <f>IFERROR(YEAR($B111),"")</f>
        <v/>
      </c>
      <c r="O111" s="48" t="n"/>
      <c r="P111" s="55" t="n"/>
      <c r="Q111" s="56">
        <f>IFERROR(MONTH(IF($P111="",$B111,$P111)),"")</f>
        <v/>
      </c>
      <c r="R111" s="56">
        <f>IFERROR(YEAR(IF($P111="",$B111,$P111)),"")</f>
        <v/>
      </c>
    </row>
    <row r="112" ht="15" customHeight="1" s="30">
      <c r="A112" s="48" t="n"/>
      <c r="B112" s="52" t="n"/>
      <c r="C112" s="48" t="n"/>
      <c r="D112" s="35">
        <f>IFERROR(INDEX('Khách hàng'!$B$4:$B$103,MATCH($C112,'Khách hàng'!$A$4:$A$103,0)),"")</f>
        <v/>
      </c>
      <c r="E112" s="48" t="n"/>
      <c r="F112" s="50" t="n"/>
      <c r="G112" s="53" t="n"/>
      <c r="H112" s="41">
        <f>IFERROR($F112*(1+$G112),"")</f>
        <v/>
      </c>
      <c r="I112" s="52" t="n"/>
      <c r="J112" s="48" t="n"/>
      <c r="K112" s="48" t="n"/>
      <c r="L112" s="48" t="n"/>
      <c r="M112" s="54">
        <f>IFERROR(MONTH($B112),"")</f>
        <v/>
      </c>
      <c r="N112" s="54">
        <f>IFERROR(YEAR($B112),"")</f>
        <v/>
      </c>
      <c r="O112" s="48" t="n"/>
      <c r="P112" s="55" t="n"/>
      <c r="Q112" s="56">
        <f>IFERROR(MONTH(IF($P112="",$B112,$P112)),"")</f>
        <v/>
      </c>
      <c r="R112" s="56">
        <f>IFERROR(YEAR(IF($P112="",$B112,$P112)),"")</f>
        <v/>
      </c>
    </row>
    <row r="113" ht="15" customHeight="1" s="30">
      <c r="A113" s="48" t="n"/>
      <c r="B113" s="52" t="n"/>
      <c r="C113" s="48" t="n"/>
      <c r="D113" s="35">
        <f>IFERROR(INDEX('Khách hàng'!$B$4:$B$103,MATCH($C113,'Khách hàng'!$A$4:$A$103,0)),"")</f>
        <v/>
      </c>
      <c r="E113" s="48" t="n"/>
      <c r="F113" s="50" t="n"/>
      <c r="G113" s="53" t="n"/>
      <c r="H113" s="41">
        <f>IFERROR($F113*(1+$G113),"")</f>
        <v/>
      </c>
      <c r="I113" s="52" t="n"/>
      <c r="J113" s="48" t="n"/>
      <c r="K113" s="48" t="n"/>
      <c r="L113" s="48" t="n"/>
      <c r="M113" s="54">
        <f>IFERROR(MONTH($B113),"")</f>
        <v/>
      </c>
      <c r="N113" s="54">
        <f>IFERROR(YEAR($B113),"")</f>
        <v/>
      </c>
      <c r="O113" s="48" t="n"/>
      <c r="P113" s="55" t="n"/>
      <c r="Q113" s="56">
        <f>IFERROR(MONTH(IF($P113="",$B113,$P113)),"")</f>
        <v/>
      </c>
      <c r="R113" s="56">
        <f>IFERROR(YEAR(IF($P113="",$B113,$P113)),"")</f>
        <v/>
      </c>
    </row>
    <row r="114" ht="15" customHeight="1" s="30">
      <c r="A114" s="48" t="n"/>
      <c r="B114" s="52" t="n"/>
      <c r="C114" s="48" t="n"/>
      <c r="D114" s="35">
        <f>IFERROR(INDEX('Khách hàng'!$B$4:$B$103,MATCH($C114,'Khách hàng'!$A$4:$A$103,0)),"")</f>
        <v/>
      </c>
      <c r="E114" s="48" t="n"/>
      <c r="F114" s="50" t="n"/>
      <c r="G114" s="53" t="n"/>
      <c r="H114" s="41">
        <f>IFERROR($F114*(1+$G114),"")</f>
        <v/>
      </c>
      <c r="I114" s="52" t="n"/>
      <c r="J114" s="48" t="n"/>
      <c r="K114" s="48" t="n"/>
      <c r="L114" s="48" t="n"/>
      <c r="M114" s="54">
        <f>IFERROR(MONTH($B114),"")</f>
        <v/>
      </c>
      <c r="N114" s="54">
        <f>IFERROR(YEAR($B114),"")</f>
        <v/>
      </c>
      <c r="O114" s="48" t="n"/>
      <c r="P114" s="55" t="n"/>
      <c r="Q114" s="56">
        <f>IFERROR(MONTH(IF($P114="",$B114,$P114)),"")</f>
        <v/>
      </c>
      <c r="R114" s="56">
        <f>IFERROR(YEAR(IF($P114="",$B114,$P114)),"")</f>
        <v/>
      </c>
    </row>
    <row r="115" ht="15" customHeight="1" s="30">
      <c r="A115" s="48" t="n"/>
      <c r="B115" s="52" t="n"/>
      <c r="C115" s="48" t="n"/>
      <c r="D115" s="35">
        <f>IFERROR(INDEX('Khách hàng'!$B$4:$B$103,MATCH($C115,'Khách hàng'!$A$4:$A$103,0)),"")</f>
        <v/>
      </c>
      <c r="E115" s="48" t="n"/>
      <c r="F115" s="50" t="n"/>
      <c r="G115" s="53" t="n"/>
      <c r="H115" s="41">
        <f>IFERROR($F115*(1+$G115),"")</f>
        <v/>
      </c>
      <c r="I115" s="52" t="n"/>
      <c r="J115" s="48" t="n"/>
      <c r="K115" s="48" t="n"/>
      <c r="L115" s="48" t="n"/>
      <c r="M115" s="54">
        <f>IFERROR(MONTH($B115),"")</f>
        <v/>
      </c>
      <c r="N115" s="54">
        <f>IFERROR(YEAR($B115),"")</f>
        <v/>
      </c>
      <c r="O115" s="48" t="n"/>
      <c r="P115" s="55" t="n"/>
      <c r="Q115" s="56">
        <f>IFERROR(MONTH(IF($P115="",$B115,$P115)),"")</f>
        <v/>
      </c>
      <c r="R115" s="56">
        <f>IFERROR(YEAR(IF($P115="",$B115,$P115)),"")</f>
        <v/>
      </c>
    </row>
    <row r="116" ht="15" customHeight="1" s="30">
      <c r="A116" s="48" t="n"/>
      <c r="B116" s="52" t="n"/>
      <c r="C116" s="48" t="n"/>
      <c r="D116" s="35">
        <f>IFERROR(INDEX('Khách hàng'!$B$4:$B$103,MATCH($C116,'Khách hàng'!$A$4:$A$103,0)),"")</f>
        <v/>
      </c>
      <c r="E116" s="48" t="n"/>
      <c r="F116" s="50" t="n"/>
      <c r="G116" s="53" t="n"/>
      <c r="H116" s="41">
        <f>IFERROR($F116*(1+$G116),"")</f>
        <v/>
      </c>
      <c r="I116" s="52" t="n"/>
      <c r="J116" s="48" t="n"/>
      <c r="K116" s="48" t="n"/>
      <c r="L116" s="48" t="n"/>
      <c r="M116" s="54">
        <f>IFERROR(MONTH($B116),"")</f>
        <v/>
      </c>
      <c r="N116" s="54">
        <f>IFERROR(YEAR($B116),"")</f>
        <v/>
      </c>
      <c r="O116" s="48" t="n"/>
      <c r="P116" s="55" t="n"/>
      <c r="Q116" s="56">
        <f>IFERROR(MONTH(IF($P116="",$B116,$P116)),"")</f>
        <v/>
      </c>
      <c r="R116" s="56">
        <f>IFERROR(YEAR(IF($P116="",$B116,$P116)),"")</f>
        <v/>
      </c>
    </row>
    <row r="117" ht="15" customHeight="1" s="30">
      <c r="A117" s="48" t="n"/>
      <c r="B117" s="52" t="n"/>
      <c r="C117" s="48" t="n"/>
      <c r="D117" s="35">
        <f>IFERROR(INDEX('Khách hàng'!$B$4:$B$103,MATCH($C117,'Khách hàng'!$A$4:$A$103,0)),"")</f>
        <v/>
      </c>
      <c r="E117" s="48" t="n"/>
      <c r="F117" s="50" t="n"/>
      <c r="G117" s="53" t="n"/>
      <c r="H117" s="41">
        <f>IFERROR($F117*(1+$G117),"")</f>
        <v/>
      </c>
      <c r="I117" s="52" t="n"/>
      <c r="J117" s="48" t="n"/>
      <c r="K117" s="48" t="n"/>
      <c r="L117" s="48" t="n"/>
      <c r="M117" s="54">
        <f>IFERROR(MONTH($B117),"")</f>
        <v/>
      </c>
      <c r="N117" s="54">
        <f>IFERROR(YEAR($B117),"")</f>
        <v/>
      </c>
      <c r="O117" s="48" t="n"/>
      <c r="P117" s="55" t="n"/>
      <c r="Q117" s="56">
        <f>IFERROR(MONTH(IF($P117="",$B117,$P117)),"")</f>
        <v/>
      </c>
      <c r="R117" s="56">
        <f>IFERROR(YEAR(IF($P117="",$B117,$P117)),"")</f>
        <v/>
      </c>
    </row>
    <row r="118" ht="15" customHeight="1" s="30">
      <c r="A118" s="48" t="n"/>
      <c r="B118" s="52" t="n"/>
      <c r="C118" s="48" t="n"/>
      <c r="D118" s="35">
        <f>IFERROR(INDEX('Khách hàng'!$B$4:$B$103,MATCH($C118,'Khách hàng'!$A$4:$A$103,0)),"")</f>
        <v/>
      </c>
      <c r="E118" s="48" t="n"/>
      <c r="F118" s="50" t="n"/>
      <c r="G118" s="53" t="n"/>
      <c r="H118" s="41">
        <f>IFERROR($F118*(1+$G118),"")</f>
        <v/>
      </c>
      <c r="I118" s="52" t="n"/>
      <c r="J118" s="48" t="n"/>
      <c r="K118" s="48" t="n"/>
      <c r="L118" s="48" t="n"/>
      <c r="M118" s="54">
        <f>IFERROR(MONTH($B118),"")</f>
        <v/>
      </c>
      <c r="N118" s="54">
        <f>IFERROR(YEAR($B118),"")</f>
        <v/>
      </c>
      <c r="O118" s="48" t="n"/>
      <c r="P118" s="55" t="n"/>
      <c r="Q118" s="56">
        <f>IFERROR(MONTH(IF($P118="",$B118,$P118)),"")</f>
        <v/>
      </c>
      <c r="R118" s="56">
        <f>IFERROR(YEAR(IF($P118="",$B118,$P118)),"")</f>
        <v/>
      </c>
    </row>
    <row r="119" ht="15" customHeight="1" s="30">
      <c r="A119" s="48" t="n"/>
      <c r="B119" s="52" t="n"/>
      <c r="C119" s="48" t="n"/>
      <c r="D119" s="35">
        <f>IFERROR(INDEX('Khách hàng'!$B$4:$B$103,MATCH($C119,'Khách hàng'!$A$4:$A$103,0)),"")</f>
        <v/>
      </c>
      <c r="E119" s="48" t="n"/>
      <c r="F119" s="50" t="n"/>
      <c r="G119" s="53" t="n"/>
      <c r="H119" s="41">
        <f>IFERROR($F119*(1+$G119),"")</f>
        <v/>
      </c>
      <c r="I119" s="52" t="n"/>
      <c r="J119" s="48" t="n"/>
      <c r="K119" s="48" t="n"/>
      <c r="L119" s="48" t="n"/>
      <c r="M119" s="54">
        <f>IFERROR(MONTH($B119),"")</f>
        <v/>
      </c>
      <c r="N119" s="54">
        <f>IFERROR(YEAR($B119),"")</f>
        <v/>
      </c>
      <c r="O119" s="48" t="n"/>
      <c r="P119" s="55" t="n"/>
      <c r="Q119" s="56">
        <f>IFERROR(MONTH(IF($P119="",$B119,$P119)),"")</f>
        <v/>
      </c>
      <c r="R119" s="56">
        <f>IFERROR(YEAR(IF($P119="",$B119,$P119)),"")</f>
        <v/>
      </c>
    </row>
    <row r="120" ht="15" customHeight="1" s="30">
      <c r="A120" s="48" t="n"/>
      <c r="B120" s="52" t="n"/>
      <c r="C120" s="48" t="n"/>
      <c r="D120" s="35">
        <f>IFERROR(INDEX('Khách hàng'!$B$4:$B$103,MATCH($C120,'Khách hàng'!$A$4:$A$103,0)),"")</f>
        <v/>
      </c>
      <c r="E120" s="48" t="n"/>
      <c r="F120" s="50" t="n"/>
      <c r="G120" s="53" t="n"/>
      <c r="H120" s="41">
        <f>IFERROR($F120*(1+$G120),"")</f>
        <v/>
      </c>
      <c r="I120" s="52" t="n"/>
      <c r="J120" s="48" t="n"/>
      <c r="K120" s="48" t="n"/>
      <c r="L120" s="48" t="n"/>
      <c r="M120" s="54">
        <f>IFERROR(MONTH($B120),"")</f>
        <v/>
      </c>
      <c r="N120" s="54">
        <f>IFERROR(YEAR($B120),"")</f>
        <v/>
      </c>
      <c r="O120" s="48" t="n"/>
      <c r="P120" s="55" t="n"/>
      <c r="Q120" s="56">
        <f>IFERROR(MONTH(IF($P120="",$B120,$P120)),"")</f>
        <v/>
      </c>
      <c r="R120" s="56">
        <f>IFERROR(YEAR(IF($P120="",$B120,$P120)),"")</f>
        <v/>
      </c>
    </row>
    <row r="121" ht="15" customHeight="1" s="30">
      <c r="A121" s="48" t="n"/>
      <c r="B121" s="52" t="n"/>
      <c r="C121" s="48" t="n"/>
      <c r="D121" s="35">
        <f>IFERROR(INDEX('Khách hàng'!$B$4:$B$103,MATCH($C121,'Khách hàng'!$A$4:$A$103,0)),"")</f>
        <v/>
      </c>
      <c r="E121" s="48" t="n"/>
      <c r="F121" s="50" t="n"/>
      <c r="G121" s="53" t="n"/>
      <c r="H121" s="41">
        <f>IFERROR($F121*(1+$G121),"")</f>
        <v/>
      </c>
      <c r="I121" s="52" t="n"/>
      <c r="J121" s="48" t="n"/>
      <c r="K121" s="48" t="n"/>
      <c r="L121" s="48" t="n"/>
      <c r="M121" s="54">
        <f>IFERROR(MONTH($B121),"")</f>
        <v/>
      </c>
      <c r="N121" s="54">
        <f>IFERROR(YEAR($B121),"")</f>
        <v/>
      </c>
      <c r="O121" s="48" t="n"/>
      <c r="P121" s="55" t="n"/>
      <c r="Q121" s="56">
        <f>IFERROR(MONTH(IF($P121="",$B121,$P121)),"")</f>
        <v/>
      </c>
      <c r="R121" s="56">
        <f>IFERROR(YEAR(IF($P121="",$B121,$P121)),"")</f>
        <v/>
      </c>
    </row>
    <row r="122" ht="15" customHeight="1" s="30">
      <c r="A122" s="48" t="n"/>
      <c r="B122" s="52" t="n"/>
      <c r="C122" s="48" t="n"/>
      <c r="D122" s="35">
        <f>IFERROR(INDEX('Khách hàng'!$B$4:$B$103,MATCH($C122,'Khách hàng'!$A$4:$A$103,0)),"")</f>
        <v/>
      </c>
      <c r="E122" s="48" t="n"/>
      <c r="F122" s="50" t="n"/>
      <c r="G122" s="53" t="n"/>
      <c r="H122" s="41">
        <f>IFERROR($F122*(1+$G122),"")</f>
        <v/>
      </c>
      <c r="I122" s="52" t="n"/>
      <c r="J122" s="48" t="n"/>
      <c r="K122" s="48" t="n"/>
      <c r="L122" s="48" t="n"/>
      <c r="M122" s="54">
        <f>IFERROR(MONTH($B122),"")</f>
        <v/>
      </c>
      <c r="N122" s="54">
        <f>IFERROR(YEAR($B122),"")</f>
        <v/>
      </c>
      <c r="O122" s="48" t="n"/>
      <c r="P122" s="55" t="n"/>
      <c r="Q122" s="56">
        <f>IFERROR(MONTH(IF($P122="",$B122,$P122)),"")</f>
        <v/>
      </c>
      <c r="R122" s="56">
        <f>IFERROR(YEAR(IF($P122="",$B122,$P122)),"")</f>
        <v/>
      </c>
    </row>
    <row r="123" ht="15" customHeight="1" s="30">
      <c r="A123" s="48" t="n"/>
      <c r="B123" s="52" t="n"/>
      <c r="C123" s="48" t="n"/>
      <c r="D123" s="35">
        <f>IFERROR(INDEX('Khách hàng'!$B$4:$B$103,MATCH($C123,'Khách hàng'!$A$4:$A$103,0)),"")</f>
        <v/>
      </c>
      <c r="E123" s="48" t="n"/>
      <c r="F123" s="50" t="n"/>
      <c r="G123" s="53" t="n"/>
      <c r="H123" s="41">
        <f>IFERROR($F123*(1+$G123),"")</f>
        <v/>
      </c>
      <c r="I123" s="52" t="n"/>
      <c r="J123" s="48" t="n"/>
      <c r="K123" s="48" t="n"/>
      <c r="L123" s="48" t="n"/>
      <c r="M123" s="54">
        <f>IFERROR(MONTH($B123),"")</f>
        <v/>
      </c>
      <c r="N123" s="54">
        <f>IFERROR(YEAR($B123),"")</f>
        <v/>
      </c>
      <c r="O123" s="48" t="n"/>
      <c r="P123" s="55" t="n"/>
      <c r="Q123" s="56">
        <f>IFERROR(MONTH(IF($P123="",$B123,$P123)),"")</f>
        <v/>
      </c>
      <c r="R123" s="56">
        <f>IFERROR(YEAR(IF($P123="",$B123,$P123)),"")</f>
        <v/>
      </c>
    </row>
    <row r="124" ht="15" customHeight="1" s="30">
      <c r="A124" s="48" t="n"/>
      <c r="B124" s="52" t="n"/>
      <c r="C124" s="48" t="n"/>
      <c r="D124" s="35">
        <f>IFERROR(INDEX('Khách hàng'!$B$4:$B$103,MATCH($C124,'Khách hàng'!$A$4:$A$103,0)),"")</f>
        <v/>
      </c>
      <c r="E124" s="48" t="n"/>
      <c r="F124" s="50" t="n"/>
      <c r="G124" s="53" t="n"/>
      <c r="H124" s="41">
        <f>IFERROR($F124*(1+$G124),"")</f>
        <v/>
      </c>
      <c r="I124" s="52" t="n"/>
      <c r="J124" s="48" t="n"/>
      <c r="K124" s="48" t="n"/>
      <c r="L124" s="48" t="n"/>
      <c r="M124" s="54">
        <f>IFERROR(MONTH($B124),"")</f>
        <v/>
      </c>
      <c r="N124" s="54">
        <f>IFERROR(YEAR($B124),"")</f>
        <v/>
      </c>
      <c r="O124" s="48" t="n"/>
      <c r="P124" s="55" t="n"/>
      <c r="Q124" s="56">
        <f>IFERROR(MONTH(IF($P124="",$B124,$P124)),"")</f>
        <v/>
      </c>
      <c r="R124" s="56">
        <f>IFERROR(YEAR(IF($P124="",$B124,$P124)),"")</f>
        <v/>
      </c>
    </row>
    <row r="125" ht="15" customHeight="1" s="30">
      <c r="A125" s="48" t="n"/>
      <c r="B125" s="52" t="n"/>
      <c r="C125" s="48" t="n"/>
      <c r="D125" s="35">
        <f>IFERROR(INDEX('Khách hàng'!$B$4:$B$103,MATCH($C125,'Khách hàng'!$A$4:$A$103,0)),"")</f>
        <v/>
      </c>
      <c r="E125" s="48" t="n"/>
      <c r="F125" s="50" t="n"/>
      <c r="G125" s="53" t="n"/>
      <c r="H125" s="41">
        <f>IFERROR($F125*(1+$G125),"")</f>
        <v/>
      </c>
      <c r="I125" s="52" t="n"/>
      <c r="J125" s="48" t="n"/>
      <c r="K125" s="48" t="n"/>
      <c r="L125" s="48" t="n"/>
      <c r="M125" s="54">
        <f>IFERROR(MONTH($B125),"")</f>
        <v/>
      </c>
      <c r="N125" s="54">
        <f>IFERROR(YEAR($B125),"")</f>
        <v/>
      </c>
      <c r="O125" s="48" t="n"/>
      <c r="P125" s="55" t="n"/>
      <c r="Q125" s="56">
        <f>IFERROR(MONTH(IF($P125="",$B125,$P125)),"")</f>
        <v/>
      </c>
      <c r="R125" s="56">
        <f>IFERROR(YEAR(IF($P125="",$B125,$P125)),"")</f>
        <v/>
      </c>
    </row>
    <row r="126" ht="15" customHeight="1" s="30">
      <c r="A126" s="48" t="n"/>
      <c r="B126" s="52" t="n"/>
      <c r="C126" s="48" t="n"/>
      <c r="D126" s="35">
        <f>IFERROR(INDEX('Khách hàng'!$B$4:$B$103,MATCH($C126,'Khách hàng'!$A$4:$A$103,0)),"")</f>
        <v/>
      </c>
      <c r="E126" s="48" t="n"/>
      <c r="F126" s="50" t="n"/>
      <c r="G126" s="53" t="n"/>
      <c r="H126" s="41">
        <f>IFERROR($F126*(1+$G126),"")</f>
        <v/>
      </c>
      <c r="I126" s="52" t="n"/>
      <c r="J126" s="48" t="n"/>
      <c r="K126" s="48" t="n"/>
      <c r="L126" s="48" t="n"/>
      <c r="M126" s="54">
        <f>IFERROR(MONTH($B126),"")</f>
        <v/>
      </c>
      <c r="N126" s="54">
        <f>IFERROR(YEAR($B126),"")</f>
        <v/>
      </c>
      <c r="O126" s="48" t="n"/>
      <c r="P126" s="55" t="n"/>
      <c r="Q126" s="56">
        <f>IFERROR(MONTH(IF($P126="",$B126,$P126)),"")</f>
        <v/>
      </c>
      <c r="R126" s="56">
        <f>IFERROR(YEAR(IF($P126="",$B126,$P126)),"")</f>
        <v/>
      </c>
    </row>
    <row r="127" ht="15" customHeight="1" s="30">
      <c r="A127" s="48" t="n"/>
      <c r="B127" s="52" t="n"/>
      <c r="C127" s="48" t="n"/>
      <c r="D127" s="35">
        <f>IFERROR(INDEX('Khách hàng'!$B$4:$B$103,MATCH($C127,'Khách hàng'!$A$4:$A$103,0)),"")</f>
        <v/>
      </c>
      <c r="E127" s="48" t="n"/>
      <c r="F127" s="50" t="n"/>
      <c r="G127" s="53" t="n"/>
      <c r="H127" s="41">
        <f>IFERROR($F127*(1+$G127),"")</f>
        <v/>
      </c>
      <c r="I127" s="52" t="n"/>
      <c r="J127" s="48" t="n"/>
      <c r="K127" s="48" t="n"/>
      <c r="L127" s="48" t="n"/>
      <c r="M127" s="54">
        <f>IFERROR(MONTH($B127),"")</f>
        <v/>
      </c>
      <c r="N127" s="54">
        <f>IFERROR(YEAR($B127),"")</f>
        <v/>
      </c>
      <c r="O127" s="48" t="n"/>
      <c r="P127" s="55" t="n"/>
      <c r="Q127" s="56">
        <f>IFERROR(MONTH(IF($P127="",$B127,$P127)),"")</f>
        <v/>
      </c>
      <c r="R127" s="56">
        <f>IFERROR(YEAR(IF($P127="",$B127,$P127)),"")</f>
        <v/>
      </c>
    </row>
    <row r="128" ht="15" customHeight="1" s="30">
      <c r="A128" s="48" t="n"/>
      <c r="B128" s="52" t="n"/>
      <c r="C128" s="48" t="n"/>
      <c r="D128" s="35">
        <f>IFERROR(INDEX('Khách hàng'!$B$4:$B$103,MATCH($C128,'Khách hàng'!$A$4:$A$103,0)),"")</f>
        <v/>
      </c>
      <c r="E128" s="48" t="n"/>
      <c r="F128" s="50" t="n"/>
      <c r="G128" s="53" t="n"/>
      <c r="H128" s="41">
        <f>IFERROR($F128*(1+$G128),"")</f>
        <v/>
      </c>
      <c r="I128" s="52" t="n"/>
      <c r="J128" s="48" t="n"/>
      <c r="K128" s="48" t="n"/>
      <c r="L128" s="48" t="n"/>
      <c r="M128" s="54">
        <f>IFERROR(MONTH($B128),"")</f>
        <v/>
      </c>
      <c r="N128" s="54">
        <f>IFERROR(YEAR($B128),"")</f>
        <v/>
      </c>
      <c r="O128" s="48" t="n"/>
      <c r="P128" s="55" t="n"/>
      <c r="Q128" s="56">
        <f>IFERROR(MONTH(IF($P128="",$B128,$P128)),"")</f>
        <v/>
      </c>
      <c r="R128" s="56">
        <f>IFERROR(YEAR(IF($P128="",$B128,$P128)),"")</f>
        <v/>
      </c>
    </row>
    <row r="129" ht="15" customHeight="1" s="30">
      <c r="A129" s="48" t="n"/>
      <c r="B129" s="52" t="n"/>
      <c r="C129" s="48" t="n"/>
      <c r="D129" s="35">
        <f>IFERROR(INDEX('Khách hàng'!$B$4:$B$103,MATCH($C129,'Khách hàng'!$A$4:$A$103,0)),"")</f>
        <v/>
      </c>
      <c r="E129" s="48" t="n"/>
      <c r="F129" s="50" t="n"/>
      <c r="G129" s="53" t="n"/>
      <c r="H129" s="41">
        <f>IFERROR($F129*(1+$G129),"")</f>
        <v/>
      </c>
      <c r="I129" s="52" t="n"/>
      <c r="J129" s="48" t="n"/>
      <c r="K129" s="48" t="n"/>
      <c r="L129" s="48" t="n"/>
      <c r="M129" s="54">
        <f>IFERROR(MONTH($B129),"")</f>
        <v/>
      </c>
      <c r="N129" s="54">
        <f>IFERROR(YEAR($B129),"")</f>
        <v/>
      </c>
      <c r="O129" s="48" t="n"/>
      <c r="P129" s="55" t="n"/>
      <c r="Q129" s="56">
        <f>IFERROR(MONTH(IF($P129="",$B129,$P129)),"")</f>
        <v/>
      </c>
      <c r="R129" s="56">
        <f>IFERROR(YEAR(IF($P129="",$B129,$P129)),"")</f>
        <v/>
      </c>
    </row>
    <row r="130" ht="15" customHeight="1" s="30">
      <c r="A130" s="48" t="n"/>
      <c r="B130" s="52" t="n"/>
      <c r="C130" s="48" t="n"/>
      <c r="D130" s="35">
        <f>IFERROR(INDEX('Khách hàng'!$B$4:$B$103,MATCH($C130,'Khách hàng'!$A$4:$A$103,0)),"")</f>
        <v/>
      </c>
      <c r="E130" s="48" t="n"/>
      <c r="F130" s="50" t="n"/>
      <c r="G130" s="53" t="n"/>
      <c r="H130" s="41">
        <f>IFERROR($F130*(1+$G130),"")</f>
        <v/>
      </c>
      <c r="I130" s="52" t="n"/>
      <c r="J130" s="48" t="n"/>
      <c r="K130" s="48" t="n"/>
      <c r="L130" s="48" t="n"/>
      <c r="M130" s="54">
        <f>IFERROR(MONTH($B130),"")</f>
        <v/>
      </c>
      <c r="N130" s="54">
        <f>IFERROR(YEAR($B130),"")</f>
        <v/>
      </c>
      <c r="O130" s="48" t="n"/>
      <c r="P130" s="55" t="n"/>
      <c r="Q130" s="56">
        <f>IFERROR(MONTH(IF($P130="",$B130,$P130)),"")</f>
        <v/>
      </c>
      <c r="R130" s="56">
        <f>IFERROR(YEAR(IF($P130="",$B130,$P130)),"")</f>
        <v/>
      </c>
    </row>
    <row r="131" ht="15" customHeight="1" s="30">
      <c r="A131" s="48" t="n"/>
      <c r="B131" s="52" t="n"/>
      <c r="C131" s="48" t="n"/>
      <c r="D131" s="35">
        <f>IFERROR(INDEX('Khách hàng'!$B$4:$B$103,MATCH($C131,'Khách hàng'!$A$4:$A$103,0)),"")</f>
        <v/>
      </c>
      <c r="E131" s="48" t="n"/>
      <c r="F131" s="50" t="n"/>
      <c r="G131" s="53" t="n"/>
      <c r="H131" s="41">
        <f>IFERROR($F131*(1+$G131),"")</f>
        <v/>
      </c>
      <c r="I131" s="52" t="n"/>
      <c r="J131" s="48" t="n"/>
      <c r="K131" s="48" t="n"/>
      <c r="L131" s="48" t="n"/>
      <c r="M131" s="54">
        <f>IFERROR(MONTH($B131),"")</f>
        <v/>
      </c>
      <c r="N131" s="54">
        <f>IFERROR(YEAR($B131),"")</f>
        <v/>
      </c>
      <c r="O131" s="48" t="n"/>
      <c r="P131" s="55" t="n"/>
      <c r="Q131" s="56">
        <f>IFERROR(MONTH(IF($P131="",$B131,$P131)),"")</f>
        <v/>
      </c>
      <c r="R131" s="56">
        <f>IFERROR(YEAR(IF($P131="",$B131,$P131)),"")</f>
        <v/>
      </c>
    </row>
    <row r="132" ht="15" customHeight="1" s="30">
      <c r="A132" s="48" t="n"/>
      <c r="B132" s="52" t="n"/>
      <c r="C132" s="48" t="n"/>
      <c r="D132" s="35">
        <f>IFERROR(INDEX('Khách hàng'!$B$4:$B$103,MATCH($C132,'Khách hàng'!$A$4:$A$103,0)),"")</f>
        <v/>
      </c>
      <c r="E132" s="48" t="n"/>
      <c r="F132" s="50" t="n"/>
      <c r="G132" s="53" t="n"/>
      <c r="H132" s="41">
        <f>IFERROR($F132*(1+$G132),"")</f>
        <v/>
      </c>
      <c r="I132" s="52" t="n"/>
      <c r="J132" s="48" t="n"/>
      <c r="K132" s="48" t="n"/>
      <c r="L132" s="48" t="n"/>
      <c r="M132" s="54">
        <f>IFERROR(MONTH($B132),"")</f>
        <v/>
      </c>
      <c r="N132" s="54">
        <f>IFERROR(YEAR($B132),"")</f>
        <v/>
      </c>
      <c r="O132" s="48" t="n"/>
      <c r="P132" s="55" t="n"/>
      <c r="Q132" s="56">
        <f>IFERROR(MONTH(IF($P132="",$B132,$P132)),"")</f>
        <v/>
      </c>
      <c r="R132" s="56">
        <f>IFERROR(YEAR(IF($P132="",$B132,$P132)),"")</f>
        <v/>
      </c>
    </row>
    <row r="133" ht="15" customHeight="1" s="30">
      <c r="A133" s="48" t="n"/>
      <c r="B133" s="52" t="n"/>
      <c r="C133" s="48" t="n"/>
      <c r="D133" s="35">
        <f>IFERROR(INDEX('Khách hàng'!$B$4:$B$103,MATCH($C133,'Khách hàng'!$A$4:$A$103,0)),"")</f>
        <v/>
      </c>
      <c r="E133" s="48" t="n"/>
      <c r="F133" s="50" t="n"/>
      <c r="G133" s="53" t="n"/>
      <c r="H133" s="41">
        <f>IFERROR($F133*(1+$G133),"")</f>
        <v/>
      </c>
      <c r="I133" s="52" t="n"/>
      <c r="J133" s="48" t="n"/>
      <c r="K133" s="48" t="n"/>
      <c r="L133" s="48" t="n"/>
      <c r="M133" s="54">
        <f>IFERROR(MONTH($B133),"")</f>
        <v/>
      </c>
      <c r="N133" s="54">
        <f>IFERROR(YEAR($B133),"")</f>
        <v/>
      </c>
      <c r="O133" s="48" t="n"/>
      <c r="P133" s="55" t="n"/>
      <c r="Q133" s="56">
        <f>IFERROR(MONTH(IF($P133="",$B133,$P133)),"")</f>
        <v/>
      </c>
      <c r="R133" s="56">
        <f>IFERROR(YEAR(IF($P133="",$B133,$P133)),"")</f>
        <v/>
      </c>
    </row>
    <row r="134" ht="15" customHeight="1" s="30">
      <c r="A134" s="48" t="n"/>
      <c r="B134" s="52" t="n"/>
      <c r="C134" s="48" t="n"/>
      <c r="D134" s="35">
        <f>IFERROR(INDEX('Khách hàng'!$B$4:$B$103,MATCH($C134,'Khách hàng'!$A$4:$A$103,0)),"")</f>
        <v/>
      </c>
      <c r="E134" s="48" t="n"/>
      <c r="F134" s="50" t="n"/>
      <c r="G134" s="53" t="n"/>
      <c r="H134" s="41">
        <f>IFERROR($F134*(1+$G134),"")</f>
        <v/>
      </c>
      <c r="I134" s="52" t="n"/>
      <c r="J134" s="48" t="n"/>
      <c r="K134" s="48" t="n"/>
      <c r="L134" s="48" t="n"/>
      <c r="M134" s="54">
        <f>IFERROR(MONTH($B134),"")</f>
        <v/>
      </c>
      <c r="N134" s="54">
        <f>IFERROR(YEAR($B134),"")</f>
        <v/>
      </c>
      <c r="O134" s="48" t="n"/>
      <c r="P134" s="55" t="n"/>
      <c r="Q134" s="56">
        <f>IFERROR(MONTH(IF($P134="",$B134,$P134)),"")</f>
        <v/>
      </c>
      <c r="R134" s="56">
        <f>IFERROR(YEAR(IF($P134="",$B134,$P134)),"")</f>
        <v/>
      </c>
    </row>
    <row r="135" ht="15" customHeight="1" s="30">
      <c r="A135" s="48" t="n"/>
      <c r="B135" s="52" t="n"/>
      <c r="C135" s="48" t="n"/>
      <c r="D135" s="35">
        <f>IFERROR(INDEX('Khách hàng'!$B$4:$B$103,MATCH($C135,'Khách hàng'!$A$4:$A$103,0)),"")</f>
        <v/>
      </c>
      <c r="E135" s="48" t="n"/>
      <c r="F135" s="50" t="n"/>
      <c r="G135" s="53" t="n"/>
      <c r="H135" s="41">
        <f>IFERROR($F135*(1+$G135),"")</f>
        <v/>
      </c>
      <c r="I135" s="52" t="n"/>
      <c r="J135" s="48" t="n"/>
      <c r="K135" s="48" t="n"/>
      <c r="L135" s="48" t="n"/>
      <c r="M135" s="54">
        <f>IFERROR(MONTH($B135),"")</f>
        <v/>
      </c>
      <c r="N135" s="54">
        <f>IFERROR(YEAR($B135),"")</f>
        <v/>
      </c>
      <c r="O135" s="48" t="n"/>
      <c r="P135" s="55" t="n"/>
      <c r="Q135" s="56">
        <f>IFERROR(MONTH(IF($P135="",$B135,$P135)),"")</f>
        <v/>
      </c>
      <c r="R135" s="56">
        <f>IFERROR(YEAR(IF($P135="",$B135,$P135)),"")</f>
        <v/>
      </c>
    </row>
    <row r="136" ht="15" customHeight="1" s="30">
      <c r="A136" s="48" t="n"/>
      <c r="B136" s="52" t="n"/>
      <c r="C136" s="48" t="n"/>
      <c r="D136" s="35">
        <f>IFERROR(INDEX('Khách hàng'!$B$4:$B$103,MATCH($C136,'Khách hàng'!$A$4:$A$103,0)),"")</f>
        <v/>
      </c>
      <c r="E136" s="48" t="n"/>
      <c r="F136" s="50" t="n"/>
      <c r="G136" s="53" t="n"/>
      <c r="H136" s="41">
        <f>IFERROR($F136*(1+$G136),"")</f>
        <v/>
      </c>
      <c r="I136" s="52" t="n"/>
      <c r="J136" s="48" t="n"/>
      <c r="K136" s="48" t="n"/>
      <c r="L136" s="48" t="n"/>
      <c r="M136" s="54">
        <f>IFERROR(MONTH($B136),"")</f>
        <v/>
      </c>
      <c r="N136" s="54">
        <f>IFERROR(YEAR($B136),"")</f>
        <v/>
      </c>
      <c r="O136" s="48" t="n"/>
      <c r="P136" s="55" t="n"/>
      <c r="Q136" s="56">
        <f>IFERROR(MONTH(IF($P136="",$B136,$P136)),"")</f>
        <v/>
      </c>
      <c r="R136" s="56">
        <f>IFERROR(YEAR(IF($P136="",$B136,$P136)),"")</f>
        <v/>
      </c>
    </row>
    <row r="137" ht="15" customHeight="1" s="30">
      <c r="A137" s="48" t="n"/>
      <c r="B137" s="52" t="n"/>
      <c r="C137" s="48" t="n"/>
      <c r="D137" s="35">
        <f>IFERROR(INDEX('Khách hàng'!$B$4:$B$103,MATCH($C137,'Khách hàng'!$A$4:$A$103,0)),"")</f>
        <v/>
      </c>
      <c r="E137" s="48" t="n"/>
      <c r="F137" s="50" t="n"/>
      <c r="G137" s="53" t="n"/>
      <c r="H137" s="41">
        <f>IFERROR($F137*(1+$G137),"")</f>
        <v/>
      </c>
      <c r="I137" s="52" t="n"/>
      <c r="J137" s="48" t="n"/>
      <c r="K137" s="48" t="n"/>
      <c r="L137" s="48" t="n"/>
      <c r="M137" s="54">
        <f>IFERROR(MONTH($B137),"")</f>
        <v/>
      </c>
      <c r="N137" s="54">
        <f>IFERROR(YEAR($B137),"")</f>
        <v/>
      </c>
      <c r="O137" s="48" t="n"/>
      <c r="P137" s="55" t="n"/>
      <c r="Q137" s="56">
        <f>IFERROR(MONTH(IF($P137="",$B137,$P137)),"")</f>
        <v/>
      </c>
      <c r="R137" s="56">
        <f>IFERROR(YEAR(IF($P137="",$B137,$P137)),"")</f>
        <v/>
      </c>
    </row>
    <row r="138" ht="15" customHeight="1" s="30">
      <c r="A138" s="48" t="n"/>
      <c r="B138" s="52" t="n"/>
      <c r="C138" s="48" t="n"/>
      <c r="D138" s="35">
        <f>IFERROR(INDEX('Khách hàng'!$B$4:$B$103,MATCH($C138,'Khách hàng'!$A$4:$A$103,0)),"")</f>
        <v/>
      </c>
      <c r="E138" s="48" t="n"/>
      <c r="F138" s="50" t="n"/>
      <c r="G138" s="53" t="n"/>
      <c r="H138" s="41">
        <f>IFERROR($F138*(1+$G138),"")</f>
        <v/>
      </c>
      <c r="I138" s="52" t="n"/>
      <c r="J138" s="48" t="n"/>
      <c r="K138" s="48" t="n"/>
      <c r="L138" s="48" t="n"/>
      <c r="M138" s="54">
        <f>IFERROR(MONTH($B138),"")</f>
        <v/>
      </c>
      <c r="N138" s="54">
        <f>IFERROR(YEAR($B138),"")</f>
        <v/>
      </c>
      <c r="O138" s="48" t="n"/>
      <c r="P138" s="55" t="n"/>
      <c r="Q138" s="56">
        <f>IFERROR(MONTH(IF($P138="",$B138,$P138)),"")</f>
        <v/>
      </c>
      <c r="R138" s="56">
        <f>IFERROR(YEAR(IF($P138="",$B138,$P138)),"")</f>
        <v/>
      </c>
    </row>
    <row r="139" ht="15" customHeight="1" s="30">
      <c r="A139" s="48" t="n"/>
      <c r="B139" s="52" t="n"/>
      <c r="C139" s="48" t="n"/>
      <c r="D139" s="35">
        <f>IFERROR(INDEX('Khách hàng'!$B$4:$B$103,MATCH($C139,'Khách hàng'!$A$4:$A$103,0)),"")</f>
        <v/>
      </c>
      <c r="E139" s="48" t="n"/>
      <c r="F139" s="50" t="n"/>
      <c r="G139" s="53" t="n"/>
      <c r="H139" s="41">
        <f>IFERROR($F139*(1+$G139),"")</f>
        <v/>
      </c>
      <c r="I139" s="52" t="n"/>
      <c r="J139" s="48" t="n"/>
      <c r="K139" s="48" t="n"/>
      <c r="L139" s="48" t="n"/>
      <c r="M139" s="54">
        <f>IFERROR(MONTH($B139),"")</f>
        <v/>
      </c>
      <c r="N139" s="54">
        <f>IFERROR(YEAR($B139),"")</f>
        <v/>
      </c>
      <c r="O139" s="48" t="n"/>
      <c r="P139" s="55" t="n"/>
      <c r="Q139" s="56">
        <f>IFERROR(MONTH(IF($P139="",$B139,$P139)),"")</f>
        <v/>
      </c>
      <c r="R139" s="56">
        <f>IFERROR(YEAR(IF($P139="",$B139,$P139)),"")</f>
        <v/>
      </c>
    </row>
    <row r="140" ht="15" customHeight="1" s="30">
      <c r="A140" s="48" t="n"/>
      <c r="B140" s="52" t="n"/>
      <c r="C140" s="48" t="n"/>
      <c r="D140" s="35">
        <f>IFERROR(INDEX('Khách hàng'!$B$4:$B$103,MATCH($C140,'Khách hàng'!$A$4:$A$103,0)),"")</f>
        <v/>
      </c>
      <c r="E140" s="48" t="n"/>
      <c r="F140" s="50" t="n"/>
      <c r="G140" s="53" t="n"/>
      <c r="H140" s="41">
        <f>IFERROR($F140*(1+$G140),"")</f>
        <v/>
      </c>
      <c r="I140" s="52" t="n"/>
      <c r="J140" s="48" t="n"/>
      <c r="K140" s="48" t="n"/>
      <c r="L140" s="48" t="n"/>
      <c r="M140" s="54">
        <f>IFERROR(MONTH($B140),"")</f>
        <v/>
      </c>
      <c r="N140" s="54">
        <f>IFERROR(YEAR($B140),"")</f>
        <v/>
      </c>
      <c r="O140" s="48" t="n"/>
      <c r="P140" s="55" t="n"/>
      <c r="Q140" s="56">
        <f>IFERROR(MONTH(IF($P140="",$B140,$P140)),"")</f>
        <v/>
      </c>
      <c r="R140" s="56">
        <f>IFERROR(YEAR(IF($P140="",$B140,$P140)),"")</f>
        <v/>
      </c>
    </row>
    <row r="141" ht="15" customHeight="1" s="30">
      <c r="A141" s="48" t="n"/>
      <c r="B141" s="52" t="n"/>
      <c r="C141" s="48" t="n"/>
      <c r="D141" s="35">
        <f>IFERROR(INDEX('Khách hàng'!$B$4:$B$103,MATCH($C141,'Khách hàng'!$A$4:$A$103,0)),"")</f>
        <v/>
      </c>
      <c r="E141" s="48" t="n"/>
      <c r="F141" s="50" t="n"/>
      <c r="G141" s="53" t="n"/>
      <c r="H141" s="41">
        <f>IFERROR($F141*(1+$G141),"")</f>
        <v/>
      </c>
      <c r="I141" s="52" t="n"/>
      <c r="J141" s="48" t="n"/>
      <c r="K141" s="48" t="n"/>
      <c r="L141" s="48" t="n"/>
      <c r="M141" s="54">
        <f>IFERROR(MONTH($B141),"")</f>
        <v/>
      </c>
      <c r="N141" s="54">
        <f>IFERROR(YEAR($B141),"")</f>
        <v/>
      </c>
      <c r="O141" s="48" t="n"/>
      <c r="P141" s="55" t="n"/>
      <c r="Q141" s="56">
        <f>IFERROR(MONTH(IF($P141="",$B141,$P141)),"")</f>
        <v/>
      </c>
      <c r="R141" s="56">
        <f>IFERROR(YEAR(IF($P141="",$B141,$P141)),"")</f>
        <v/>
      </c>
    </row>
    <row r="142" ht="15" customHeight="1" s="30">
      <c r="A142" s="48" t="n"/>
      <c r="B142" s="52" t="n"/>
      <c r="C142" s="48" t="n"/>
      <c r="D142" s="35">
        <f>IFERROR(INDEX('Khách hàng'!$B$4:$B$103,MATCH($C142,'Khách hàng'!$A$4:$A$103,0)),"")</f>
        <v/>
      </c>
      <c r="E142" s="48" t="n"/>
      <c r="F142" s="50" t="n"/>
      <c r="G142" s="53" t="n"/>
      <c r="H142" s="41">
        <f>IFERROR($F142*(1+$G142),"")</f>
        <v/>
      </c>
      <c r="I142" s="52" t="n"/>
      <c r="J142" s="48" t="n"/>
      <c r="K142" s="48" t="n"/>
      <c r="L142" s="48" t="n"/>
      <c r="M142" s="54">
        <f>IFERROR(MONTH($B142),"")</f>
        <v/>
      </c>
      <c r="N142" s="54">
        <f>IFERROR(YEAR($B142),"")</f>
        <v/>
      </c>
      <c r="O142" s="48" t="n"/>
      <c r="P142" s="55" t="n"/>
      <c r="Q142" s="56">
        <f>IFERROR(MONTH(IF($P142="",$B142,$P142)),"")</f>
        <v/>
      </c>
      <c r="R142" s="56">
        <f>IFERROR(YEAR(IF($P142="",$B142,$P142)),"")</f>
        <v/>
      </c>
    </row>
    <row r="143" ht="15" customHeight="1" s="30">
      <c r="A143" s="48" t="n"/>
      <c r="B143" s="52" t="n"/>
      <c r="C143" s="48" t="n"/>
      <c r="D143" s="35">
        <f>IFERROR(INDEX('Khách hàng'!$B$4:$B$103,MATCH($C143,'Khách hàng'!$A$4:$A$103,0)),"")</f>
        <v/>
      </c>
      <c r="E143" s="48" t="n"/>
      <c r="F143" s="50" t="n"/>
      <c r="G143" s="53" t="n"/>
      <c r="H143" s="41">
        <f>IFERROR($F143*(1+$G143),"")</f>
        <v/>
      </c>
      <c r="I143" s="52" t="n"/>
      <c r="J143" s="48" t="n"/>
      <c r="K143" s="48" t="n"/>
      <c r="L143" s="48" t="n"/>
      <c r="M143" s="54">
        <f>IFERROR(MONTH($B143),"")</f>
        <v/>
      </c>
      <c r="N143" s="54">
        <f>IFERROR(YEAR($B143),"")</f>
        <v/>
      </c>
      <c r="O143" s="48" t="n"/>
      <c r="P143" s="55" t="n"/>
      <c r="Q143" s="56">
        <f>IFERROR(MONTH(IF($P143="",$B143,$P143)),"")</f>
        <v/>
      </c>
      <c r="R143" s="56">
        <f>IFERROR(YEAR(IF($P143="",$B143,$P143)),"")</f>
        <v/>
      </c>
    </row>
    <row r="144" ht="15" customHeight="1" s="30">
      <c r="A144" s="48" t="n"/>
      <c r="B144" s="52" t="n"/>
      <c r="C144" s="48" t="n"/>
      <c r="D144" s="35">
        <f>IFERROR(INDEX('Khách hàng'!$B$4:$B$103,MATCH($C144,'Khách hàng'!$A$4:$A$103,0)),"")</f>
        <v/>
      </c>
      <c r="E144" s="48" t="n"/>
      <c r="F144" s="50" t="n"/>
      <c r="G144" s="53" t="n"/>
      <c r="H144" s="41">
        <f>IFERROR($F144*(1+$G144),"")</f>
        <v/>
      </c>
      <c r="I144" s="52" t="n"/>
      <c r="J144" s="48" t="n"/>
      <c r="K144" s="48" t="n"/>
      <c r="L144" s="48" t="n"/>
      <c r="M144" s="54">
        <f>IFERROR(MONTH($B144),"")</f>
        <v/>
      </c>
      <c r="N144" s="54">
        <f>IFERROR(YEAR($B144),"")</f>
        <v/>
      </c>
      <c r="O144" s="48" t="n"/>
      <c r="P144" s="55" t="n"/>
      <c r="Q144" s="56">
        <f>IFERROR(MONTH(IF($P144="",$B144,$P144)),"")</f>
        <v/>
      </c>
      <c r="R144" s="56">
        <f>IFERROR(YEAR(IF($P144="",$B144,$P144)),"")</f>
        <v/>
      </c>
    </row>
    <row r="145" ht="15" customHeight="1" s="30">
      <c r="A145" s="48" t="n"/>
      <c r="B145" s="52" t="n"/>
      <c r="C145" s="48" t="n"/>
      <c r="D145" s="35">
        <f>IFERROR(INDEX('Khách hàng'!$B$4:$B$103,MATCH($C145,'Khách hàng'!$A$4:$A$103,0)),"")</f>
        <v/>
      </c>
      <c r="E145" s="48" t="n"/>
      <c r="F145" s="50" t="n"/>
      <c r="G145" s="53" t="n"/>
      <c r="H145" s="41">
        <f>IFERROR($F145*(1+$G145),"")</f>
        <v/>
      </c>
      <c r="I145" s="52" t="n"/>
      <c r="J145" s="48" t="n"/>
      <c r="K145" s="48" t="n"/>
      <c r="L145" s="48" t="n"/>
      <c r="M145" s="54">
        <f>IFERROR(MONTH($B145),"")</f>
        <v/>
      </c>
      <c r="N145" s="54">
        <f>IFERROR(YEAR($B145),"")</f>
        <v/>
      </c>
      <c r="O145" s="48" t="n"/>
      <c r="P145" s="55" t="n"/>
      <c r="Q145" s="56">
        <f>IFERROR(MONTH(IF($P145="",$B145,$P145)),"")</f>
        <v/>
      </c>
      <c r="R145" s="56">
        <f>IFERROR(YEAR(IF($P145="",$B145,$P145)),"")</f>
        <v/>
      </c>
    </row>
    <row r="146" ht="15" customHeight="1" s="30">
      <c r="A146" s="48" t="n"/>
      <c r="B146" s="52" t="n"/>
      <c r="C146" s="48" t="n"/>
      <c r="D146" s="35">
        <f>IFERROR(INDEX('Khách hàng'!$B$4:$B$103,MATCH($C146,'Khách hàng'!$A$4:$A$103,0)),"")</f>
        <v/>
      </c>
      <c r="E146" s="48" t="n"/>
      <c r="F146" s="50" t="n"/>
      <c r="G146" s="53" t="n"/>
      <c r="H146" s="41">
        <f>IFERROR($F146*(1+$G146),"")</f>
        <v/>
      </c>
      <c r="I146" s="52" t="n"/>
      <c r="J146" s="48" t="n"/>
      <c r="K146" s="48" t="n"/>
      <c r="L146" s="48" t="n"/>
      <c r="M146" s="54">
        <f>IFERROR(MONTH($B146),"")</f>
        <v/>
      </c>
      <c r="N146" s="54">
        <f>IFERROR(YEAR($B146),"")</f>
        <v/>
      </c>
      <c r="O146" s="48" t="n"/>
      <c r="P146" s="55" t="n"/>
      <c r="Q146" s="56">
        <f>IFERROR(MONTH(IF($P146="",$B146,$P146)),"")</f>
        <v/>
      </c>
      <c r="R146" s="56">
        <f>IFERROR(YEAR(IF($P146="",$B146,$P146)),"")</f>
        <v/>
      </c>
    </row>
    <row r="147" ht="15" customHeight="1" s="30">
      <c r="A147" s="48" t="n"/>
      <c r="B147" s="52" t="n"/>
      <c r="C147" s="48" t="n"/>
      <c r="D147" s="35">
        <f>IFERROR(INDEX('Khách hàng'!$B$4:$B$103,MATCH($C147,'Khách hàng'!$A$4:$A$103,0)),"")</f>
        <v/>
      </c>
      <c r="E147" s="48" t="n"/>
      <c r="F147" s="50" t="n"/>
      <c r="G147" s="53" t="n"/>
      <c r="H147" s="41">
        <f>IFERROR($F147*(1+$G147),"")</f>
        <v/>
      </c>
      <c r="I147" s="52" t="n"/>
      <c r="J147" s="48" t="n"/>
      <c r="K147" s="48" t="n"/>
      <c r="L147" s="48" t="n"/>
      <c r="M147" s="54">
        <f>IFERROR(MONTH($B147),"")</f>
        <v/>
      </c>
      <c r="N147" s="54">
        <f>IFERROR(YEAR($B147),"")</f>
        <v/>
      </c>
      <c r="O147" s="48" t="n"/>
      <c r="P147" s="55" t="n"/>
      <c r="Q147" s="56">
        <f>IFERROR(MONTH(IF($P147="",$B147,$P147)),"")</f>
        <v/>
      </c>
      <c r="R147" s="56">
        <f>IFERROR(YEAR(IF($P147="",$B147,$P147)),"")</f>
        <v/>
      </c>
    </row>
    <row r="148" ht="15" customHeight="1" s="30">
      <c r="A148" s="48" t="n"/>
      <c r="B148" s="52" t="n"/>
      <c r="C148" s="48" t="n"/>
      <c r="D148" s="35">
        <f>IFERROR(INDEX('Khách hàng'!$B$4:$B$103,MATCH($C148,'Khách hàng'!$A$4:$A$103,0)),"")</f>
        <v/>
      </c>
      <c r="E148" s="48" t="n"/>
      <c r="F148" s="50" t="n"/>
      <c r="G148" s="53" t="n"/>
      <c r="H148" s="41">
        <f>IFERROR($F148*(1+$G148),"")</f>
        <v/>
      </c>
      <c r="I148" s="52" t="n"/>
      <c r="J148" s="48" t="n"/>
      <c r="K148" s="48" t="n"/>
      <c r="L148" s="48" t="n"/>
      <c r="M148" s="54">
        <f>IFERROR(MONTH($B148),"")</f>
        <v/>
      </c>
      <c r="N148" s="54">
        <f>IFERROR(YEAR($B148),"")</f>
        <v/>
      </c>
      <c r="O148" s="48" t="n"/>
      <c r="P148" s="55" t="n"/>
      <c r="Q148" s="56">
        <f>IFERROR(MONTH(IF($P148="",$B148,$P148)),"")</f>
        <v/>
      </c>
      <c r="R148" s="56">
        <f>IFERROR(YEAR(IF($P148="",$B148,$P148)),"")</f>
        <v/>
      </c>
    </row>
    <row r="149" ht="15" customHeight="1" s="30">
      <c r="A149" s="48" t="n"/>
      <c r="B149" s="52" t="n"/>
      <c r="C149" s="48" t="n"/>
      <c r="D149" s="35">
        <f>IFERROR(INDEX('Khách hàng'!$B$4:$B$103,MATCH($C149,'Khách hàng'!$A$4:$A$103,0)),"")</f>
        <v/>
      </c>
      <c r="E149" s="48" t="n"/>
      <c r="F149" s="50" t="n"/>
      <c r="G149" s="53" t="n"/>
      <c r="H149" s="41">
        <f>IFERROR($F149*(1+$G149),"")</f>
        <v/>
      </c>
      <c r="I149" s="52" t="n"/>
      <c r="J149" s="48" t="n"/>
      <c r="K149" s="48" t="n"/>
      <c r="L149" s="48" t="n"/>
      <c r="M149" s="54">
        <f>IFERROR(MONTH($B149),"")</f>
        <v/>
      </c>
      <c r="N149" s="54">
        <f>IFERROR(YEAR($B149),"")</f>
        <v/>
      </c>
      <c r="O149" s="48" t="n"/>
      <c r="P149" s="55" t="n"/>
      <c r="Q149" s="56">
        <f>IFERROR(MONTH(IF($P149="",$B149,$P149)),"")</f>
        <v/>
      </c>
      <c r="R149" s="56">
        <f>IFERROR(YEAR(IF($P149="",$B149,$P149)),"")</f>
        <v/>
      </c>
    </row>
    <row r="150" ht="15" customHeight="1" s="30">
      <c r="A150" s="48" t="n"/>
      <c r="B150" s="52" t="n"/>
      <c r="C150" s="48" t="n"/>
      <c r="D150" s="35">
        <f>IFERROR(INDEX('Khách hàng'!$B$4:$B$103,MATCH($C150,'Khách hàng'!$A$4:$A$103,0)),"")</f>
        <v/>
      </c>
      <c r="E150" s="48" t="n"/>
      <c r="F150" s="50" t="n"/>
      <c r="G150" s="53" t="n"/>
      <c r="H150" s="41">
        <f>IFERROR($F150*(1+$G150),"")</f>
        <v/>
      </c>
      <c r="I150" s="52" t="n"/>
      <c r="J150" s="48" t="n"/>
      <c r="K150" s="48" t="n"/>
      <c r="L150" s="48" t="n"/>
      <c r="M150" s="54">
        <f>IFERROR(MONTH($B150),"")</f>
        <v/>
      </c>
      <c r="N150" s="54">
        <f>IFERROR(YEAR($B150),"")</f>
        <v/>
      </c>
      <c r="O150" s="48" t="n"/>
      <c r="P150" s="55" t="n"/>
      <c r="Q150" s="56">
        <f>IFERROR(MONTH(IF($P150="",$B150,$P150)),"")</f>
        <v/>
      </c>
      <c r="R150" s="56">
        <f>IFERROR(YEAR(IF($P150="",$B150,$P150)),"")</f>
        <v/>
      </c>
    </row>
    <row r="151" ht="15" customHeight="1" s="30">
      <c r="A151" s="48" t="n"/>
      <c r="B151" s="52" t="n"/>
      <c r="C151" s="48" t="n"/>
      <c r="D151" s="35">
        <f>IFERROR(INDEX('Khách hàng'!$B$4:$B$103,MATCH($C151,'Khách hàng'!$A$4:$A$103,0)),"")</f>
        <v/>
      </c>
      <c r="E151" s="48" t="n"/>
      <c r="F151" s="50" t="n"/>
      <c r="G151" s="53" t="n"/>
      <c r="H151" s="41">
        <f>IFERROR($F151*(1+$G151),"")</f>
        <v/>
      </c>
      <c r="I151" s="52" t="n"/>
      <c r="J151" s="48" t="n"/>
      <c r="K151" s="48" t="n"/>
      <c r="L151" s="48" t="n"/>
      <c r="M151" s="54">
        <f>IFERROR(MONTH($B151),"")</f>
        <v/>
      </c>
      <c r="N151" s="54">
        <f>IFERROR(YEAR($B151),"")</f>
        <v/>
      </c>
      <c r="O151" s="48" t="n"/>
      <c r="P151" s="55" t="n"/>
      <c r="Q151" s="56">
        <f>IFERROR(MONTH(IF($P151="",$B151,$P151)),"")</f>
        <v/>
      </c>
      <c r="R151" s="56">
        <f>IFERROR(YEAR(IF($P151="",$B151,$P151)),"")</f>
        <v/>
      </c>
    </row>
    <row r="152" ht="15" customHeight="1" s="30">
      <c r="A152" s="48" t="n"/>
      <c r="B152" s="52" t="n"/>
      <c r="C152" s="48" t="n"/>
      <c r="D152" s="35">
        <f>IFERROR(INDEX('Khách hàng'!$B$4:$B$103,MATCH($C152,'Khách hàng'!$A$4:$A$103,0)),"")</f>
        <v/>
      </c>
      <c r="E152" s="48" t="n"/>
      <c r="F152" s="50" t="n"/>
      <c r="G152" s="53" t="n"/>
      <c r="H152" s="41">
        <f>IFERROR($F152*(1+$G152),"")</f>
        <v/>
      </c>
      <c r="I152" s="52" t="n"/>
      <c r="J152" s="48" t="n"/>
      <c r="K152" s="48" t="n"/>
      <c r="L152" s="48" t="n"/>
      <c r="M152" s="54">
        <f>IFERROR(MONTH($B152),"")</f>
        <v/>
      </c>
      <c r="N152" s="54">
        <f>IFERROR(YEAR($B152),"")</f>
        <v/>
      </c>
      <c r="O152" s="48" t="n"/>
      <c r="P152" s="55" t="n"/>
      <c r="Q152" s="56">
        <f>IFERROR(MONTH(IF($P152="",$B152,$P152)),"")</f>
        <v/>
      </c>
      <c r="R152" s="56">
        <f>IFERROR(YEAR(IF($P152="",$B152,$P152)),"")</f>
        <v/>
      </c>
    </row>
    <row r="153" ht="15" customHeight="1" s="30">
      <c r="A153" s="48" t="n"/>
      <c r="B153" s="52" t="n"/>
      <c r="C153" s="48" t="n"/>
      <c r="D153" s="35">
        <f>IFERROR(INDEX('Khách hàng'!$B$4:$B$103,MATCH($C153,'Khách hàng'!$A$4:$A$103,0)),"")</f>
        <v/>
      </c>
      <c r="E153" s="48" t="n"/>
      <c r="F153" s="50" t="n"/>
      <c r="G153" s="53" t="n"/>
      <c r="H153" s="41">
        <f>IFERROR($F153*(1+$G153),"")</f>
        <v/>
      </c>
      <c r="I153" s="52" t="n"/>
      <c r="J153" s="48" t="n"/>
      <c r="K153" s="48" t="n"/>
      <c r="L153" s="48" t="n"/>
      <c r="M153" s="54">
        <f>IFERROR(MONTH($B153),"")</f>
        <v/>
      </c>
      <c r="N153" s="54">
        <f>IFERROR(YEAR($B153),"")</f>
        <v/>
      </c>
      <c r="O153" s="48" t="n"/>
      <c r="P153" s="55" t="n"/>
      <c r="Q153" s="56">
        <f>IFERROR(MONTH(IF($P153="",$B153,$P153)),"")</f>
        <v/>
      </c>
      <c r="R153" s="56">
        <f>IFERROR(YEAR(IF($P153="",$B153,$P153)),"")</f>
        <v/>
      </c>
    </row>
    <row r="154" ht="15" customHeight="1" s="30">
      <c r="A154" s="48" t="n"/>
      <c r="B154" s="52" t="n"/>
      <c r="C154" s="48" t="n"/>
      <c r="D154" s="35">
        <f>IFERROR(INDEX('Khách hàng'!$B$4:$B$103,MATCH($C154,'Khách hàng'!$A$4:$A$103,0)),"")</f>
        <v/>
      </c>
      <c r="E154" s="48" t="n"/>
      <c r="F154" s="50" t="n"/>
      <c r="G154" s="53" t="n"/>
      <c r="H154" s="41">
        <f>IFERROR($F154*(1+$G154),"")</f>
        <v/>
      </c>
      <c r="I154" s="52" t="n"/>
      <c r="J154" s="48" t="n"/>
      <c r="K154" s="48" t="n"/>
      <c r="L154" s="48" t="n"/>
      <c r="M154" s="54">
        <f>IFERROR(MONTH($B154),"")</f>
        <v/>
      </c>
      <c r="N154" s="54">
        <f>IFERROR(YEAR($B154),"")</f>
        <v/>
      </c>
      <c r="O154" s="48" t="n"/>
      <c r="P154" s="55" t="n"/>
      <c r="Q154" s="56">
        <f>IFERROR(MONTH(IF($P154="",$B154,$P154)),"")</f>
        <v/>
      </c>
      <c r="R154" s="56">
        <f>IFERROR(YEAR(IF($P154="",$B154,$P154)),"")</f>
        <v/>
      </c>
    </row>
    <row r="155" ht="15" customHeight="1" s="30">
      <c r="A155" s="48" t="n"/>
      <c r="B155" s="52" t="n"/>
      <c r="C155" s="48" t="n"/>
      <c r="D155" s="35">
        <f>IFERROR(INDEX('Khách hàng'!$B$4:$B$103,MATCH($C155,'Khách hàng'!$A$4:$A$103,0)),"")</f>
        <v/>
      </c>
      <c r="E155" s="48" t="n"/>
      <c r="F155" s="50" t="n"/>
      <c r="G155" s="53" t="n"/>
      <c r="H155" s="41">
        <f>IFERROR($F155*(1+$G155),"")</f>
        <v/>
      </c>
      <c r="I155" s="52" t="n"/>
      <c r="J155" s="48" t="n"/>
      <c r="K155" s="48" t="n"/>
      <c r="L155" s="48" t="n"/>
      <c r="M155" s="54">
        <f>IFERROR(MONTH($B155),"")</f>
        <v/>
      </c>
      <c r="N155" s="54">
        <f>IFERROR(YEAR($B155),"")</f>
        <v/>
      </c>
      <c r="O155" s="48" t="n"/>
      <c r="P155" s="55" t="n"/>
      <c r="Q155" s="56">
        <f>IFERROR(MONTH(IF($P155="",$B155,$P155)),"")</f>
        <v/>
      </c>
      <c r="R155" s="56">
        <f>IFERROR(YEAR(IF($P155="",$B155,$P155)),"")</f>
        <v/>
      </c>
    </row>
    <row r="156" ht="15" customHeight="1" s="30">
      <c r="A156" s="48" t="n"/>
      <c r="B156" s="52" t="n"/>
      <c r="C156" s="48" t="n"/>
      <c r="D156" s="35">
        <f>IFERROR(INDEX('Khách hàng'!$B$4:$B$103,MATCH($C156,'Khách hàng'!$A$4:$A$103,0)),"")</f>
        <v/>
      </c>
      <c r="E156" s="48" t="n"/>
      <c r="F156" s="50" t="n"/>
      <c r="G156" s="53" t="n"/>
      <c r="H156" s="41">
        <f>IFERROR($F156*(1+$G156),"")</f>
        <v/>
      </c>
      <c r="I156" s="52" t="n"/>
      <c r="J156" s="48" t="n"/>
      <c r="K156" s="48" t="n"/>
      <c r="L156" s="48" t="n"/>
      <c r="M156" s="54">
        <f>IFERROR(MONTH($B156),"")</f>
        <v/>
      </c>
      <c r="N156" s="54">
        <f>IFERROR(YEAR($B156),"")</f>
        <v/>
      </c>
      <c r="O156" s="48" t="n"/>
      <c r="P156" s="55" t="n"/>
      <c r="Q156" s="56">
        <f>IFERROR(MONTH(IF($P156="",$B156,$P156)),"")</f>
        <v/>
      </c>
      <c r="R156" s="56">
        <f>IFERROR(YEAR(IF($P156="",$B156,$P156)),"")</f>
        <v/>
      </c>
    </row>
    <row r="157" ht="15" customHeight="1" s="30">
      <c r="A157" s="48" t="n"/>
      <c r="B157" s="52" t="n"/>
      <c r="C157" s="48" t="n"/>
      <c r="D157" s="35">
        <f>IFERROR(INDEX('Khách hàng'!$B$4:$B$103,MATCH($C157,'Khách hàng'!$A$4:$A$103,0)),"")</f>
        <v/>
      </c>
      <c r="E157" s="48" t="n"/>
      <c r="F157" s="50" t="n"/>
      <c r="G157" s="53" t="n"/>
      <c r="H157" s="41">
        <f>IFERROR($F157*(1+$G157),"")</f>
        <v/>
      </c>
      <c r="I157" s="52" t="n"/>
      <c r="J157" s="48" t="n"/>
      <c r="K157" s="48" t="n"/>
      <c r="L157" s="48" t="n"/>
      <c r="M157" s="54">
        <f>IFERROR(MONTH($B157),"")</f>
        <v/>
      </c>
      <c r="N157" s="54">
        <f>IFERROR(YEAR($B157),"")</f>
        <v/>
      </c>
      <c r="O157" s="48" t="n"/>
      <c r="P157" s="55" t="n"/>
      <c r="Q157" s="56">
        <f>IFERROR(MONTH(IF($P157="",$B157,$P157)),"")</f>
        <v/>
      </c>
      <c r="R157" s="56">
        <f>IFERROR(YEAR(IF($P157="",$B157,$P157)),"")</f>
        <v/>
      </c>
    </row>
    <row r="158" ht="15" customHeight="1" s="30">
      <c r="A158" s="48" t="n"/>
      <c r="B158" s="52" t="n"/>
      <c r="C158" s="48" t="n"/>
      <c r="D158" s="35">
        <f>IFERROR(INDEX('Khách hàng'!$B$4:$B$103,MATCH($C158,'Khách hàng'!$A$4:$A$103,0)),"")</f>
        <v/>
      </c>
      <c r="E158" s="48" t="n"/>
      <c r="F158" s="50" t="n"/>
      <c r="G158" s="53" t="n"/>
      <c r="H158" s="41">
        <f>IFERROR($F158*(1+$G158),"")</f>
        <v/>
      </c>
      <c r="I158" s="52" t="n"/>
      <c r="J158" s="48" t="n"/>
      <c r="K158" s="48" t="n"/>
      <c r="L158" s="48" t="n"/>
      <c r="M158" s="54">
        <f>IFERROR(MONTH($B158),"")</f>
        <v/>
      </c>
      <c r="N158" s="54">
        <f>IFERROR(YEAR($B158),"")</f>
        <v/>
      </c>
      <c r="O158" s="48" t="n"/>
      <c r="P158" s="55" t="n"/>
      <c r="Q158" s="56">
        <f>IFERROR(MONTH(IF($P158="",$B158,$P158)),"")</f>
        <v/>
      </c>
      <c r="R158" s="56">
        <f>IFERROR(YEAR(IF($P158="",$B158,$P158)),"")</f>
        <v/>
      </c>
    </row>
    <row r="159" ht="15" customHeight="1" s="30">
      <c r="A159" s="48" t="n"/>
      <c r="B159" s="52" t="n"/>
      <c r="C159" s="48" t="n"/>
      <c r="D159" s="35">
        <f>IFERROR(INDEX('Khách hàng'!$B$4:$B$103,MATCH($C159,'Khách hàng'!$A$4:$A$103,0)),"")</f>
        <v/>
      </c>
      <c r="E159" s="48" t="n"/>
      <c r="F159" s="50" t="n"/>
      <c r="G159" s="53" t="n"/>
      <c r="H159" s="41">
        <f>IFERROR($F159*(1+$G159),"")</f>
        <v/>
      </c>
      <c r="I159" s="52" t="n"/>
      <c r="J159" s="48" t="n"/>
      <c r="K159" s="48" t="n"/>
      <c r="L159" s="48" t="n"/>
      <c r="M159" s="54">
        <f>IFERROR(MONTH($B159),"")</f>
        <v/>
      </c>
      <c r="N159" s="54">
        <f>IFERROR(YEAR($B159),"")</f>
        <v/>
      </c>
      <c r="O159" s="48" t="n"/>
      <c r="P159" s="55" t="n"/>
      <c r="Q159" s="56">
        <f>IFERROR(MONTH(IF($P159="",$B159,$P159)),"")</f>
        <v/>
      </c>
      <c r="R159" s="56">
        <f>IFERROR(YEAR(IF($P159="",$B159,$P159)),"")</f>
        <v/>
      </c>
    </row>
    <row r="160" ht="15" customHeight="1" s="30">
      <c r="A160" s="48" t="n"/>
      <c r="B160" s="52" t="n"/>
      <c r="C160" s="48" t="n"/>
      <c r="D160" s="35">
        <f>IFERROR(INDEX('Khách hàng'!$B$4:$B$103,MATCH($C160,'Khách hàng'!$A$4:$A$103,0)),"")</f>
        <v/>
      </c>
      <c r="E160" s="48" t="n"/>
      <c r="F160" s="50" t="n"/>
      <c r="G160" s="53" t="n"/>
      <c r="H160" s="41">
        <f>IFERROR($F160*(1+$G160),"")</f>
        <v/>
      </c>
      <c r="I160" s="52" t="n"/>
      <c r="J160" s="48" t="n"/>
      <c r="K160" s="48" t="n"/>
      <c r="L160" s="48" t="n"/>
      <c r="M160" s="54">
        <f>IFERROR(MONTH($B160),"")</f>
        <v/>
      </c>
      <c r="N160" s="54">
        <f>IFERROR(YEAR($B160),"")</f>
        <v/>
      </c>
      <c r="O160" s="48" t="n"/>
      <c r="P160" s="55" t="n"/>
      <c r="Q160" s="56">
        <f>IFERROR(MONTH(IF($P160="",$B160,$P160)),"")</f>
        <v/>
      </c>
      <c r="R160" s="56">
        <f>IFERROR(YEAR(IF($P160="",$B160,$P160)),"")</f>
        <v/>
      </c>
    </row>
    <row r="161" ht="15" customHeight="1" s="30">
      <c r="A161" s="48" t="n"/>
      <c r="B161" s="52" t="n"/>
      <c r="C161" s="48" t="n"/>
      <c r="D161" s="35">
        <f>IFERROR(INDEX('Khách hàng'!$B$4:$B$103,MATCH($C161,'Khách hàng'!$A$4:$A$103,0)),"")</f>
        <v/>
      </c>
      <c r="E161" s="48" t="n"/>
      <c r="F161" s="50" t="n"/>
      <c r="G161" s="53" t="n"/>
      <c r="H161" s="41">
        <f>IFERROR($F161*(1+$G161),"")</f>
        <v/>
      </c>
      <c r="I161" s="52" t="n"/>
      <c r="J161" s="48" t="n"/>
      <c r="K161" s="48" t="n"/>
      <c r="L161" s="48" t="n"/>
      <c r="M161" s="54">
        <f>IFERROR(MONTH($B161),"")</f>
        <v/>
      </c>
      <c r="N161" s="54">
        <f>IFERROR(YEAR($B161),"")</f>
        <v/>
      </c>
      <c r="O161" s="48" t="n"/>
      <c r="P161" s="55" t="n"/>
      <c r="Q161" s="56">
        <f>IFERROR(MONTH(IF($P161="",$B161,$P161)),"")</f>
        <v/>
      </c>
      <c r="R161" s="56">
        <f>IFERROR(YEAR(IF($P161="",$B161,$P161)),"")</f>
        <v/>
      </c>
    </row>
    <row r="162" ht="15" customHeight="1" s="30">
      <c r="A162" s="48" t="n"/>
      <c r="B162" s="52" t="n"/>
      <c r="C162" s="48" t="n"/>
      <c r="D162" s="35">
        <f>IFERROR(INDEX('Khách hàng'!$B$4:$B$103,MATCH($C162,'Khách hàng'!$A$4:$A$103,0)),"")</f>
        <v/>
      </c>
      <c r="E162" s="48" t="n"/>
      <c r="F162" s="50" t="n"/>
      <c r="G162" s="53" t="n"/>
      <c r="H162" s="41">
        <f>IFERROR($F162*(1+$G162),"")</f>
        <v/>
      </c>
      <c r="I162" s="52" t="n"/>
      <c r="J162" s="48" t="n"/>
      <c r="K162" s="48" t="n"/>
      <c r="L162" s="48" t="n"/>
      <c r="M162" s="54">
        <f>IFERROR(MONTH($B162),"")</f>
        <v/>
      </c>
      <c r="N162" s="54">
        <f>IFERROR(YEAR($B162),"")</f>
        <v/>
      </c>
      <c r="O162" s="48" t="n"/>
      <c r="P162" s="55" t="n"/>
      <c r="Q162" s="56">
        <f>IFERROR(MONTH(IF($P162="",$B162,$P162)),"")</f>
        <v/>
      </c>
      <c r="R162" s="56">
        <f>IFERROR(YEAR(IF($P162="",$B162,$P162)),"")</f>
        <v/>
      </c>
    </row>
    <row r="163" ht="15" customHeight="1" s="30">
      <c r="A163" s="48" t="n"/>
      <c r="B163" s="52" t="n"/>
      <c r="C163" s="48" t="n"/>
      <c r="D163" s="35">
        <f>IFERROR(INDEX('Khách hàng'!$B$4:$B$103,MATCH($C163,'Khách hàng'!$A$4:$A$103,0)),"")</f>
        <v/>
      </c>
      <c r="E163" s="48" t="n"/>
      <c r="F163" s="50" t="n"/>
      <c r="G163" s="53" t="n"/>
      <c r="H163" s="41">
        <f>IFERROR($F163*(1+$G163),"")</f>
        <v/>
      </c>
      <c r="I163" s="52" t="n"/>
      <c r="J163" s="48" t="n"/>
      <c r="K163" s="48" t="n"/>
      <c r="L163" s="48" t="n"/>
      <c r="M163" s="54">
        <f>IFERROR(MONTH($B163),"")</f>
        <v/>
      </c>
      <c r="N163" s="54">
        <f>IFERROR(YEAR($B163),"")</f>
        <v/>
      </c>
      <c r="O163" s="48" t="n"/>
      <c r="P163" s="55" t="n"/>
      <c r="Q163" s="56">
        <f>IFERROR(MONTH(IF($P163="",$B163,$P163)),"")</f>
        <v/>
      </c>
      <c r="R163" s="56">
        <f>IFERROR(YEAR(IF($P163="",$B163,$P163)),"")</f>
        <v/>
      </c>
    </row>
    <row r="164" ht="15" customHeight="1" s="30">
      <c r="A164" s="48" t="n"/>
      <c r="B164" s="52" t="n"/>
      <c r="C164" s="48" t="n"/>
      <c r="D164" s="35">
        <f>IFERROR(INDEX('Khách hàng'!$B$4:$B$103,MATCH($C164,'Khách hàng'!$A$4:$A$103,0)),"")</f>
        <v/>
      </c>
      <c r="E164" s="48" t="n"/>
      <c r="F164" s="50" t="n"/>
      <c r="G164" s="53" t="n"/>
      <c r="H164" s="41">
        <f>IFERROR($F164*(1+$G164),"")</f>
        <v/>
      </c>
      <c r="I164" s="52" t="n"/>
      <c r="J164" s="48" t="n"/>
      <c r="K164" s="48" t="n"/>
      <c r="L164" s="48" t="n"/>
      <c r="M164" s="54">
        <f>IFERROR(MONTH($B164),"")</f>
        <v/>
      </c>
      <c r="N164" s="54">
        <f>IFERROR(YEAR($B164),"")</f>
        <v/>
      </c>
      <c r="O164" s="48" t="n"/>
      <c r="P164" s="55" t="n"/>
      <c r="Q164" s="56">
        <f>IFERROR(MONTH(IF($P164="",$B164,$P164)),"")</f>
        <v/>
      </c>
      <c r="R164" s="56">
        <f>IFERROR(YEAR(IF($P164="",$B164,$P164)),"")</f>
        <v/>
      </c>
    </row>
    <row r="165" ht="15" customHeight="1" s="30">
      <c r="A165" s="48" t="n"/>
      <c r="B165" s="52" t="n"/>
      <c r="C165" s="48" t="n"/>
      <c r="D165" s="35">
        <f>IFERROR(INDEX('Khách hàng'!$B$4:$B$103,MATCH($C165,'Khách hàng'!$A$4:$A$103,0)),"")</f>
        <v/>
      </c>
      <c r="E165" s="48" t="n"/>
      <c r="F165" s="50" t="n"/>
      <c r="G165" s="53" t="n"/>
      <c r="H165" s="41">
        <f>IFERROR($F165*(1+$G165),"")</f>
        <v/>
      </c>
      <c r="I165" s="52" t="n"/>
      <c r="J165" s="48" t="n"/>
      <c r="K165" s="48" t="n"/>
      <c r="L165" s="48" t="n"/>
      <c r="M165" s="54">
        <f>IFERROR(MONTH($B165),"")</f>
        <v/>
      </c>
      <c r="N165" s="54">
        <f>IFERROR(YEAR($B165),"")</f>
        <v/>
      </c>
      <c r="O165" s="48" t="n"/>
      <c r="P165" s="55" t="n"/>
      <c r="Q165" s="56">
        <f>IFERROR(MONTH(IF($P165="",$B165,$P165)),"")</f>
        <v/>
      </c>
      <c r="R165" s="56">
        <f>IFERROR(YEAR(IF($P165="",$B165,$P165)),"")</f>
        <v/>
      </c>
    </row>
    <row r="166" ht="15" customHeight="1" s="30">
      <c r="A166" s="48" t="n"/>
      <c r="B166" s="52" t="n"/>
      <c r="C166" s="48" t="n"/>
      <c r="D166" s="35">
        <f>IFERROR(INDEX('Khách hàng'!$B$4:$B$103,MATCH($C166,'Khách hàng'!$A$4:$A$103,0)),"")</f>
        <v/>
      </c>
      <c r="E166" s="48" t="n"/>
      <c r="F166" s="50" t="n"/>
      <c r="G166" s="53" t="n"/>
      <c r="H166" s="41">
        <f>IFERROR($F166*(1+$G166),"")</f>
        <v/>
      </c>
      <c r="I166" s="52" t="n"/>
      <c r="J166" s="48" t="n"/>
      <c r="K166" s="48" t="n"/>
      <c r="L166" s="48" t="n"/>
      <c r="M166" s="54">
        <f>IFERROR(MONTH($B166),"")</f>
        <v/>
      </c>
      <c r="N166" s="54">
        <f>IFERROR(YEAR($B166),"")</f>
        <v/>
      </c>
      <c r="O166" s="48" t="n"/>
      <c r="P166" s="55" t="n"/>
      <c r="Q166" s="56">
        <f>IFERROR(MONTH(IF($P166="",$B166,$P166)),"")</f>
        <v/>
      </c>
      <c r="R166" s="56">
        <f>IFERROR(YEAR(IF($P166="",$B166,$P166)),"")</f>
        <v/>
      </c>
    </row>
    <row r="167" ht="15" customHeight="1" s="30">
      <c r="A167" s="48" t="n"/>
      <c r="B167" s="52" t="n"/>
      <c r="C167" s="48" t="n"/>
      <c r="D167" s="35">
        <f>IFERROR(INDEX('Khách hàng'!$B$4:$B$103,MATCH($C167,'Khách hàng'!$A$4:$A$103,0)),"")</f>
        <v/>
      </c>
      <c r="E167" s="48" t="n"/>
      <c r="F167" s="50" t="n"/>
      <c r="G167" s="53" t="n"/>
      <c r="H167" s="41">
        <f>IFERROR($F167*(1+$G167),"")</f>
        <v/>
      </c>
      <c r="I167" s="52" t="n"/>
      <c r="J167" s="48" t="n"/>
      <c r="K167" s="48" t="n"/>
      <c r="L167" s="48" t="n"/>
      <c r="M167" s="54">
        <f>IFERROR(MONTH($B167),"")</f>
        <v/>
      </c>
      <c r="N167" s="54">
        <f>IFERROR(YEAR($B167),"")</f>
        <v/>
      </c>
      <c r="O167" s="48" t="n"/>
      <c r="P167" s="55" t="n"/>
      <c r="Q167" s="56">
        <f>IFERROR(MONTH(IF($P167="",$B167,$P167)),"")</f>
        <v/>
      </c>
      <c r="R167" s="56">
        <f>IFERROR(YEAR(IF($P167="",$B167,$P167)),"")</f>
        <v/>
      </c>
    </row>
    <row r="168" ht="15" customHeight="1" s="30">
      <c r="A168" s="48" t="n"/>
      <c r="B168" s="52" t="n"/>
      <c r="C168" s="48" t="n"/>
      <c r="D168" s="35">
        <f>IFERROR(INDEX('Khách hàng'!$B$4:$B$103,MATCH($C168,'Khách hàng'!$A$4:$A$103,0)),"")</f>
        <v/>
      </c>
      <c r="E168" s="48" t="n"/>
      <c r="F168" s="50" t="n"/>
      <c r="G168" s="53" t="n"/>
      <c r="H168" s="41">
        <f>IFERROR($F168*(1+$G168),"")</f>
        <v/>
      </c>
      <c r="I168" s="52" t="n"/>
      <c r="J168" s="48" t="n"/>
      <c r="K168" s="48" t="n"/>
      <c r="L168" s="48" t="n"/>
      <c r="M168" s="54">
        <f>IFERROR(MONTH($B168),"")</f>
        <v/>
      </c>
      <c r="N168" s="54">
        <f>IFERROR(YEAR($B168),"")</f>
        <v/>
      </c>
      <c r="O168" s="48" t="n"/>
      <c r="P168" s="55" t="n"/>
      <c r="Q168" s="56">
        <f>IFERROR(MONTH(IF($P168="",$B168,$P168)),"")</f>
        <v/>
      </c>
      <c r="R168" s="56">
        <f>IFERROR(YEAR(IF($P168="",$B168,$P168)),"")</f>
        <v/>
      </c>
    </row>
    <row r="169" ht="15" customHeight="1" s="30">
      <c r="A169" s="48" t="n"/>
      <c r="B169" s="52" t="n"/>
      <c r="C169" s="48" t="n"/>
      <c r="D169" s="35">
        <f>IFERROR(INDEX('Khách hàng'!$B$4:$B$103,MATCH($C169,'Khách hàng'!$A$4:$A$103,0)),"")</f>
        <v/>
      </c>
      <c r="E169" s="48" t="n"/>
      <c r="F169" s="50" t="n"/>
      <c r="G169" s="53" t="n"/>
      <c r="H169" s="41">
        <f>IFERROR($F169*(1+$G169),"")</f>
        <v/>
      </c>
      <c r="I169" s="52" t="n"/>
      <c r="J169" s="48" t="n"/>
      <c r="K169" s="48" t="n"/>
      <c r="L169" s="48" t="n"/>
      <c r="M169" s="54">
        <f>IFERROR(MONTH($B169),"")</f>
        <v/>
      </c>
      <c r="N169" s="54">
        <f>IFERROR(YEAR($B169),"")</f>
        <v/>
      </c>
      <c r="O169" s="48" t="n"/>
      <c r="P169" s="55" t="n"/>
      <c r="Q169" s="56">
        <f>IFERROR(MONTH(IF($P169="",$B169,$P169)),"")</f>
        <v/>
      </c>
      <c r="R169" s="56">
        <f>IFERROR(YEAR(IF($P169="",$B169,$P169)),"")</f>
        <v/>
      </c>
    </row>
    <row r="170" ht="15" customHeight="1" s="30">
      <c r="A170" s="48" t="n"/>
      <c r="B170" s="52" t="n"/>
      <c r="C170" s="48" t="n"/>
      <c r="D170" s="35">
        <f>IFERROR(INDEX('Khách hàng'!$B$4:$B$103,MATCH($C170,'Khách hàng'!$A$4:$A$103,0)),"")</f>
        <v/>
      </c>
      <c r="E170" s="48" t="n"/>
      <c r="F170" s="50" t="n"/>
      <c r="G170" s="53" t="n"/>
      <c r="H170" s="41">
        <f>IFERROR($F170*(1+$G170),"")</f>
        <v/>
      </c>
      <c r="I170" s="52" t="n"/>
      <c r="J170" s="48" t="n"/>
      <c r="K170" s="48" t="n"/>
      <c r="L170" s="48" t="n"/>
      <c r="M170" s="54">
        <f>IFERROR(MONTH($B170),"")</f>
        <v/>
      </c>
      <c r="N170" s="54">
        <f>IFERROR(YEAR($B170),"")</f>
        <v/>
      </c>
      <c r="O170" s="48" t="n"/>
      <c r="P170" s="55" t="n"/>
      <c r="Q170" s="56">
        <f>IFERROR(MONTH(IF($P170="",$B170,$P170)),"")</f>
        <v/>
      </c>
      <c r="R170" s="56">
        <f>IFERROR(YEAR(IF($P170="",$B170,$P170)),"")</f>
        <v/>
      </c>
    </row>
    <row r="171" ht="15" customHeight="1" s="30">
      <c r="A171" s="48" t="n"/>
      <c r="B171" s="52" t="n"/>
      <c r="C171" s="48" t="n"/>
      <c r="D171" s="35">
        <f>IFERROR(INDEX('Khách hàng'!$B$4:$B$103,MATCH($C171,'Khách hàng'!$A$4:$A$103,0)),"")</f>
        <v/>
      </c>
      <c r="E171" s="48" t="n"/>
      <c r="F171" s="50" t="n"/>
      <c r="G171" s="53" t="n"/>
      <c r="H171" s="41">
        <f>IFERROR($F171*(1+$G171),"")</f>
        <v/>
      </c>
      <c r="I171" s="52" t="n"/>
      <c r="J171" s="48" t="n"/>
      <c r="K171" s="48" t="n"/>
      <c r="L171" s="48" t="n"/>
      <c r="M171" s="54">
        <f>IFERROR(MONTH($B171),"")</f>
        <v/>
      </c>
      <c r="N171" s="54">
        <f>IFERROR(YEAR($B171),"")</f>
        <v/>
      </c>
      <c r="O171" s="48" t="n"/>
      <c r="P171" s="55" t="n"/>
      <c r="Q171" s="56">
        <f>IFERROR(MONTH(IF($P171="",$B171,$P171)),"")</f>
        <v/>
      </c>
      <c r="R171" s="56">
        <f>IFERROR(YEAR(IF($P171="",$B171,$P171)),"")</f>
        <v/>
      </c>
    </row>
    <row r="172" ht="15" customHeight="1" s="30">
      <c r="A172" s="48" t="n"/>
      <c r="B172" s="52" t="n"/>
      <c r="C172" s="48" t="n"/>
      <c r="D172" s="35">
        <f>IFERROR(INDEX('Khách hàng'!$B$4:$B$103,MATCH($C172,'Khách hàng'!$A$4:$A$103,0)),"")</f>
        <v/>
      </c>
      <c r="E172" s="48" t="n"/>
      <c r="F172" s="50" t="n"/>
      <c r="G172" s="53" t="n"/>
      <c r="H172" s="41">
        <f>IFERROR($F172*(1+$G172),"")</f>
        <v/>
      </c>
      <c r="I172" s="52" t="n"/>
      <c r="J172" s="48" t="n"/>
      <c r="K172" s="48" t="n"/>
      <c r="L172" s="48" t="n"/>
      <c r="M172" s="54">
        <f>IFERROR(MONTH($B172),"")</f>
        <v/>
      </c>
      <c r="N172" s="54">
        <f>IFERROR(YEAR($B172),"")</f>
        <v/>
      </c>
      <c r="O172" s="48" t="n"/>
      <c r="P172" s="55" t="n"/>
      <c r="Q172" s="56">
        <f>IFERROR(MONTH(IF($P172="",$B172,$P172)),"")</f>
        <v/>
      </c>
      <c r="R172" s="56">
        <f>IFERROR(YEAR(IF($P172="",$B172,$P172)),"")</f>
        <v/>
      </c>
    </row>
    <row r="173" ht="15" customHeight="1" s="30">
      <c r="A173" s="48" t="n"/>
      <c r="B173" s="52" t="n"/>
      <c r="C173" s="48" t="n"/>
      <c r="D173" s="35">
        <f>IFERROR(INDEX('Khách hàng'!$B$4:$B$103,MATCH($C173,'Khách hàng'!$A$4:$A$103,0)),"")</f>
        <v/>
      </c>
      <c r="E173" s="48" t="n"/>
      <c r="F173" s="50" t="n"/>
      <c r="G173" s="53" t="n"/>
      <c r="H173" s="41">
        <f>IFERROR($F173*(1+$G173),"")</f>
        <v/>
      </c>
      <c r="I173" s="52" t="n"/>
      <c r="J173" s="48" t="n"/>
      <c r="K173" s="48" t="n"/>
      <c r="L173" s="48" t="n"/>
      <c r="M173" s="54">
        <f>IFERROR(MONTH($B173),"")</f>
        <v/>
      </c>
      <c r="N173" s="54">
        <f>IFERROR(YEAR($B173),"")</f>
        <v/>
      </c>
      <c r="O173" s="48" t="n"/>
      <c r="P173" s="55" t="n"/>
      <c r="Q173" s="56">
        <f>IFERROR(MONTH(IF($P173="",$B173,$P173)),"")</f>
        <v/>
      </c>
      <c r="R173" s="56">
        <f>IFERROR(YEAR(IF($P173="",$B173,$P173)),"")</f>
        <v/>
      </c>
    </row>
    <row r="174" ht="15" customHeight="1" s="30">
      <c r="A174" s="48" t="n"/>
      <c r="B174" s="52" t="n"/>
      <c r="C174" s="48" t="n"/>
      <c r="D174" s="35">
        <f>IFERROR(INDEX('Khách hàng'!$B$4:$B$103,MATCH($C174,'Khách hàng'!$A$4:$A$103,0)),"")</f>
        <v/>
      </c>
      <c r="E174" s="48" t="n"/>
      <c r="F174" s="50" t="n"/>
      <c r="G174" s="53" t="n"/>
      <c r="H174" s="41">
        <f>IFERROR($F174*(1+$G174),"")</f>
        <v/>
      </c>
      <c r="I174" s="52" t="n"/>
      <c r="J174" s="48" t="n"/>
      <c r="K174" s="48" t="n"/>
      <c r="L174" s="48" t="n"/>
      <c r="M174" s="54">
        <f>IFERROR(MONTH($B174),"")</f>
        <v/>
      </c>
      <c r="N174" s="54">
        <f>IFERROR(YEAR($B174),"")</f>
        <v/>
      </c>
      <c r="O174" s="48" t="n"/>
      <c r="P174" s="55" t="n"/>
      <c r="Q174" s="56">
        <f>IFERROR(MONTH(IF($P174="",$B174,$P174)),"")</f>
        <v/>
      </c>
      <c r="R174" s="56">
        <f>IFERROR(YEAR(IF($P174="",$B174,$P174)),"")</f>
        <v/>
      </c>
    </row>
    <row r="175" ht="15" customHeight="1" s="30">
      <c r="A175" s="48" t="n"/>
      <c r="B175" s="52" t="n"/>
      <c r="C175" s="48" t="n"/>
      <c r="D175" s="35">
        <f>IFERROR(INDEX('Khách hàng'!$B$4:$B$103,MATCH($C175,'Khách hàng'!$A$4:$A$103,0)),"")</f>
        <v/>
      </c>
      <c r="E175" s="48" t="n"/>
      <c r="F175" s="50" t="n"/>
      <c r="G175" s="53" t="n"/>
      <c r="H175" s="41">
        <f>IFERROR($F175*(1+$G175),"")</f>
        <v/>
      </c>
      <c r="I175" s="52" t="n"/>
      <c r="J175" s="48" t="n"/>
      <c r="K175" s="48" t="n"/>
      <c r="L175" s="48" t="n"/>
      <c r="M175" s="54">
        <f>IFERROR(MONTH($B175),"")</f>
        <v/>
      </c>
      <c r="N175" s="54">
        <f>IFERROR(YEAR($B175),"")</f>
        <v/>
      </c>
      <c r="O175" s="48" t="n"/>
      <c r="P175" s="55" t="n"/>
      <c r="Q175" s="56">
        <f>IFERROR(MONTH(IF($P175="",$B175,$P175)),"")</f>
        <v/>
      </c>
      <c r="R175" s="56">
        <f>IFERROR(YEAR(IF($P175="",$B175,$P175)),"")</f>
        <v/>
      </c>
    </row>
    <row r="176" ht="15" customHeight="1" s="30">
      <c r="A176" s="48" t="n"/>
      <c r="B176" s="52" t="n"/>
      <c r="C176" s="48" t="n"/>
      <c r="D176" s="35">
        <f>IFERROR(INDEX('Khách hàng'!$B$4:$B$103,MATCH($C176,'Khách hàng'!$A$4:$A$103,0)),"")</f>
        <v/>
      </c>
      <c r="E176" s="48" t="n"/>
      <c r="F176" s="50" t="n"/>
      <c r="G176" s="53" t="n"/>
      <c r="H176" s="41">
        <f>IFERROR($F176*(1+$G176),"")</f>
        <v/>
      </c>
      <c r="I176" s="52" t="n"/>
      <c r="J176" s="48" t="n"/>
      <c r="K176" s="48" t="n"/>
      <c r="L176" s="48" t="n"/>
      <c r="M176" s="54">
        <f>IFERROR(MONTH($B176),"")</f>
        <v/>
      </c>
      <c r="N176" s="54">
        <f>IFERROR(YEAR($B176),"")</f>
        <v/>
      </c>
      <c r="O176" s="48" t="n"/>
      <c r="P176" s="55" t="n"/>
      <c r="Q176" s="56">
        <f>IFERROR(MONTH(IF($P176="",$B176,$P176)),"")</f>
        <v/>
      </c>
      <c r="R176" s="56">
        <f>IFERROR(YEAR(IF($P176="",$B176,$P176)),"")</f>
        <v/>
      </c>
    </row>
    <row r="177" ht="15" customHeight="1" s="30">
      <c r="A177" s="48" t="n"/>
      <c r="B177" s="52" t="n"/>
      <c r="C177" s="48" t="n"/>
      <c r="D177" s="35">
        <f>IFERROR(INDEX('Khách hàng'!$B$4:$B$103,MATCH($C177,'Khách hàng'!$A$4:$A$103,0)),"")</f>
        <v/>
      </c>
      <c r="E177" s="48" t="n"/>
      <c r="F177" s="50" t="n"/>
      <c r="G177" s="53" t="n"/>
      <c r="H177" s="41">
        <f>IFERROR($F177*(1+$G177),"")</f>
        <v/>
      </c>
      <c r="I177" s="52" t="n"/>
      <c r="J177" s="48" t="n"/>
      <c r="K177" s="48" t="n"/>
      <c r="L177" s="48" t="n"/>
      <c r="M177" s="54">
        <f>IFERROR(MONTH($B177),"")</f>
        <v/>
      </c>
      <c r="N177" s="54">
        <f>IFERROR(YEAR($B177),"")</f>
        <v/>
      </c>
      <c r="O177" s="48" t="n"/>
      <c r="P177" s="55" t="n"/>
      <c r="Q177" s="56">
        <f>IFERROR(MONTH(IF($P177="",$B177,$P177)),"")</f>
        <v/>
      </c>
      <c r="R177" s="56">
        <f>IFERROR(YEAR(IF($P177="",$B177,$P177)),"")</f>
        <v/>
      </c>
    </row>
    <row r="178" ht="15" customHeight="1" s="30">
      <c r="A178" s="48" t="n"/>
      <c r="B178" s="52" t="n"/>
      <c r="C178" s="48" t="n"/>
      <c r="D178" s="35">
        <f>IFERROR(INDEX('Khách hàng'!$B$4:$B$103,MATCH($C178,'Khách hàng'!$A$4:$A$103,0)),"")</f>
        <v/>
      </c>
      <c r="E178" s="48" t="n"/>
      <c r="F178" s="50" t="n"/>
      <c r="G178" s="53" t="n"/>
      <c r="H178" s="41">
        <f>IFERROR($F178*(1+$G178),"")</f>
        <v/>
      </c>
      <c r="I178" s="52" t="n"/>
      <c r="J178" s="48" t="n"/>
      <c r="K178" s="48" t="n"/>
      <c r="L178" s="48" t="n"/>
      <c r="M178" s="54">
        <f>IFERROR(MONTH($B178),"")</f>
        <v/>
      </c>
      <c r="N178" s="54">
        <f>IFERROR(YEAR($B178),"")</f>
        <v/>
      </c>
      <c r="O178" s="48" t="n"/>
      <c r="P178" s="55" t="n"/>
      <c r="Q178" s="56">
        <f>IFERROR(MONTH(IF($P178="",$B178,$P178)),"")</f>
        <v/>
      </c>
      <c r="R178" s="56">
        <f>IFERROR(YEAR(IF($P178="",$B178,$P178)),"")</f>
        <v/>
      </c>
    </row>
    <row r="179" ht="15" customHeight="1" s="30">
      <c r="A179" s="48" t="n"/>
      <c r="B179" s="52" t="n"/>
      <c r="C179" s="48" t="n"/>
      <c r="D179" s="35">
        <f>IFERROR(INDEX('Khách hàng'!$B$4:$B$103,MATCH($C179,'Khách hàng'!$A$4:$A$103,0)),"")</f>
        <v/>
      </c>
      <c r="E179" s="48" t="n"/>
      <c r="F179" s="50" t="n"/>
      <c r="G179" s="53" t="n"/>
      <c r="H179" s="41">
        <f>IFERROR($F179*(1+$G179),"")</f>
        <v/>
      </c>
      <c r="I179" s="52" t="n"/>
      <c r="J179" s="48" t="n"/>
      <c r="K179" s="48" t="n"/>
      <c r="L179" s="48" t="n"/>
      <c r="M179" s="54">
        <f>IFERROR(MONTH($B179),"")</f>
        <v/>
      </c>
      <c r="N179" s="54">
        <f>IFERROR(YEAR($B179),"")</f>
        <v/>
      </c>
      <c r="O179" s="48" t="n"/>
      <c r="P179" s="55" t="n"/>
      <c r="Q179" s="56">
        <f>IFERROR(MONTH(IF($P179="",$B179,$P179)),"")</f>
        <v/>
      </c>
      <c r="R179" s="56">
        <f>IFERROR(YEAR(IF($P179="",$B179,$P179)),"")</f>
        <v/>
      </c>
    </row>
    <row r="180" ht="15" customHeight="1" s="30">
      <c r="A180" s="48" t="n"/>
      <c r="B180" s="52" t="n"/>
      <c r="C180" s="48" t="n"/>
      <c r="D180" s="35">
        <f>IFERROR(INDEX('Khách hàng'!$B$4:$B$103,MATCH($C180,'Khách hàng'!$A$4:$A$103,0)),"")</f>
        <v/>
      </c>
      <c r="E180" s="48" t="n"/>
      <c r="F180" s="50" t="n"/>
      <c r="G180" s="53" t="n"/>
      <c r="H180" s="41">
        <f>IFERROR($F180*(1+$G180),"")</f>
        <v/>
      </c>
      <c r="I180" s="52" t="n"/>
      <c r="J180" s="48" t="n"/>
      <c r="K180" s="48" t="n"/>
      <c r="L180" s="48" t="n"/>
      <c r="M180" s="54">
        <f>IFERROR(MONTH($B180),"")</f>
        <v/>
      </c>
      <c r="N180" s="54">
        <f>IFERROR(YEAR($B180),"")</f>
        <v/>
      </c>
      <c r="O180" s="48" t="n"/>
      <c r="P180" s="55" t="n"/>
      <c r="Q180" s="56">
        <f>IFERROR(MONTH(IF($P180="",$B180,$P180)),"")</f>
        <v/>
      </c>
      <c r="R180" s="56">
        <f>IFERROR(YEAR(IF($P180="",$B180,$P180)),"")</f>
        <v/>
      </c>
    </row>
    <row r="181" ht="15" customHeight="1" s="30">
      <c r="A181" s="48" t="n"/>
      <c r="B181" s="52" t="n"/>
      <c r="C181" s="48" t="n"/>
      <c r="D181" s="35">
        <f>IFERROR(INDEX('Khách hàng'!$B$4:$B$103,MATCH($C181,'Khách hàng'!$A$4:$A$103,0)),"")</f>
        <v/>
      </c>
      <c r="E181" s="48" t="n"/>
      <c r="F181" s="50" t="n"/>
      <c r="G181" s="53" t="n"/>
      <c r="H181" s="41">
        <f>IFERROR($F181*(1+$G181),"")</f>
        <v/>
      </c>
      <c r="I181" s="52" t="n"/>
      <c r="J181" s="48" t="n"/>
      <c r="K181" s="48" t="n"/>
      <c r="L181" s="48" t="n"/>
      <c r="M181" s="54">
        <f>IFERROR(MONTH($B181),"")</f>
        <v/>
      </c>
      <c r="N181" s="54">
        <f>IFERROR(YEAR($B181),"")</f>
        <v/>
      </c>
      <c r="O181" s="48" t="n"/>
      <c r="P181" s="55" t="n"/>
      <c r="Q181" s="56">
        <f>IFERROR(MONTH(IF($P181="",$B181,$P181)),"")</f>
        <v/>
      </c>
      <c r="R181" s="56">
        <f>IFERROR(YEAR(IF($P181="",$B181,$P181)),"")</f>
        <v/>
      </c>
    </row>
    <row r="182" ht="15" customHeight="1" s="30">
      <c r="A182" s="48" t="n"/>
      <c r="B182" s="52" t="n"/>
      <c r="C182" s="48" t="n"/>
      <c r="D182" s="35">
        <f>IFERROR(INDEX('Khách hàng'!$B$4:$B$103,MATCH($C182,'Khách hàng'!$A$4:$A$103,0)),"")</f>
        <v/>
      </c>
      <c r="E182" s="48" t="n"/>
      <c r="F182" s="50" t="n"/>
      <c r="G182" s="53" t="n"/>
      <c r="H182" s="41">
        <f>IFERROR($F182*(1+$G182),"")</f>
        <v/>
      </c>
      <c r="I182" s="52" t="n"/>
      <c r="J182" s="48" t="n"/>
      <c r="K182" s="48" t="n"/>
      <c r="L182" s="48" t="n"/>
      <c r="M182" s="54">
        <f>IFERROR(MONTH($B182),"")</f>
        <v/>
      </c>
      <c r="N182" s="54">
        <f>IFERROR(YEAR($B182),"")</f>
        <v/>
      </c>
      <c r="O182" s="48" t="n"/>
      <c r="P182" s="55" t="n"/>
      <c r="Q182" s="56">
        <f>IFERROR(MONTH(IF($P182="",$B182,$P182)),"")</f>
        <v/>
      </c>
      <c r="R182" s="56">
        <f>IFERROR(YEAR(IF($P182="",$B182,$P182)),"")</f>
        <v/>
      </c>
    </row>
    <row r="183" ht="15" customHeight="1" s="30">
      <c r="A183" s="48" t="n"/>
      <c r="B183" s="52" t="n"/>
      <c r="C183" s="48" t="n"/>
      <c r="D183" s="35">
        <f>IFERROR(INDEX('Khách hàng'!$B$4:$B$103,MATCH($C183,'Khách hàng'!$A$4:$A$103,0)),"")</f>
        <v/>
      </c>
      <c r="E183" s="48" t="n"/>
      <c r="F183" s="50" t="n"/>
      <c r="G183" s="53" t="n"/>
      <c r="H183" s="41">
        <f>IFERROR($F183*(1+$G183),"")</f>
        <v/>
      </c>
      <c r="I183" s="52" t="n"/>
      <c r="J183" s="48" t="n"/>
      <c r="K183" s="48" t="n"/>
      <c r="L183" s="48" t="n"/>
      <c r="M183" s="54">
        <f>IFERROR(MONTH($B183),"")</f>
        <v/>
      </c>
      <c r="N183" s="54">
        <f>IFERROR(YEAR($B183),"")</f>
        <v/>
      </c>
      <c r="O183" s="48" t="n"/>
      <c r="P183" s="55" t="n"/>
      <c r="Q183" s="56">
        <f>IFERROR(MONTH(IF($P183="",$B183,$P183)),"")</f>
        <v/>
      </c>
      <c r="R183" s="56">
        <f>IFERROR(YEAR(IF($P183="",$B183,$P183)),"")</f>
        <v/>
      </c>
    </row>
    <row r="184" ht="15" customHeight="1" s="30">
      <c r="A184" s="48" t="n"/>
      <c r="B184" s="52" t="n"/>
      <c r="C184" s="48" t="n"/>
      <c r="D184" s="35">
        <f>IFERROR(INDEX('Khách hàng'!$B$4:$B$103,MATCH($C184,'Khách hàng'!$A$4:$A$103,0)),"")</f>
        <v/>
      </c>
      <c r="E184" s="48" t="n"/>
      <c r="F184" s="50" t="n"/>
      <c r="G184" s="53" t="n"/>
      <c r="H184" s="41">
        <f>IFERROR($F184*(1+$G184),"")</f>
        <v/>
      </c>
      <c r="I184" s="52" t="n"/>
      <c r="J184" s="48" t="n"/>
      <c r="K184" s="48" t="n"/>
      <c r="L184" s="48" t="n"/>
      <c r="M184" s="54">
        <f>IFERROR(MONTH($B184),"")</f>
        <v/>
      </c>
      <c r="N184" s="54">
        <f>IFERROR(YEAR($B184),"")</f>
        <v/>
      </c>
      <c r="O184" s="48" t="n"/>
      <c r="P184" s="55" t="n"/>
      <c r="Q184" s="56">
        <f>IFERROR(MONTH(IF($P184="",$B184,$P184)),"")</f>
        <v/>
      </c>
      <c r="R184" s="56">
        <f>IFERROR(YEAR(IF($P184="",$B184,$P184)),"")</f>
        <v/>
      </c>
    </row>
    <row r="185" ht="15" customHeight="1" s="30">
      <c r="A185" s="48" t="n"/>
      <c r="B185" s="52" t="n"/>
      <c r="C185" s="48" t="n"/>
      <c r="D185" s="35">
        <f>IFERROR(INDEX('Khách hàng'!$B$4:$B$103,MATCH($C185,'Khách hàng'!$A$4:$A$103,0)),"")</f>
        <v/>
      </c>
      <c r="E185" s="48" t="n"/>
      <c r="F185" s="50" t="n"/>
      <c r="G185" s="53" t="n"/>
      <c r="H185" s="41">
        <f>IFERROR($F185*(1+$G185),"")</f>
        <v/>
      </c>
      <c r="I185" s="52" t="n"/>
      <c r="J185" s="48" t="n"/>
      <c r="K185" s="48" t="n"/>
      <c r="L185" s="48" t="n"/>
      <c r="M185" s="54">
        <f>IFERROR(MONTH($B185),"")</f>
        <v/>
      </c>
      <c r="N185" s="54">
        <f>IFERROR(YEAR($B185),"")</f>
        <v/>
      </c>
      <c r="O185" s="48" t="n"/>
      <c r="P185" s="55" t="n"/>
      <c r="Q185" s="56">
        <f>IFERROR(MONTH(IF($P185="",$B185,$P185)),"")</f>
        <v/>
      </c>
      <c r="R185" s="56">
        <f>IFERROR(YEAR(IF($P185="",$B185,$P185)),"")</f>
        <v/>
      </c>
    </row>
    <row r="186" ht="15" customHeight="1" s="30">
      <c r="A186" s="48" t="n"/>
      <c r="B186" s="52" t="n"/>
      <c r="C186" s="48" t="n"/>
      <c r="D186" s="35">
        <f>IFERROR(INDEX('Khách hàng'!$B$4:$B$103,MATCH($C186,'Khách hàng'!$A$4:$A$103,0)),"")</f>
        <v/>
      </c>
      <c r="E186" s="48" t="n"/>
      <c r="F186" s="50" t="n"/>
      <c r="G186" s="53" t="n"/>
      <c r="H186" s="41">
        <f>IFERROR($F186*(1+$G186),"")</f>
        <v/>
      </c>
      <c r="I186" s="52" t="n"/>
      <c r="J186" s="48" t="n"/>
      <c r="K186" s="48" t="n"/>
      <c r="L186" s="48" t="n"/>
      <c r="M186" s="54">
        <f>IFERROR(MONTH($B186),"")</f>
        <v/>
      </c>
      <c r="N186" s="54">
        <f>IFERROR(YEAR($B186),"")</f>
        <v/>
      </c>
      <c r="O186" s="48" t="n"/>
      <c r="P186" s="55" t="n"/>
      <c r="Q186" s="56">
        <f>IFERROR(MONTH(IF($P186="",$B186,$P186)),"")</f>
        <v/>
      </c>
      <c r="R186" s="56">
        <f>IFERROR(YEAR(IF($P186="",$B186,$P186)),"")</f>
        <v/>
      </c>
    </row>
    <row r="187" ht="15" customHeight="1" s="30">
      <c r="A187" s="48" t="n"/>
      <c r="B187" s="52" t="n"/>
      <c r="C187" s="48" t="n"/>
      <c r="D187" s="35">
        <f>IFERROR(INDEX('Khách hàng'!$B$4:$B$103,MATCH($C187,'Khách hàng'!$A$4:$A$103,0)),"")</f>
        <v/>
      </c>
      <c r="E187" s="48" t="n"/>
      <c r="F187" s="50" t="n"/>
      <c r="G187" s="53" t="n"/>
      <c r="H187" s="41">
        <f>IFERROR($F187*(1+$G187),"")</f>
        <v/>
      </c>
      <c r="I187" s="52" t="n"/>
      <c r="J187" s="48" t="n"/>
      <c r="K187" s="48" t="n"/>
      <c r="L187" s="48" t="n"/>
      <c r="M187" s="54">
        <f>IFERROR(MONTH($B187),"")</f>
        <v/>
      </c>
      <c r="N187" s="54">
        <f>IFERROR(YEAR($B187),"")</f>
        <v/>
      </c>
      <c r="O187" s="48" t="n"/>
      <c r="P187" s="55" t="n"/>
      <c r="Q187" s="56">
        <f>IFERROR(MONTH(IF($P187="",$B187,$P187)),"")</f>
        <v/>
      </c>
      <c r="R187" s="56">
        <f>IFERROR(YEAR(IF($P187="",$B187,$P187)),"")</f>
        <v/>
      </c>
    </row>
    <row r="188" ht="15" customHeight="1" s="30">
      <c r="A188" s="48" t="n"/>
      <c r="B188" s="52" t="n"/>
      <c r="C188" s="48" t="n"/>
      <c r="D188" s="35">
        <f>IFERROR(INDEX('Khách hàng'!$B$4:$B$103,MATCH($C188,'Khách hàng'!$A$4:$A$103,0)),"")</f>
        <v/>
      </c>
      <c r="E188" s="48" t="n"/>
      <c r="F188" s="50" t="n"/>
      <c r="G188" s="53" t="n"/>
      <c r="H188" s="41">
        <f>IFERROR($F188*(1+$G188),"")</f>
        <v/>
      </c>
      <c r="I188" s="52" t="n"/>
      <c r="J188" s="48" t="n"/>
      <c r="K188" s="48" t="n"/>
      <c r="L188" s="48" t="n"/>
      <c r="M188" s="54">
        <f>IFERROR(MONTH($B188),"")</f>
        <v/>
      </c>
      <c r="N188" s="54">
        <f>IFERROR(YEAR($B188),"")</f>
        <v/>
      </c>
      <c r="O188" s="48" t="n"/>
      <c r="P188" s="55" t="n"/>
      <c r="Q188" s="56">
        <f>IFERROR(MONTH(IF($P188="",$B188,$P188)),"")</f>
        <v/>
      </c>
      <c r="R188" s="56">
        <f>IFERROR(YEAR(IF($P188="",$B188,$P188)),"")</f>
        <v/>
      </c>
    </row>
    <row r="189" ht="15" customHeight="1" s="30">
      <c r="A189" s="48" t="n"/>
      <c r="B189" s="52" t="n"/>
      <c r="C189" s="48" t="n"/>
      <c r="D189" s="35">
        <f>IFERROR(INDEX('Khách hàng'!$B$4:$B$103,MATCH($C189,'Khách hàng'!$A$4:$A$103,0)),"")</f>
        <v/>
      </c>
      <c r="E189" s="48" t="n"/>
      <c r="F189" s="50" t="n"/>
      <c r="G189" s="53" t="n"/>
      <c r="H189" s="41">
        <f>IFERROR($F189*(1+$G189),"")</f>
        <v/>
      </c>
      <c r="I189" s="52" t="n"/>
      <c r="J189" s="48" t="n"/>
      <c r="K189" s="48" t="n"/>
      <c r="L189" s="48" t="n"/>
      <c r="M189" s="54">
        <f>IFERROR(MONTH($B189),"")</f>
        <v/>
      </c>
      <c r="N189" s="54">
        <f>IFERROR(YEAR($B189),"")</f>
        <v/>
      </c>
      <c r="O189" s="48" t="n"/>
      <c r="P189" s="55" t="n"/>
      <c r="Q189" s="56">
        <f>IFERROR(MONTH(IF($P189="",$B189,$P189)),"")</f>
        <v/>
      </c>
      <c r="R189" s="56">
        <f>IFERROR(YEAR(IF($P189="",$B189,$P189)),"")</f>
        <v/>
      </c>
    </row>
    <row r="190" ht="15" customHeight="1" s="30">
      <c r="A190" s="48" t="n"/>
      <c r="B190" s="52" t="n"/>
      <c r="C190" s="48" t="n"/>
      <c r="D190" s="35">
        <f>IFERROR(INDEX('Khách hàng'!$B$4:$B$103,MATCH($C190,'Khách hàng'!$A$4:$A$103,0)),"")</f>
        <v/>
      </c>
      <c r="E190" s="48" t="n"/>
      <c r="F190" s="50" t="n"/>
      <c r="G190" s="53" t="n"/>
      <c r="H190" s="41">
        <f>IFERROR($F190*(1+$G190),"")</f>
        <v/>
      </c>
      <c r="I190" s="52" t="n"/>
      <c r="J190" s="48" t="n"/>
      <c r="K190" s="48" t="n"/>
      <c r="L190" s="48" t="n"/>
      <c r="M190" s="54">
        <f>IFERROR(MONTH($B190),"")</f>
        <v/>
      </c>
      <c r="N190" s="54">
        <f>IFERROR(YEAR($B190),"")</f>
        <v/>
      </c>
      <c r="O190" s="48" t="n"/>
      <c r="P190" s="55" t="n"/>
      <c r="Q190" s="56">
        <f>IFERROR(MONTH(IF($P190="",$B190,$P190)),"")</f>
        <v/>
      </c>
      <c r="R190" s="56">
        <f>IFERROR(YEAR(IF($P190="",$B190,$P190)),"")</f>
        <v/>
      </c>
    </row>
    <row r="191" ht="15" customHeight="1" s="30">
      <c r="A191" s="48" t="n"/>
      <c r="B191" s="52" t="n"/>
      <c r="C191" s="48" t="n"/>
      <c r="D191" s="35">
        <f>IFERROR(INDEX('Khách hàng'!$B$4:$B$103,MATCH($C191,'Khách hàng'!$A$4:$A$103,0)),"")</f>
        <v/>
      </c>
      <c r="E191" s="48" t="n"/>
      <c r="F191" s="50" t="n"/>
      <c r="G191" s="53" t="n"/>
      <c r="H191" s="41">
        <f>IFERROR($F191*(1+$G191),"")</f>
        <v/>
      </c>
      <c r="I191" s="52" t="n"/>
      <c r="J191" s="48" t="n"/>
      <c r="K191" s="48" t="n"/>
      <c r="L191" s="48" t="n"/>
      <c r="M191" s="54">
        <f>IFERROR(MONTH($B191),"")</f>
        <v/>
      </c>
      <c r="N191" s="54">
        <f>IFERROR(YEAR($B191),"")</f>
        <v/>
      </c>
      <c r="O191" s="48" t="n"/>
      <c r="P191" s="55" t="n"/>
      <c r="Q191" s="56">
        <f>IFERROR(MONTH(IF($P191="",$B191,$P191)),"")</f>
        <v/>
      </c>
      <c r="R191" s="56">
        <f>IFERROR(YEAR(IF($P191="",$B191,$P191)),"")</f>
        <v/>
      </c>
    </row>
    <row r="192" ht="15" customHeight="1" s="30">
      <c r="A192" s="48" t="n"/>
      <c r="B192" s="52" t="n"/>
      <c r="C192" s="48" t="n"/>
      <c r="D192" s="35">
        <f>IFERROR(INDEX('Khách hàng'!$B$4:$B$103,MATCH($C192,'Khách hàng'!$A$4:$A$103,0)),"")</f>
        <v/>
      </c>
      <c r="E192" s="48" t="n"/>
      <c r="F192" s="50" t="n"/>
      <c r="G192" s="53" t="n"/>
      <c r="H192" s="41">
        <f>IFERROR($F192*(1+$G192),"")</f>
        <v/>
      </c>
      <c r="I192" s="52" t="n"/>
      <c r="J192" s="48" t="n"/>
      <c r="K192" s="48" t="n"/>
      <c r="L192" s="48" t="n"/>
      <c r="M192" s="54">
        <f>IFERROR(MONTH($B192),"")</f>
        <v/>
      </c>
      <c r="N192" s="54">
        <f>IFERROR(YEAR($B192),"")</f>
        <v/>
      </c>
      <c r="O192" s="48" t="n"/>
      <c r="P192" s="55" t="n"/>
      <c r="Q192" s="56">
        <f>IFERROR(MONTH(IF($P192="",$B192,$P192)),"")</f>
        <v/>
      </c>
      <c r="R192" s="56">
        <f>IFERROR(YEAR(IF($P192="",$B192,$P192)),"")</f>
        <v/>
      </c>
    </row>
    <row r="193" ht="15" customHeight="1" s="30">
      <c r="A193" s="48" t="n"/>
      <c r="B193" s="52" t="n"/>
      <c r="C193" s="48" t="n"/>
      <c r="D193" s="35">
        <f>IFERROR(INDEX('Khách hàng'!$B$4:$B$103,MATCH($C193,'Khách hàng'!$A$4:$A$103,0)),"")</f>
        <v/>
      </c>
      <c r="E193" s="48" t="n"/>
      <c r="F193" s="50" t="n"/>
      <c r="G193" s="53" t="n"/>
      <c r="H193" s="41">
        <f>IFERROR($F193*(1+$G193),"")</f>
        <v/>
      </c>
      <c r="I193" s="52" t="n"/>
      <c r="J193" s="48" t="n"/>
      <c r="K193" s="48" t="n"/>
      <c r="L193" s="48" t="n"/>
      <c r="M193" s="54">
        <f>IFERROR(MONTH($B193),"")</f>
        <v/>
      </c>
      <c r="N193" s="54">
        <f>IFERROR(YEAR($B193),"")</f>
        <v/>
      </c>
      <c r="O193" s="48" t="n"/>
      <c r="P193" s="55" t="n"/>
      <c r="Q193" s="56">
        <f>IFERROR(MONTH(IF($P193="",$B193,$P193)),"")</f>
        <v/>
      </c>
      <c r="R193" s="56">
        <f>IFERROR(YEAR(IF($P193="",$B193,$P193)),"")</f>
        <v/>
      </c>
    </row>
    <row r="194" ht="15" customHeight="1" s="30">
      <c r="A194" s="48" t="n"/>
      <c r="B194" s="52" t="n"/>
      <c r="C194" s="48" t="n"/>
      <c r="D194" s="35">
        <f>IFERROR(INDEX('Khách hàng'!$B$4:$B$103,MATCH($C194,'Khách hàng'!$A$4:$A$103,0)),"")</f>
        <v/>
      </c>
      <c r="E194" s="48" t="n"/>
      <c r="F194" s="50" t="n"/>
      <c r="G194" s="53" t="n"/>
      <c r="H194" s="41">
        <f>IFERROR($F194*(1+$G194),"")</f>
        <v/>
      </c>
      <c r="I194" s="52" t="n"/>
      <c r="J194" s="48" t="n"/>
      <c r="K194" s="48" t="n"/>
      <c r="L194" s="48" t="n"/>
      <c r="M194" s="54">
        <f>IFERROR(MONTH($B194),"")</f>
        <v/>
      </c>
      <c r="N194" s="54">
        <f>IFERROR(YEAR($B194),"")</f>
        <v/>
      </c>
      <c r="O194" s="48" t="n"/>
      <c r="P194" s="55" t="n"/>
      <c r="Q194" s="56">
        <f>IFERROR(MONTH(IF($P194="",$B194,$P194)),"")</f>
        <v/>
      </c>
      <c r="R194" s="56">
        <f>IFERROR(YEAR(IF($P194="",$B194,$P194)),"")</f>
        <v/>
      </c>
    </row>
    <row r="195" ht="15" customHeight="1" s="30">
      <c r="A195" s="48" t="n"/>
      <c r="B195" s="52" t="n"/>
      <c r="C195" s="48" t="n"/>
      <c r="D195" s="35">
        <f>IFERROR(INDEX('Khách hàng'!$B$4:$B$103,MATCH($C195,'Khách hàng'!$A$4:$A$103,0)),"")</f>
        <v/>
      </c>
      <c r="E195" s="48" t="n"/>
      <c r="F195" s="50" t="n"/>
      <c r="G195" s="53" t="n"/>
      <c r="H195" s="41">
        <f>IFERROR($F195*(1+$G195),"")</f>
        <v/>
      </c>
      <c r="I195" s="52" t="n"/>
      <c r="J195" s="48" t="n"/>
      <c r="K195" s="48" t="n"/>
      <c r="L195" s="48" t="n"/>
      <c r="M195" s="54">
        <f>IFERROR(MONTH($B195),"")</f>
        <v/>
      </c>
      <c r="N195" s="54">
        <f>IFERROR(YEAR($B195),"")</f>
        <v/>
      </c>
      <c r="O195" s="48" t="n"/>
      <c r="P195" s="55" t="n"/>
      <c r="Q195" s="56">
        <f>IFERROR(MONTH(IF($P195="",$B195,$P195)),"")</f>
        <v/>
      </c>
      <c r="R195" s="56">
        <f>IFERROR(YEAR(IF($P195="",$B195,$P195)),"")</f>
        <v/>
      </c>
    </row>
    <row r="196" ht="15" customHeight="1" s="30">
      <c r="A196" s="48" t="n"/>
      <c r="B196" s="52" t="n"/>
      <c r="C196" s="48" t="n"/>
      <c r="D196" s="35">
        <f>IFERROR(INDEX('Khách hàng'!$B$4:$B$103,MATCH($C196,'Khách hàng'!$A$4:$A$103,0)),"")</f>
        <v/>
      </c>
      <c r="E196" s="48" t="n"/>
      <c r="F196" s="50" t="n"/>
      <c r="G196" s="53" t="n"/>
      <c r="H196" s="41">
        <f>IFERROR($F196*(1+$G196),"")</f>
        <v/>
      </c>
      <c r="I196" s="52" t="n"/>
      <c r="J196" s="48" t="n"/>
      <c r="K196" s="48" t="n"/>
      <c r="L196" s="48" t="n"/>
      <c r="M196" s="54">
        <f>IFERROR(MONTH($B196),"")</f>
        <v/>
      </c>
      <c r="N196" s="54">
        <f>IFERROR(YEAR($B196),"")</f>
        <v/>
      </c>
      <c r="O196" s="48" t="n"/>
      <c r="P196" s="55" t="n"/>
      <c r="Q196" s="56">
        <f>IFERROR(MONTH(IF($P196="",$B196,$P196)),"")</f>
        <v/>
      </c>
      <c r="R196" s="56">
        <f>IFERROR(YEAR(IF($P196="",$B196,$P196)),"")</f>
        <v/>
      </c>
    </row>
    <row r="197" ht="15" customHeight="1" s="30">
      <c r="A197" s="48" t="n"/>
      <c r="B197" s="52" t="n"/>
      <c r="C197" s="48" t="n"/>
      <c r="D197" s="35">
        <f>IFERROR(INDEX('Khách hàng'!$B$4:$B$103,MATCH($C197,'Khách hàng'!$A$4:$A$103,0)),"")</f>
        <v/>
      </c>
      <c r="E197" s="48" t="n"/>
      <c r="F197" s="50" t="n"/>
      <c r="G197" s="53" t="n"/>
      <c r="H197" s="41">
        <f>IFERROR($F197*(1+$G197),"")</f>
        <v/>
      </c>
      <c r="I197" s="52" t="n"/>
      <c r="J197" s="48" t="n"/>
      <c r="K197" s="48" t="n"/>
      <c r="L197" s="48" t="n"/>
      <c r="M197" s="54">
        <f>IFERROR(MONTH($B197),"")</f>
        <v/>
      </c>
      <c r="N197" s="54">
        <f>IFERROR(YEAR($B197),"")</f>
        <v/>
      </c>
      <c r="O197" s="48" t="n"/>
      <c r="P197" s="55" t="n"/>
      <c r="Q197" s="56">
        <f>IFERROR(MONTH(IF($P197="",$B197,$P197)),"")</f>
        <v/>
      </c>
      <c r="R197" s="56">
        <f>IFERROR(YEAR(IF($P197="",$B197,$P197)),"")</f>
        <v/>
      </c>
    </row>
    <row r="198" ht="15" customHeight="1" s="30">
      <c r="A198" s="48" t="n"/>
      <c r="B198" s="52" t="n"/>
      <c r="C198" s="48" t="n"/>
      <c r="D198" s="35">
        <f>IFERROR(INDEX('Khách hàng'!$B$4:$B$103,MATCH($C198,'Khách hàng'!$A$4:$A$103,0)),"")</f>
        <v/>
      </c>
      <c r="E198" s="48" t="n"/>
      <c r="F198" s="50" t="n"/>
      <c r="G198" s="53" t="n"/>
      <c r="H198" s="41">
        <f>IFERROR($F198*(1+$G198),"")</f>
        <v/>
      </c>
      <c r="I198" s="52" t="n"/>
      <c r="J198" s="48" t="n"/>
      <c r="K198" s="48" t="n"/>
      <c r="L198" s="48" t="n"/>
      <c r="M198" s="54">
        <f>IFERROR(MONTH($B198),"")</f>
        <v/>
      </c>
      <c r="N198" s="54">
        <f>IFERROR(YEAR($B198),"")</f>
        <v/>
      </c>
      <c r="O198" s="48" t="n"/>
      <c r="P198" s="55" t="n"/>
      <c r="Q198" s="56">
        <f>IFERROR(MONTH(IF($P198="",$B198,$P198)),"")</f>
        <v/>
      </c>
      <c r="R198" s="56">
        <f>IFERROR(YEAR(IF($P198="",$B198,$P198)),"")</f>
        <v/>
      </c>
    </row>
    <row r="199" ht="15" customHeight="1" s="30">
      <c r="A199" s="48" t="n"/>
      <c r="B199" s="52" t="n"/>
      <c r="C199" s="48" t="n"/>
      <c r="D199" s="35">
        <f>IFERROR(INDEX('Khách hàng'!$B$4:$B$103,MATCH($C199,'Khách hàng'!$A$4:$A$103,0)),"")</f>
        <v/>
      </c>
      <c r="E199" s="48" t="n"/>
      <c r="F199" s="50" t="n"/>
      <c r="G199" s="53" t="n"/>
      <c r="H199" s="41">
        <f>IFERROR($F199*(1+$G199),"")</f>
        <v/>
      </c>
      <c r="I199" s="52" t="n"/>
      <c r="J199" s="48" t="n"/>
      <c r="K199" s="48" t="n"/>
      <c r="L199" s="48" t="n"/>
      <c r="M199" s="54">
        <f>IFERROR(MONTH($B199),"")</f>
        <v/>
      </c>
      <c r="N199" s="54">
        <f>IFERROR(YEAR($B199),"")</f>
        <v/>
      </c>
      <c r="O199" s="48" t="n"/>
      <c r="P199" s="55" t="n"/>
      <c r="Q199" s="56">
        <f>IFERROR(MONTH(IF($P199="",$B199,$P199)),"")</f>
        <v/>
      </c>
      <c r="R199" s="56">
        <f>IFERROR(YEAR(IF($P199="",$B199,$P199)),"")</f>
        <v/>
      </c>
    </row>
    <row r="200" ht="15" customHeight="1" s="30">
      <c r="A200" s="48" t="n"/>
      <c r="B200" s="52" t="n"/>
      <c r="C200" s="48" t="n"/>
      <c r="D200" s="35">
        <f>IFERROR(INDEX('Khách hàng'!$B$4:$B$103,MATCH($C200,'Khách hàng'!$A$4:$A$103,0)),"")</f>
        <v/>
      </c>
      <c r="E200" s="48" t="n"/>
      <c r="F200" s="50" t="n"/>
      <c r="G200" s="53" t="n"/>
      <c r="H200" s="41">
        <f>IFERROR($F200*(1+$G200),"")</f>
        <v/>
      </c>
      <c r="I200" s="52" t="n"/>
      <c r="J200" s="48" t="n"/>
      <c r="K200" s="48" t="n"/>
      <c r="L200" s="48" t="n"/>
      <c r="M200" s="54">
        <f>IFERROR(MONTH($B200),"")</f>
        <v/>
      </c>
      <c r="N200" s="54">
        <f>IFERROR(YEAR($B200),"")</f>
        <v/>
      </c>
      <c r="O200" s="48" t="n"/>
      <c r="P200" s="55" t="n"/>
      <c r="Q200" s="56">
        <f>IFERROR(MONTH(IF($P200="",$B200,$P200)),"")</f>
        <v/>
      </c>
      <c r="R200" s="56">
        <f>IFERROR(YEAR(IF($P200="",$B200,$P200)),"")</f>
        <v/>
      </c>
    </row>
    <row r="201" ht="15" customHeight="1" s="30">
      <c r="A201" s="48" t="n"/>
      <c r="B201" s="52" t="n"/>
      <c r="C201" s="48" t="n"/>
      <c r="D201" s="35">
        <f>IFERROR(INDEX('Khách hàng'!$B$4:$B$103,MATCH($C201,'Khách hàng'!$A$4:$A$103,0)),"")</f>
        <v/>
      </c>
      <c r="E201" s="48" t="n"/>
      <c r="F201" s="50" t="n"/>
      <c r="G201" s="53" t="n"/>
      <c r="H201" s="41">
        <f>IFERROR($F201*(1+$G201),"")</f>
        <v/>
      </c>
      <c r="I201" s="52" t="n"/>
      <c r="J201" s="48" t="n"/>
      <c r="K201" s="48" t="n"/>
      <c r="L201" s="48" t="n"/>
      <c r="M201" s="54">
        <f>IFERROR(MONTH($B201),"")</f>
        <v/>
      </c>
      <c r="N201" s="54">
        <f>IFERROR(YEAR($B201),"")</f>
        <v/>
      </c>
      <c r="O201" s="48" t="n"/>
      <c r="P201" s="55" t="n"/>
      <c r="Q201" s="56">
        <f>IFERROR(MONTH(IF($P201="",$B201,$P201)),"")</f>
        <v/>
      </c>
      <c r="R201" s="56">
        <f>IFERROR(YEAR(IF($P201="",$B201,$P201)),"")</f>
        <v/>
      </c>
    </row>
    <row r="202" ht="15" customHeight="1" s="30">
      <c r="A202" s="48" t="n"/>
      <c r="B202" s="52" t="n"/>
      <c r="C202" s="48" t="n"/>
      <c r="D202" s="35">
        <f>IFERROR(INDEX('Khách hàng'!$B$4:$B$103,MATCH($C202,'Khách hàng'!$A$4:$A$103,0)),"")</f>
        <v/>
      </c>
      <c r="E202" s="48" t="n"/>
      <c r="F202" s="50" t="n"/>
      <c r="G202" s="53" t="n"/>
      <c r="H202" s="41">
        <f>IFERROR($F202*(1+$G202),"")</f>
        <v/>
      </c>
      <c r="I202" s="52" t="n"/>
      <c r="J202" s="48" t="n"/>
      <c r="K202" s="48" t="n"/>
      <c r="L202" s="48" t="n"/>
      <c r="M202" s="54">
        <f>IFERROR(MONTH($B202),"")</f>
        <v/>
      </c>
      <c r="N202" s="54">
        <f>IFERROR(YEAR($B202),"")</f>
        <v/>
      </c>
      <c r="O202" s="48" t="n"/>
      <c r="P202" s="55" t="n"/>
      <c r="Q202" s="56">
        <f>IFERROR(MONTH(IF($P202="",$B202,$P202)),"")</f>
        <v/>
      </c>
      <c r="R202" s="56">
        <f>IFERROR(YEAR(IF($P202="",$B202,$P202)),"")</f>
        <v/>
      </c>
    </row>
    <row r="203" ht="15" customHeight="1" s="30">
      <c r="A203" s="48" t="n"/>
      <c r="B203" s="52" t="n"/>
      <c r="C203" s="48" t="n"/>
      <c r="D203" s="35">
        <f>IFERROR(INDEX('Khách hàng'!$B$4:$B$103,MATCH($C203,'Khách hàng'!$A$4:$A$103,0)),"")</f>
        <v/>
      </c>
      <c r="E203" s="48" t="n"/>
      <c r="F203" s="50" t="n"/>
      <c r="G203" s="53" t="n"/>
      <c r="H203" s="41">
        <f>IFERROR($F203*(1+$G203),"")</f>
        <v/>
      </c>
      <c r="I203" s="52" t="n"/>
      <c r="J203" s="48" t="n"/>
      <c r="K203" s="48" t="n"/>
      <c r="L203" s="48" t="n"/>
      <c r="M203" s="54">
        <f>IFERROR(MONTH($B203),"")</f>
        <v/>
      </c>
      <c r="N203" s="54">
        <f>IFERROR(YEAR($B203),"")</f>
        <v/>
      </c>
      <c r="O203" s="48" t="n"/>
      <c r="P203" s="55" t="n"/>
      <c r="Q203" s="56">
        <f>IFERROR(MONTH(IF($P203="",$B203,$P203)),"")</f>
        <v/>
      </c>
      <c r="R203" s="56">
        <f>IFERROR(YEAR(IF($P203="",$B203,$P203)),"")</f>
        <v/>
      </c>
    </row>
  </sheetData>
  <autoFilter ref="A3:O20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2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13" customWidth="1" style="29" min="2" max="2"/>
    <col width="14" customWidth="1" style="29" min="3" max="3"/>
    <col width="11" customWidth="1" style="29" min="4" max="4"/>
    <col width="30" customWidth="1" style="29" min="5" max="5"/>
    <col width="16" customWidth="1" style="29" min="6" max="6"/>
    <col width="12" customWidth="1" style="29" min="7" max="7"/>
    <col width="22" customWidth="1" style="29" min="8" max="9"/>
    <col width="15" customWidth="1" style="29" min="10" max="11"/>
    <col width="17" customWidth="1" style="29" min="12" max="12"/>
    <col width="12" customWidth="1" style="29" min="13" max="13"/>
    <col width="20" customWidth="1" style="29" min="14" max="14"/>
    <col width="13" customWidth="1" style="29" min="15" max="15"/>
    <col width="14" customWidth="1" style="29" min="16" max="16"/>
    <col width="10" customWidth="1" style="29" min="17" max="17"/>
    <col width="9" customWidth="1" style="29" min="18" max="18"/>
    <col width="24" customWidth="1" style="29" min="19" max="19"/>
  </cols>
  <sheetData>
    <row r="1" ht="17.35" customHeight="1" s="30">
      <c r="A1" s="31" t="inlineStr">
        <is>
          <t>THEO DÕI PO / HỢP ĐỒNG - TIẾN ĐỘ - CHẤT LƯỢNG</t>
        </is>
      </c>
    </row>
    <row r="2" ht="15" customHeight="1" s="30">
      <c r="A2" s="32" t="inlineStr">
        <is>
          <t>Nhập Mã báo giá để tự kéo khách hàng · tình trạng tiến độ tự đánh giá theo ngày cam kết</t>
        </is>
      </c>
    </row>
    <row r="3" ht="31.5" customHeight="1" s="30">
      <c r="A3" s="39" t="inlineStr">
        <is>
          <t>Mã PO</t>
        </is>
      </c>
      <c r="B3" s="39" t="inlineStr">
        <is>
          <t>Ngày nhận PO</t>
        </is>
      </c>
      <c r="C3" s="39" t="inlineStr">
        <is>
          <t>Mã báo giá</t>
        </is>
      </c>
      <c r="D3" s="39" t="inlineStr">
        <is>
          <t>Mã KH</t>
        </is>
      </c>
      <c r="E3" s="39" t="inlineStr">
        <is>
          <t>Tên khách hàng</t>
        </is>
      </c>
      <c r="F3" s="39" t="inlineStr">
        <is>
          <t>Số hợp đồng</t>
        </is>
      </c>
      <c r="G3" s="39" t="inlineStr">
        <is>
          <t>Ngày ký HĐ</t>
        </is>
      </c>
      <c r="H3" s="39" t="inlineStr">
        <is>
          <t>Giá trị hợp đồng (VNĐ)</t>
        </is>
      </c>
      <c r="I3" s="39" t="inlineStr">
        <is>
          <t>Giá trị báo giá gốc (VNĐ)</t>
        </is>
      </c>
      <c r="J3" s="39" t="inlineStr">
        <is>
          <t>Ngày giao cam kết</t>
        </is>
      </c>
      <c r="K3" s="39" t="inlineStr">
        <is>
          <t>Ngày giao thực tế</t>
        </is>
      </c>
      <c r="L3" s="39" t="inlineStr">
        <is>
          <t>Tình trạng tiến độ</t>
        </is>
      </c>
      <c r="M3" s="39" t="inlineStr">
        <is>
          <t>Số ngày trễ</t>
        </is>
      </c>
      <c r="N3" s="39" t="inlineStr">
        <is>
          <t>Tình trạng chất lượng</t>
        </is>
      </c>
      <c r="O3" s="39" t="inlineStr">
        <is>
          <t>Tỷ lệ hàng lỗi</t>
        </is>
      </c>
      <c r="P3" s="39" t="inlineStr">
        <is>
          <t>Hạn thanh toán</t>
        </is>
      </c>
      <c r="Q3" s="39" t="inlineStr">
        <is>
          <t>Tháng ký</t>
        </is>
      </c>
      <c r="R3" s="39" t="inlineStr">
        <is>
          <t>Năm ký</t>
        </is>
      </c>
      <c r="S3" s="39" t="inlineStr">
        <is>
          <t>Ghi chú</t>
        </is>
      </c>
      <c r="T3" s="47" t="inlineStr">
        <is>
          <t>Mô tả hàng hóa</t>
        </is>
      </c>
      <c r="U3" s="47" t="inlineStr">
        <is>
          <t>Số lượng</t>
        </is>
      </c>
      <c r="V3" s="47" t="inlineStr">
        <is>
          <t>Đơn giá</t>
        </is>
      </c>
      <c r="W3" s="47" t="inlineStr">
        <is>
          <t>VAT</t>
        </is>
      </c>
      <c r="X3" s="47" t="inlineStr">
        <is>
          <t>Ngày dự kiến hàng về</t>
        </is>
      </c>
      <c r="Y3" s="47" t="inlineStr">
        <is>
          <t>Ngày hóa đơn</t>
        </is>
      </c>
      <c r="Z3" s="47" t="inlineStr">
        <is>
          <t>Công nợ (số ngày)</t>
        </is>
      </c>
    </row>
    <row r="4" ht="15" customHeight="1" s="30">
      <c r="A4" s="48" t="inlineStr">
        <is>
          <t>PO2026-001</t>
        </is>
      </c>
      <c r="B4" s="52" t="n">
        <v>46032</v>
      </c>
      <c r="C4" s="48" t="inlineStr">
        <is>
          <t>BG2026-001</t>
        </is>
      </c>
      <c r="D4" s="35">
        <f>IFERROR(INDEX('Báo giá'!$C$4:$C$203,MATCH($C4,'Báo giá'!$A$4:$A$203,0)),"")</f>
        <v/>
      </c>
      <c r="E4" s="35">
        <f>IFERROR(INDEX('Khách hàng'!$B$4:$B$103,MATCH($D4,'Khách hàng'!$A$4:$A$103,0)),"")</f>
        <v/>
      </c>
      <c r="F4" s="48" t="inlineStr">
        <is>
          <t>HĐ01/2026</t>
        </is>
      </c>
      <c r="G4" s="52" t="n">
        <v>46034</v>
      </c>
      <c r="H4" s="50" t="n">
        <v>270000000</v>
      </c>
      <c r="I4" s="41">
        <f>IFERROR(INDEX('Báo giá'!$H$4:$H$203,MATCH($C4,'Báo giá'!$A$4:$A$203,0)),"")</f>
        <v/>
      </c>
      <c r="J4" s="52" t="n">
        <v>46068</v>
      </c>
      <c r="K4" s="52" t="n">
        <v>46067</v>
      </c>
      <c r="L4" s="35">
        <f>IF($A4="","",IF($K4="",IF($J4="","Chưa có kế hoạch",IF(TODAY()&gt;$J4,"Trễ hạn","Đang thực hiện")),IF($K4&lt;=$J4,"Đúng hạn","Giao trễ")))</f>
        <v/>
      </c>
      <c r="M4" s="41">
        <f>IF($A4="","",IF($K4="",IF($J4="",0,MAX(0,TODAY()-$J4)),MAX(0,$K4-$J4)))</f>
        <v/>
      </c>
      <c r="N4" s="48" t="inlineStr">
        <is>
          <t>Đạt</t>
        </is>
      </c>
      <c r="O4" s="53" t="n">
        <v>0</v>
      </c>
      <c r="P4" s="57">
        <f>IF($A4="","",IF(IF($Y4="",$K4,$Y4)="","",IF($Y4="",$K4,$Y4)+IF($Z4="",0,$Z4)))</f>
        <v/>
      </c>
      <c r="Q4" s="54">
        <f>IFERROR(MONTH($G4),"")</f>
        <v/>
      </c>
      <c r="R4" s="54">
        <f>IFERROR(YEAR($G4),"")</f>
        <v/>
      </c>
      <c r="S4" s="48" t="inlineStr">
        <is>
          <t>Dòng ví dụ - xoá trước khi dùng</t>
        </is>
      </c>
      <c r="T4" s="58">
        <f>IFERROR(INDEX('Báo giá'!$E$4:$E$203,MATCH($C4,'Báo giá'!$A$4:$A$203,0)),"")</f>
        <v/>
      </c>
      <c r="U4" s="59" t="n">
        <v>100</v>
      </c>
      <c r="V4" s="60" t="n">
        <v>2700000</v>
      </c>
      <c r="W4" s="61">
        <f>IFERROR(INDEX('Báo giá'!$G$4:$G$203,MATCH($C4,'Báo giá'!$A$4:$A$203,0)),"")</f>
        <v/>
      </c>
      <c r="X4" s="55" t="n"/>
      <c r="Y4" s="55" t="n">
        <v>46069</v>
      </c>
      <c r="Z4" s="62" t="n">
        <v>30</v>
      </c>
    </row>
    <row r="5" ht="15" customHeight="1" s="30">
      <c r="A5" s="48" t="n"/>
      <c r="B5" s="52" t="n"/>
      <c r="C5" s="48" t="n"/>
      <c r="D5" s="35">
        <f>IFERROR(INDEX('Báo giá'!$C$4:$C$203,MATCH($C5,'Báo giá'!$A$4:$A$203,0)),"")</f>
        <v/>
      </c>
      <c r="E5" s="35">
        <f>IFERROR(INDEX('Khách hàng'!$B$4:$B$103,MATCH($D5,'Khách hàng'!$A$4:$A$103,0)),"")</f>
        <v/>
      </c>
      <c r="F5" s="48" t="n"/>
      <c r="G5" s="52" t="n"/>
      <c r="H5" s="50" t="n"/>
      <c r="I5" s="41">
        <f>IFERROR(INDEX('Báo giá'!$H$4:$H$203,MATCH($C5,'Báo giá'!$A$4:$A$203,0)),"")</f>
        <v/>
      </c>
      <c r="J5" s="52" t="n"/>
      <c r="K5" s="52" t="n"/>
      <c r="L5" s="35">
        <f>IF($A5="","",IF($K5="",IF($J5="","Chưa có kế hoạch",IF(TODAY()&gt;$J5,"Trễ hạn","Đang thực hiện")),IF($K5&lt;=$J5,"Đúng hạn","Giao trễ")))</f>
        <v/>
      </c>
      <c r="M5" s="41">
        <f>IF($A5="","",IF($K5="",IF($J5="",0,MAX(0,TODAY()-$J5)),MAX(0,$K5-$J5)))</f>
        <v/>
      </c>
      <c r="N5" s="48" t="n"/>
      <c r="O5" s="53" t="n"/>
      <c r="P5" s="57">
        <f>IF($A5="","",IF(IF($Y5="",$K5,$Y5)="","",IF($Y5="",$K5,$Y5)+IF($Z5="",0,$Z5)))</f>
        <v/>
      </c>
      <c r="Q5" s="54">
        <f>IFERROR(MONTH($G5),"")</f>
        <v/>
      </c>
      <c r="R5" s="54">
        <f>IFERROR(YEAR($G5),"")</f>
        <v/>
      </c>
      <c r="S5" s="48" t="n"/>
      <c r="T5" s="58">
        <f>IFERROR(INDEX('Báo giá'!$E$4:$E$203,MATCH($C5,'Báo giá'!$A$4:$A$203,0)),"")</f>
        <v/>
      </c>
      <c r="U5" s="59" t="n"/>
      <c r="V5" s="60" t="n"/>
      <c r="W5" s="61">
        <f>IFERROR(INDEX('Báo giá'!$G$4:$G$203,MATCH($C5,'Báo giá'!$A$4:$A$203,0)),"")</f>
        <v/>
      </c>
      <c r="X5" s="55" t="n"/>
      <c r="Y5" s="55" t="n"/>
      <c r="Z5" s="62" t="n"/>
    </row>
    <row r="6" ht="15" customHeight="1" s="30">
      <c r="A6" s="48" t="n"/>
      <c r="B6" s="52" t="n"/>
      <c r="C6" s="48" t="n"/>
      <c r="D6" s="35">
        <f>IFERROR(INDEX('Báo giá'!$C$4:$C$203,MATCH($C6,'Báo giá'!$A$4:$A$203,0)),"")</f>
        <v/>
      </c>
      <c r="E6" s="35">
        <f>IFERROR(INDEX('Khách hàng'!$B$4:$B$103,MATCH($D6,'Khách hàng'!$A$4:$A$103,0)),"")</f>
        <v/>
      </c>
      <c r="F6" s="48" t="n"/>
      <c r="G6" s="52" t="n"/>
      <c r="H6" s="50" t="n"/>
      <c r="I6" s="41">
        <f>IFERROR(INDEX('Báo giá'!$H$4:$H$203,MATCH($C6,'Báo giá'!$A$4:$A$203,0)),"")</f>
        <v/>
      </c>
      <c r="J6" s="52" t="n"/>
      <c r="K6" s="52" t="n"/>
      <c r="L6" s="35">
        <f>IF($A6="","",IF($K6="",IF($J6="","Chưa có kế hoạch",IF(TODAY()&gt;$J6,"Trễ hạn","Đang thực hiện")),IF($K6&lt;=$J6,"Đúng hạn","Giao trễ")))</f>
        <v/>
      </c>
      <c r="M6" s="41">
        <f>IF($A6="","",IF($K6="",IF($J6="",0,MAX(0,TODAY()-$J6)),MAX(0,$K6-$J6)))</f>
        <v/>
      </c>
      <c r="N6" s="48" t="n"/>
      <c r="O6" s="53" t="n"/>
      <c r="P6" s="57">
        <f>IF($A6="","",IF(IF($Y6="",$K6,$Y6)="","",IF($Y6="",$K6,$Y6)+IF($Z6="",0,$Z6)))</f>
        <v/>
      </c>
      <c r="Q6" s="54">
        <f>IFERROR(MONTH($G6),"")</f>
        <v/>
      </c>
      <c r="R6" s="54">
        <f>IFERROR(YEAR($G6),"")</f>
        <v/>
      </c>
      <c r="S6" s="48" t="n"/>
      <c r="T6" s="58">
        <f>IFERROR(INDEX('Báo giá'!$E$4:$E$203,MATCH($C6,'Báo giá'!$A$4:$A$203,0)),"")</f>
        <v/>
      </c>
      <c r="U6" s="59" t="n"/>
      <c r="V6" s="60" t="n"/>
      <c r="W6" s="61">
        <f>IFERROR(INDEX('Báo giá'!$G$4:$G$203,MATCH($C6,'Báo giá'!$A$4:$A$203,0)),"")</f>
        <v/>
      </c>
      <c r="X6" s="55" t="n"/>
      <c r="Y6" s="55" t="n"/>
      <c r="Z6" s="62" t="n"/>
    </row>
    <row r="7" ht="15" customHeight="1" s="30">
      <c r="A7" s="48" t="n"/>
      <c r="B7" s="52" t="n"/>
      <c r="C7" s="48" t="n"/>
      <c r="D7" s="35">
        <f>IFERROR(INDEX('Báo giá'!$C$4:$C$203,MATCH($C7,'Báo giá'!$A$4:$A$203,0)),"")</f>
        <v/>
      </c>
      <c r="E7" s="35">
        <f>IFERROR(INDEX('Khách hàng'!$B$4:$B$103,MATCH($D7,'Khách hàng'!$A$4:$A$103,0)),"")</f>
        <v/>
      </c>
      <c r="F7" s="48" t="n"/>
      <c r="G7" s="52" t="n"/>
      <c r="H7" s="50" t="n"/>
      <c r="I7" s="41">
        <f>IFERROR(INDEX('Báo giá'!$H$4:$H$203,MATCH($C7,'Báo giá'!$A$4:$A$203,0)),"")</f>
        <v/>
      </c>
      <c r="J7" s="52" t="n"/>
      <c r="K7" s="52" t="n"/>
      <c r="L7" s="35">
        <f>IF($A7="","",IF($K7="",IF($J7="","Chưa có kế hoạch",IF(TODAY()&gt;$J7,"Trễ hạn","Đang thực hiện")),IF($K7&lt;=$J7,"Đúng hạn","Giao trễ")))</f>
        <v/>
      </c>
      <c r="M7" s="41">
        <f>IF($A7="","",IF($K7="",IF($J7="",0,MAX(0,TODAY()-$J7)),MAX(0,$K7-$J7)))</f>
        <v/>
      </c>
      <c r="N7" s="48" t="n"/>
      <c r="O7" s="53" t="n"/>
      <c r="P7" s="57">
        <f>IF($A7="","",IF(IF($Y7="",$K7,$Y7)="","",IF($Y7="",$K7,$Y7)+IF($Z7="",0,$Z7)))</f>
        <v/>
      </c>
      <c r="Q7" s="54">
        <f>IFERROR(MONTH($G7),"")</f>
        <v/>
      </c>
      <c r="R7" s="54">
        <f>IFERROR(YEAR($G7),"")</f>
        <v/>
      </c>
      <c r="S7" s="48" t="n"/>
      <c r="T7" s="58">
        <f>IFERROR(INDEX('Báo giá'!$E$4:$E$203,MATCH($C7,'Báo giá'!$A$4:$A$203,0)),"")</f>
        <v/>
      </c>
      <c r="U7" s="59" t="n"/>
      <c r="V7" s="60" t="n"/>
      <c r="W7" s="61">
        <f>IFERROR(INDEX('Báo giá'!$G$4:$G$203,MATCH($C7,'Báo giá'!$A$4:$A$203,0)),"")</f>
        <v/>
      </c>
      <c r="X7" s="55" t="n"/>
      <c r="Y7" s="55" t="n"/>
      <c r="Z7" s="62" t="n"/>
    </row>
    <row r="8" ht="15" customHeight="1" s="30">
      <c r="A8" s="48" t="n"/>
      <c r="B8" s="52" t="n"/>
      <c r="C8" s="48" t="n"/>
      <c r="D8" s="35">
        <f>IFERROR(INDEX('Báo giá'!$C$4:$C$203,MATCH($C8,'Báo giá'!$A$4:$A$203,0)),"")</f>
        <v/>
      </c>
      <c r="E8" s="35">
        <f>IFERROR(INDEX('Khách hàng'!$B$4:$B$103,MATCH($D8,'Khách hàng'!$A$4:$A$103,0)),"")</f>
        <v/>
      </c>
      <c r="F8" s="48" t="n"/>
      <c r="G8" s="52" t="n"/>
      <c r="H8" s="50" t="n"/>
      <c r="I8" s="41">
        <f>IFERROR(INDEX('Báo giá'!$H$4:$H$203,MATCH($C8,'Báo giá'!$A$4:$A$203,0)),"")</f>
        <v/>
      </c>
      <c r="J8" s="52" t="n"/>
      <c r="K8" s="52" t="n"/>
      <c r="L8" s="35">
        <f>IF($A8="","",IF($K8="",IF($J8="","Chưa có kế hoạch",IF(TODAY()&gt;$J8,"Trễ hạn","Đang thực hiện")),IF($K8&lt;=$J8,"Đúng hạn","Giao trễ")))</f>
        <v/>
      </c>
      <c r="M8" s="41">
        <f>IF($A8="","",IF($K8="",IF($J8="",0,MAX(0,TODAY()-$J8)),MAX(0,$K8-$J8)))</f>
        <v/>
      </c>
      <c r="N8" s="48" t="n"/>
      <c r="O8" s="53" t="n"/>
      <c r="P8" s="57">
        <f>IF($A8="","",IF(IF($Y8="",$K8,$Y8)="","",IF($Y8="",$K8,$Y8)+IF($Z8="",0,$Z8)))</f>
        <v/>
      </c>
      <c r="Q8" s="54">
        <f>IFERROR(MONTH($G8),"")</f>
        <v/>
      </c>
      <c r="R8" s="54">
        <f>IFERROR(YEAR($G8),"")</f>
        <v/>
      </c>
      <c r="S8" s="48" t="n"/>
      <c r="T8" s="58">
        <f>IFERROR(INDEX('Báo giá'!$E$4:$E$203,MATCH($C8,'Báo giá'!$A$4:$A$203,0)),"")</f>
        <v/>
      </c>
      <c r="U8" s="59" t="n"/>
      <c r="V8" s="60" t="n"/>
      <c r="W8" s="61">
        <f>IFERROR(INDEX('Báo giá'!$G$4:$G$203,MATCH($C8,'Báo giá'!$A$4:$A$203,0)),"")</f>
        <v/>
      </c>
      <c r="X8" s="55" t="n"/>
      <c r="Y8" s="55" t="n"/>
      <c r="Z8" s="62" t="n"/>
    </row>
    <row r="9" ht="15" customHeight="1" s="30">
      <c r="A9" s="48" t="n"/>
      <c r="B9" s="52" t="n"/>
      <c r="C9" s="48" t="n"/>
      <c r="D9" s="35">
        <f>IFERROR(INDEX('Báo giá'!$C$4:$C$203,MATCH($C9,'Báo giá'!$A$4:$A$203,0)),"")</f>
        <v/>
      </c>
      <c r="E9" s="35">
        <f>IFERROR(INDEX('Khách hàng'!$B$4:$B$103,MATCH($D9,'Khách hàng'!$A$4:$A$103,0)),"")</f>
        <v/>
      </c>
      <c r="F9" s="48" t="n"/>
      <c r="G9" s="52" t="n"/>
      <c r="H9" s="50" t="n"/>
      <c r="I9" s="41">
        <f>IFERROR(INDEX('Báo giá'!$H$4:$H$203,MATCH($C9,'Báo giá'!$A$4:$A$203,0)),"")</f>
        <v/>
      </c>
      <c r="J9" s="52" t="n"/>
      <c r="K9" s="52" t="n"/>
      <c r="L9" s="35">
        <f>IF($A9="","",IF($K9="",IF($J9="","Chưa có kế hoạch",IF(TODAY()&gt;$J9,"Trễ hạn","Đang thực hiện")),IF($K9&lt;=$J9,"Đúng hạn","Giao trễ")))</f>
        <v/>
      </c>
      <c r="M9" s="41">
        <f>IF($A9="","",IF($K9="",IF($J9="",0,MAX(0,TODAY()-$J9)),MAX(0,$K9-$J9)))</f>
        <v/>
      </c>
      <c r="N9" s="48" t="n"/>
      <c r="O9" s="53" t="n"/>
      <c r="P9" s="57">
        <f>IF($A9="","",IF(IF($Y9="",$K9,$Y9)="","",IF($Y9="",$K9,$Y9)+IF($Z9="",0,$Z9)))</f>
        <v/>
      </c>
      <c r="Q9" s="54">
        <f>IFERROR(MONTH($G9),"")</f>
        <v/>
      </c>
      <c r="R9" s="54">
        <f>IFERROR(YEAR($G9),"")</f>
        <v/>
      </c>
      <c r="S9" s="48" t="n"/>
      <c r="T9" s="58">
        <f>IFERROR(INDEX('Báo giá'!$E$4:$E$203,MATCH($C9,'Báo giá'!$A$4:$A$203,0)),"")</f>
        <v/>
      </c>
      <c r="U9" s="59" t="n"/>
      <c r="V9" s="60" t="n"/>
      <c r="W9" s="61">
        <f>IFERROR(INDEX('Báo giá'!$G$4:$G$203,MATCH($C9,'Báo giá'!$A$4:$A$203,0)),"")</f>
        <v/>
      </c>
      <c r="X9" s="55" t="n"/>
      <c r="Y9" s="55" t="n"/>
      <c r="Z9" s="62" t="n"/>
    </row>
    <row r="10" ht="15" customHeight="1" s="30">
      <c r="A10" s="48" t="n"/>
      <c r="B10" s="52" t="n"/>
      <c r="C10" s="48" t="n"/>
      <c r="D10" s="35">
        <f>IFERROR(INDEX('Báo giá'!$C$4:$C$203,MATCH($C10,'Báo giá'!$A$4:$A$203,0)),"")</f>
        <v/>
      </c>
      <c r="E10" s="35">
        <f>IFERROR(INDEX('Khách hàng'!$B$4:$B$103,MATCH($D10,'Khách hàng'!$A$4:$A$103,0)),"")</f>
        <v/>
      </c>
      <c r="F10" s="48" t="n"/>
      <c r="G10" s="52" t="n"/>
      <c r="H10" s="50" t="n"/>
      <c r="I10" s="41">
        <f>IFERROR(INDEX('Báo giá'!$H$4:$H$203,MATCH($C10,'Báo giá'!$A$4:$A$203,0)),"")</f>
        <v/>
      </c>
      <c r="J10" s="52" t="n"/>
      <c r="K10" s="52" t="n"/>
      <c r="L10" s="35">
        <f>IF($A10="","",IF($K10="",IF($J10="","Chưa có kế hoạch",IF(TODAY()&gt;$J10,"Trễ hạn","Đang thực hiện")),IF($K10&lt;=$J10,"Đúng hạn","Giao trễ")))</f>
        <v/>
      </c>
      <c r="M10" s="41">
        <f>IF($A10="","",IF($K10="",IF($J10="",0,MAX(0,TODAY()-$J10)),MAX(0,$K10-$J10)))</f>
        <v/>
      </c>
      <c r="N10" s="48" t="n"/>
      <c r="O10" s="53" t="n"/>
      <c r="P10" s="57">
        <f>IF($A10="","",IF(IF($Y10="",$K10,$Y10)="","",IF($Y10="",$K10,$Y10)+IF($Z10="",0,$Z10)))</f>
        <v/>
      </c>
      <c r="Q10" s="54">
        <f>IFERROR(MONTH($G10),"")</f>
        <v/>
      </c>
      <c r="R10" s="54">
        <f>IFERROR(YEAR($G10),"")</f>
        <v/>
      </c>
      <c r="S10" s="48" t="n"/>
      <c r="T10" s="58">
        <f>IFERROR(INDEX('Báo giá'!$E$4:$E$203,MATCH($C10,'Báo giá'!$A$4:$A$203,0)),"")</f>
        <v/>
      </c>
      <c r="U10" s="59" t="n"/>
      <c r="V10" s="60" t="n"/>
      <c r="W10" s="61">
        <f>IFERROR(INDEX('Báo giá'!$G$4:$G$203,MATCH($C10,'Báo giá'!$A$4:$A$203,0)),"")</f>
        <v/>
      </c>
      <c r="X10" s="55" t="n"/>
      <c r="Y10" s="55" t="n"/>
      <c r="Z10" s="62" t="n"/>
    </row>
    <row r="11" ht="15" customHeight="1" s="30">
      <c r="A11" s="48" t="n"/>
      <c r="B11" s="52" t="n"/>
      <c r="C11" s="48" t="n"/>
      <c r="D11" s="35">
        <f>IFERROR(INDEX('Báo giá'!$C$4:$C$203,MATCH($C11,'Báo giá'!$A$4:$A$203,0)),"")</f>
        <v/>
      </c>
      <c r="E11" s="35">
        <f>IFERROR(INDEX('Khách hàng'!$B$4:$B$103,MATCH($D11,'Khách hàng'!$A$4:$A$103,0)),"")</f>
        <v/>
      </c>
      <c r="F11" s="48" t="n"/>
      <c r="G11" s="52" t="n"/>
      <c r="H11" s="50" t="n"/>
      <c r="I11" s="41">
        <f>IFERROR(INDEX('Báo giá'!$H$4:$H$203,MATCH($C11,'Báo giá'!$A$4:$A$203,0)),"")</f>
        <v/>
      </c>
      <c r="J11" s="52" t="n"/>
      <c r="K11" s="52" t="n"/>
      <c r="L11" s="35">
        <f>IF($A11="","",IF($K11="",IF($J11="","Chưa có kế hoạch",IF(TODAY()&gt;$J11,"Trễ hạn","Đang thực hiện")),IF($K11&lt;=$J11,"Đúng hạn","Giao trễ")))</f>
        <v/>
      </c>
      <c r="M11" s="41">
        <f>IF($A11="","",IF($K11="",IF($J11="",0,MAX(0,TODAY()-$J11)),MAX(0,$K11-$J11)))</f>
        <v/>
      </c>
      <c r="N11" s="48" t="n"/>
      <c r="O11" s="53" t="n"/>
      <c r="P11" s="57">
        <f>IF($A11="","",IF(IF($Y11="",$K11,$Y11)="","",IF($Y11="",$K11,$Y11)+IF($Z11="",0,$Z11)))</f>
        <v/>
      </c>
      <c r="Q11" s="54">
        <f>IFERROR(MONTH($G11),"")</f>
        <v/>
      </c>
      <c r="R11" s="54">
        <f>IFERROR(YEAR($G11),"")</f>
        <v/>
      </c>
      <c r="S11" s="48" t="n"/>
      <c r="T11" s="58">
        <f>IFERROR(INDEX('Báo giá'!$E$4:$E$203,MATCH($C11,'Báo giá'!$A$4:$A$203,0)),"")</f>
        <v/>
      </c>
      <c r="U11" s="59" t="n"/>
      <c r="V11" s="60" t="n"/>
      <c r="W11" s="61">
        <f>IFERROR(INDEX('Báo giá'!$G$4:$G$203,MATCH($C11,'Báo giá'!$A$4:$A$203,0)),"")</f>
        <v/>
      </c>
      <c r="X11" s="55" t="n"/>
      <c r="Y11" s="55" t="n"/>
      <c r="Z11" s="62" t="n"/>
    </row>
    <row r="12" ht="15" customHeight="1" s="30">
      <c r="A12" s="48" t="n"/>
      <c r="B12" s="52" t="n"/>
      <c r="C12" s="48" t="n"/>
      <c r="D12" s="35">
        <f>IFERROR(INDEX('Báo giá'!$C$4:$C$203,MATCH($C12,'Báo giá'!$A$4:$A$203,0)),"")</f>
        <v/>
      </c>
      <c r="E12" s="35">
        <f>IFERROR(INDEX('Khách hàng'!$B$4:$B$103,MATCH($D12,'Khách hàng'!$A$4:$A$103,0)),"")</f>
        <v/>
      </c>
      <c r="F12" s="48" t="n"/>
      <c r="G12" s="52" t="n"/>
      <c r="H12" s="50" t="n"/>
      <c r="I12" s="41">
        <f>IFERROR(INDEX('Báo giá'!$H$4:$H$203,MATCH($C12,'Báo giá'!$A$4:$A$203,0)),"")</f>
        <v/>
      </c>
      <c r="J12" s="52" t="n"/>
      <c r="K12" s="52" t="n"/>
      <c r="L12" s="35">
        <f>IF($A12="","",IF($K12="",IF($J12="","Chưa có kế hoạch",IF(TODAY()&gt;$J12,"Trễ hạn","Đang thực hiện")),IF($K12&lt;=$J12,"Đúng hạn","Giao trễ")))</f>
        <v/>
      </c>
      <c r="M12" s="41">
        <f>IF($A12="","",IF($K12="",IF($J12="",0,MAX(0,TODAY()-$J12)),MAX(0,$K12-$J12)))</f>
        <v/>
      </c>
      <c r="N12" s="48" t="n"/>
      <c r="O12" s="53" t="n"/>
      <c r="P12" s="57">
        <f>IF($A12="","",IF(IF($Y12="",$K12,$Y12)="","",IF($Y12="",$K12,$Y12)+IF($Z12="",0,$Z12)))</f>
        <v/>
      </c>
      <c r="Q12" s="54">
        <f>IFERROR(MONTH($G12),"")</f>
        <v/>
      </c>
      <c r="R12" s="54">
        <f>IFERROR(YEAR($G12),"")</f>
        <v/>
      </c>
      <c r="S12" s="48" t="n"/>
      <c r="T12" s="58">
        <f>IFERROR(INDEX('Báo giá'!$E$4:$E$203,MATCH($C12,'Báo giá'!$A$4:$A$203,0)),"")</f>
        <v/>
      </c>
      <c r="U12" s="59" t="n"/>
      <c r="V12" s="60" t="n"/>
      <c r="W12" s="61">
        <f>IFERROR(INDEX('Báo giá'!$G$4:$G$203,MATCH($C12,'Báo giá'!$A$4:$A$203,0)),"")</f>
        <v/>
      </c>
      <c r="X12" s="55" t="n"/>
      <c r="Y12" s="55" t="n"/>
      <c r="Z12" s="62" t="n"/>
    </row>
    <row r="13" ht="15" customHeight="1" s="30">
      <c r="A13" s="48" t="n"/>
      <c r="B13" s="52" t="n"/>
      <c r="C13" s="48" t="n"/>
      <c r="D13" s="35">
        <f>IFERROR(INDEX('Báo giá'!$C$4:$C$203,MATCH($C13,'Báo giá'!$A$4:$A$203,0)),"")</f>
        <v/>
      </c>
      <c r="E13" s="35">
        <f>IFERROR(INDEX('Khách hàng'!$B$4:$B$103,MATCH($D13,'Khách hàng'!$A$4:$A$103,0)),"")</f>
        <v/>
      </c>
      <c r="F13" s="48" t="n"/>
      <c r="G13" s="52" t="n"/>
      <c r="H13" s="50" t="n"/>
      <c r="I13" s="41">
        <f>IFERROR(INDEX('Báo giá'!$H$4:$H$203,MATCH($C13,'Báo giá'!$A$4:$A$203,0)),"")</f>
        <v/>
      </c>
      <c r="J13" s="52" t="n"/>
      <c r="K13" s="52" t="n"/>
      <c r="L13" s="35">
        <f>IF($A13="","",IF($K13="",IF($J13="","Chưa có kế hoạch",IF(TODAY()&gt;$J13,"Trễ hạn","Đang thực hiện")),IF($K13&lt;=$J13,"Đúng hạn","Giao trễ")))</f>
        <v/>
      </c>
      <c r="M13" s="41">
        <f>IF($A13="","",IF($K13="",IF($J13="",0,MAX(0,TODAY()-$J13)),MAX(0,$K13-$J13)))</f>
        <v/>
      </c>
      <c r="N13" s="48" t="n"/>
      <c r="O13" s="53" t="n"/>
      <c r="P13" s="57">
        <f>IF($A13="","",IF(IF($Y13="",$K13,$Y13)="","",IF($Y13="",$K13,$Y13)+IF($Z13="",0,$Z13)))</f>
        <v/>
      </c>
      <c r="Q13" s="54">
        <f>IFERROR(MONTH($G13),"")</f>
        <v/>
      </c>
      <c r="R13" s="54">
        <f>IFERROR(YEAR($G13),"")</f>
        <v/>
      </c>
      <c r="S13" s="48" t="n"/>
      <c r="T13" s="58">
        <f>IFERROR(INDEX('Báo giá'!$E$4:$E$203,MATCH($C13,'Báo giá'!$A$4:$A$203,0)),"")</f>
        <v/>
      </c>
      <c r="U13" s="59" t="n"/>
      <c r="V13" s="60" t="n"/>
      <c r="W13" s="61">
        <f>IFERROR(INDEX('Báo giá'!$G$4:$G$203,MATCH($C13,'Báo giá'!$A$4:$A$203,0)),"")</f>
        <v/>
      </c>
      <c r="X13" s="55" t="n"/>
      <c r="Y13" s="55" t="n"/>
      <c r="Z13" s="62" t="n"/>
    </row>
    <row r="14" ht="15" customHeight="1" s="30">
      <c r="A14" s="48" t="n"/>
      <c r="B14" s="52" t="n"/>
      <c r="C14" s="48" t="n"/>
      <c r="D14" s="35">
        <f>IFERROR(INDEX('Báo giá'!$C$4:$C$203,MATCH($C14,'Báo giá'!$A$4:$A$203,0)),"")</f>
        <v/>
      </c>
      <c r="E14" s="35">
        <f>IFERROR(INDEX('Khách hàng'!$B$4:$B$103,MATCH($D14,'Khách hàng'!$A$4:$A$103,0)),"")</f>
        <v/>
      </c>
      <c r="F14" s="48" t="n"/>
      <c r="G14" s="52" t="n"/>
      <c r="H14" s="50" t="n"/>
      <c r="I14" s="41">
        <f>IFERROR(INDEX('Báo giá'!$H$4:$H$203,MATCH($C14,'Báo giá'!$A$4:$A$203,0)),"")</f>
        <v/>
      </c>
      <c r="J14" s="52" t="n"/>
      <c r="K14" s="52" t="n"/>
      <c r="L14" s="35">
        <f>IF($A14="","",IF($K14="",IF($J14="","Chưa có kế hoạch",IF(TODAY()&gt;$J14,"Trễ hạn","Đang thực hiện")),IF($K14&lt;=$J14,"Đúng hạn","Giao trễ")))</f>
        <v/>
      </c>
      <c r="M14" s="41">
        <f>IF($A14="","",IF($K14="",IF($J14="",0,MAX(0,TODAY()-$J14)),MAX(0,$K14-$J14)))</f>
        <v/>
      </c>
      <c r="N14" s="48" t="n"/>
      <c r="O14" s="53" t="n"/>
      <c r="P14" s="57">
        <f>IF($A14="","",IF(IF($Y14="",$K14,$Y14)="","",IF($Y14="",$K14,$Y14)+IF($Z14="",0,$Z14)))</f>
        <v/>
      </c>
      <c r="Q14" s="54">
        <f>IFERROR(MONTH($G14),"")</f>
        <v/>
      </c>
      <c r="R14" s="54">
        <f>IFERROR(YEAR($G14),"")</f>
        <v/>
      </c>
      <c r="S14" s="48" t="n"/>
      <c r="T14" s="58">
        <f>IFERROR(INDEX('Báo giá'!$E$4:$E$203,MATCH($C14,'Báo giá'!$A$4:$A$203,0)),"")</f>
        <v/>
      </c>
      <c r="U14" s="59" t="n"/>
      <c r="V14" s="60" t="n"/>
      <c r="W14" s="61">
        <f>IFERROR(INDEX('Báo giá'!$G$4:$G$203,MATCH($C14,'Báo giá'!$A$4:$A$203,0)),"")</f>
        <v/>
      </c>
      <c r="X14" s="55" t="n"/>
      <c r="Y14" s="55" t="n"/>
      <c r="Z14" s="62" t="n"/>
    </row>
    <row r="15" ht="15" customHeight="1" s="30">
      <c r="A15" s="48" t="n"/>
      <c r="B15" s="52" t="n"/>
      <c r="C15" s="48" t="n"/>
      <c r="D15" s="35">
        <f>IFERROR(INDEX('Báo giá'!$C$4:$C$203,MATCH($C15,'Báo giá'!$A$4:$A$203,0)),"")</f>
        <v/>
      </c>
      <c r="E15" s="35">
        <f>IFERROR(INDEX('Khách hàng'!$B$4:$B$103,MATCH($D15,'Khách hàng'!$A$4:$A$103,0)),"")</f>
        <v/>
      </c>
      <c r="F15" s="48" t="n"/>
      <c r="G15" s="52" t="n"/>
      <c r="H15" s="50" t="n"/>
      <c r="I15" s="41">
        <f>IFERROR(INDEX('Báo giá'!$H$4:$H$203,MATCH($C15,'Báo giá'!$A$4:$A$203,0)),"")</f>
        <v/>
      </c>
      <c r="J15" s="52" t="n"/>
      <c r="K15" s="52" t="n"/>
      <c r="L15" s="35">
        <f>IF($A15="","",IF($K15="",IF($J15="","Chưa có kế hoạch",IF(TODAY()&gt;$J15,"Trễ hạn","Đang thực hiện")),IF($K15&lt;=$J15,"Đúng hạn","Giao trễ")))</f>
        <v/>
      </c>
      <c r="M15" s="41">
        <f>IF($A15="","",IF($K15="",IF($J15="",0,MAX(0,TODAY()-$J15)),MAX(0,$K15-$J15)))</f>
        <v/>
      </c>
      <c r="N15" s="48" t="n"/>
      <c r="O15" s="53" t="n"/>
      <c r="P15" s="57">
        <f>IF($A15="","",IF(IF($Y15="",$K15,$Y15)="","",IF($Y15="",$K15,$Y15)+IF($Z15="",0,$Z15)))</f>
        <v/>
      </c>
      <c r="Q15" s="54">
        <f>IFERROR(MONTH($G15),"")</f>
        <v/>
      </c>
      <c r="R15" s="54">
        <f>IFERROR(YEAR($G15),"")</f>
        <v/>
      </c>
      <c r="S15" s="48" t="n"/>
      <c r="T15" s="58">
        <f>IFERROR(INDEX('Báo giá'!$E$4:$E$203,MATCH($C15,'Báo giá'!$A$4:$A$203,0)),"")</f>
        <v/>
      </c>
      <c r="U15" s="59" t="n"/>
      <c r="V15" s="60" t="n"/>
      <c r="W15" s="61">
        <f>IFERROR(INDEX('Báo giá'!$G$4:$G$203,MATCH($C15,'Báo giá'!$A$4:$A$203,0)),"")</f>
        <v/>
      </c>
      <c r="X15" s="55" t="n"/>
      <c r="Y15" s="55" t="n"/>
      <c r="Z15" s="62" t="n"/>
    </row>
    <row r="16" ht="15" customHeight="1" s="30">
      <c r="A16" s="48" t="n"/>
      <c r="B16" s="52" t="n"/>
      <c r="C16" s="48" t="n"/>
      <c r="D16" s="35">
        <f>IFERROR(INDEX('Báo giá'!$C$4:$C$203,MATCH($C16,'Báo giá'!$A$4:$A$203,0)),"")</f>
        <v/>
      </c>
      <c r="E16" s="35">
        <f>IFERROR(INDEX('Khách hàng'!$B$4:$B$103,MATCH($D16,'Khách hàng'!$A$4:$A$103,0)),"")</f>
        <v/>
      </c>
      <c r="F16" s="48" t="n"/>
      <c r="G16" s="52" t="n"/>
      <c r="H16" s="50" t="n"/>
      <c r="I16" s="41">
        <f>IFERROR(INDEX('Báo giá'!$H$4:$H$203,MATCH($C16,'Báo giá'!$A$4:$A$203,0)),"")</f>
        <v/>
      </c>
      <c r="J16" s="52" t="n"/>
      <c r="K16" s="52" t="n"/>
      <c r="L16" s="35">
        <f>IF($A16="","",IF($K16="",IF($J16="","Chưa có kế hoạch",IF(TODAY()&gt;$J16,"Trễ hạn","Đang thực hiện")),IF($K16&lt;=$J16,"Đúng hạn","Giao trễ")))</f>
        <v/>
      </c>
      <c r="M16" s="41">
        <f>IF($A16="","",IF($K16="",IF($J16="",0,MAX(0,TODAY()-$J16)),MAX(0,$K16-$J16)))</f>
        <v/>
      </c>
      <c r="N16" s="48" t="n"/>
      <c r="O16" s="53" t="n"/>
      <c r="P16" s="57">
        <f>IF($A16="","",IF(IF($Y16="",$K16,$Y16)="","",IF($Y16="",$K16,$Y16)+IF($Z16="",0,$Z16)))</f>
        <v/>
      </c>
      <c r="Q16" s="54">
        <f>IFERROR(MONTH($G16),"")</f>
        <v/>
      </c>
      <c r="R16" s="54">
        <f>IFERROR(YEAR($G16),"")</f>
        <v/>
      </c>
      <c r="S16" s="48" t="n"/>
      <c r="T16" s="58">
        <f>IFERROR(INDEX('Báo giá'!$E$4:$E$203,MATCH($C16,'Báo giá'!$A$4:$A$203,0)),"")</f>
        <v/>
      </c>
      <c r="U16" s="59" t="n"/>
      <c r="V16" s="60" t="n"/>
      <c r="W16" s="61">
        <f>IFERROR(INDEX('Báo giá'!$G$4:$G$203,MATCH($C16,'Báo giá'!$A$4:$A$203,0)),"")</f>
        <v/>
      </c>
      <c r="X16" s="55" t="n"/>
      <c r="Y16" s="55" t="n"/>
      <c r="Z16" s="62" t="n"/>
    </row>
    <row r="17" ht="15" customHeight="1" s="30">
      <c r="A17" s="48" t="n"/>
      <c r="B17" s="52" t="n"/>
      <c r="C17" s="48" t="n"/>
      <c r="D17" s="35">
        <f>IFERROR(INDEX('Báo giá'!$C$4:$C$203,MATCH($C17,'Báo giá'!$A$4:$A$203,0)),"")</f>
        <v/>
      </c>
      <c r="E17" s="35">
        <f>IFERROR(INDEX('Khách hàng'!$B$4:$B$103,MATCH($D17,'Khách hàng'!$A$4:$A$103,0)),"")</f>
        <v/>
      </c>
      <c r="F17" s="48" t="n"/>
      <c r="G17" s="52" t="n"/>
      <c r="H17" s="50" t="n"/>
      <c r="I17" s="41">
        <f>IFERROR(INDEX('Báo giá'!$H$4:$H$203,MATCH($C17,'Báo giá'!$A$4:$A$203,0)),"")</f>
        <v/>
      </c>
      <c r="J17" s="52" t="n"/>
      <c r="K17" s="52" t="n"/>
      <c r="L17" s="35">
        <f>IF($A17="","",IF($K17="",IF($J17="","Chưa có kế hoạch",IF(TODAY()&gt;$J17,"Trễ hạn","Đang thực hiện")),IF($K17&lt;=$J17,"Đúng hạn","Giao trễ")))</f>
        <v/>
      </c>
      <c r="M17" s="41">
        <f>IF($A17="","",IF($K17="",IF($J17="",0,MAX(0,TODAY()-$J17)),MAX(0,$K17-$J17)))</f>
        <v/>
      </c>
      <c r="N17" s="48" t="n"/>
      <c r="O17" s="53" t="n"/>
      <c r="P17" s="57">
        <f>IF($A17="","",IF(IF($Y17="",$K17,$Y17)="","",IF($Y17="",$K17,$Y17)+IF($Z17="",0,$Z17)))</f>
        <v/>
      </c>
      <c r="Q17" s="54">
        <f>IFERROR(MONTH($G17),"")</f>
        <v/>
      </c>
      <c r="R17" s="54">
        <f>IFERROR(YEAR($G17),"")</f>
        <v/>
      </c>
      <c r="S17" s="48" t="n"/>
      <c r="T17" s="58">
        <f>IFERROR(INDEX('Báo giá'!$E$4:$E$203,MATCH($C17,'Báo giá'!$A$4:$A$203,0)),"")</f>
        <v/>
      </c>
      <c r="U17" s="59" t="n"/>
      <c r="V17" s="60" t="n"/>
      <c r="W17" s="61">
        <f>IFERROR(INDEX('Báo giá'!$G$4:$G$203,MATCH($C17,'Báo giá'!$A$4:$A$203,0)),"")</f>
        <v/>
      </c>
      <c r="X17" s="55" t="n"/>
      <c r="Y17" s="55" t="n"/>
      <c r="Z17" s="62" t="n"/>
    </row>
    <row r="18" ht="15" customHeight="1" s="30">
      <c r="A18" s="48" t="n"/>
      <c r="B18" s="52" t="n"/>
      <c r="C18" s="48" t="n"/>
      <c r="D18" s="35">
        <f>IFERROR(INDEX('Báo giá'!$C$4:$C$203,MATCH($C18,'Báo giá'!$A$4:$A$203,0)),"")</f>
        <v/>
      </c>
      <c r="E18" s="35">
        <f>IFERROR(INDEX('Khách hàng'!$B$4:$B$103,MATCH($D18,'Khách hàng'!$A$4:$A$103,0)),"")</f>
        <v/>
      </c>
      <c r="F18" s="48" t="n"/>
      <c r="G18" s="52" t="n"/>
      <c r="H18" s="50" t="n"/>
      <c r="I18" s="41">
        <f>IFERROR(INDEX('Báo giá'!$H$4:$H$203,MATCH($C18,'Báo giá'!$A$4:$A$203,0)),"")</f>
        <v/>
      </c>
      <c r="J18" s="52" t="n"/>
      <c r="K18" s="52" t="n"/>
      <c r="L18" s="35">
        <f>IF($A18="","",IF($K18="",IF($J18="","Chưa có kế hoạch",IF(TODAY()&gt;$J18,"Trễ hạn","Đang thực hiện")),IF($K18&lt;=$J18,"Đúng hạn","Giao trễ")))</f>
        <v/>
      </c>
      <c r="M18" s="41">
        <f>IF($A18="","",IF($K18="",IF($J18="",0,MAX(0,TODAY()-$J18)),MAX(0,$K18-$J18)))</f>
        <v/>
      </c>
      <c r="N18" s="48" t="n"/>
      <c r="O18" s="53" t="n"/>
      <c r="P18" s="57">
        <f>IF($A18="","",IF(IF($Y18="",$K18,$Y18)="","",IF($Y18="",$K18,$Y18)+IF($Z18="",0,$Z18)))</f>
        <v/>
      </c>
      <c r="Q18" s="54">
        <f>IFERROR(MONTH($G18),"")</f>
        <v/>
      </c>
      <c r="R18" s="54">
        <f>IFERROR(YEAR($G18),"")</f>
        <v/>
      </c>
      <c r="S18" s="48" t="n"/>
      <c r="T18" s="58">
        <f>IFERROR(INDEX('Báo giá'!$E$4:$E$203,MATCH($C18,'Báo giá'!$A$4:$A$203,0)),"")</f>
        <v/>
      </c>
      <c r="U18" s="59" t="n"/>
      <c r="V18" s="60" t="n"/>
      <c r="W18" s="61">
        <f>IFERROR(INDEX('Báo giá'!$G$4:$G$203,MATCH($C18,'Báo giá'!$A$4:$A$203,0)),"")</f>
        <v/>
      </c>
      <c r="X18" s="55" t="n"/>
      <c r="Y18" s="55" t="n"/>
      <c r="Z18" s="62" t="n"/>
    </row>
    <row r="19" ht="15" customHeight="1" s="30">
      <c r="A19" s="48" t="n"/>
      <c r="B19" s="52" t="n"/>
      <c r="C19" s="48" t="n"/>
      <c r="D19" s="35">
        <f>IFERROR(INDEX('Báo giá'!$C$4:$C$203,MATCH($C19,'Báo giá'!$A$4:$A$203,0)),"")</f>
        <v/>
      </c>
      <c r="E19" s="35">
        <f>IFERROR(INDEX('Khách hàng'!$B$4:$B$103,MATCH($D19,'Khách hàng'!$A$4:$A$103,0)),"")</f>
        <v/>
      </c>
      <c r="F19" s="48" t="n"/>
      <c r="G19" s="52" t="n"/>
      <c r="H19" s="50" t="n"/>
      <c r="I19" s="41">
        <f>IFERROR(INDEX('Báo giá'!$H$4:$H$203,MATCH($C19,'Báo giá'!$A$4:$A$203,0)),"")</f>
        <v/>
      </c>
      <c r="J19" s="52" t="n"/>
      <c r="K19" s="52" t="n"/>
      <c r="L19" s="35">
        <f>IF($A19="","",IF($K19="",IF($J19="","Chưa có kế hoạch",IF(TODAY()&gt;$J19,"Trễ hạn","Đang thực hiện")),IF($K19&lt;=$J19,"Đúng hạn","Giao trễ")))</f>
        <v/>
      </c>
      <c r="M19" s="41">
        <f>IF($A19="","",IF($K19="",IF($J19="",0,MAX(0,TODAY()-$J19)),MAX(0,$K19-$J19)))</f>
        <v/>
      </c>
      <c r="N19" s="48" t="n"/>
      <c r="O19" s="53" t="n"/>
      <c r="P19" s="57">
        <f>IF($A19="","",IF(IF($Y19="",$K19,$Y19)="","",IF($Y19="",$K19,$Y19)+IF($Z19="",0,$Z19)))</f>
        <v/>
      </c>
      <c r="Q19" s="54">
        <f>IFERROR(MONTH($G19),"")</f>
        <v/>
      </c>
      <c r="R19" s="54">
        <f>IFERROR(YEAR($G19),"")</f>
        <v/>
      </c>
      <c r="S19" s="48" t="n"/>
      <c r="T19" s="58">
        <f>IFERROR(INDEX('Báo giá'!$E$4:$E$203,MATCH($C19,'Báo giá'!$A$4:$A$203,0)),"")</f>
        <v/>
      </c>
      <c r="U19" s="59" t="n"/>
      <c r="V19" s="60" t="n"/>
      <c r="W19" s="61">
        <f>IFERROR(INDEX('Báo giá'!$G$4:$G$203,MATCH($C19,'Báo giá'!$A$4:$A$203,0)),"")</f>
        <v/>
      </c>
      <c r="X19" s="55" t="n"/>
      <c r="Y19" s="55" t="n"/>
      <c r="Z19" s="62" t="n"/>
    </row>
    <row r="20" ht="15" customHeight="1" s="30">
      <c r="A20" s="48" t="n"/>
      <c r="B20" s="52" t="n"/>
      <c r="C20" s="48" t="n"/>
      <c r="D20" s="35">
        <f>IFERROR(INDEX('Báo giá'!$C$4:$C$203,MATCH($C20,'Báo giá'!$A$4:$A$203,0)),"")</f>
        <v/>
      </c>
      <c r="E20" s="35">
        <f>IFERROR(INDEX('Khách hàng'!$B$4:$B$103,MATCH($D20,'Khách hàng'!$A$4:$A$103,0)),"")</f>
        <v/>
      </c>
      <c r="F20" s="48" t="n"/>
      <c r="G20" s="52" t="n"/>
      <c r="H20" s="50" t="n"/>
      <c r="I20" s="41">
        <f>IFERROR(INDEX('Báo giá'!$H$4:$H$203,MATCH($C20,'Báo giá'!$A$4:$A$203,0)),"")</f>
        <v/>
      </c>
      <c r="J20" s="52" t="n"/>
      <c r="K20" s="52" t="n"/>
      <c r="L20" s="35">
        <f>IF($A20="","",IF($K20="",IF($J20="","Chưa có kế hoạch",IF(TODAY()&gt;$J20,"Trễ hạn","Đang thực hiện")),IF($K20&lt;=$J20,"Đúng hạn","Giao trễ")))</f>
        <v/>
      </c>
      <c r="M20" s="41">
        <f>IF($A20="","",IF($K20="",IF($J20="",0,MAX(0,TODAY()-$J20)),MAX(0,$K20-$J20)))</f>
        <v/>
      </c>
      <c r="N20" s="48" t="n"/>
      <c r="O20" s="53" t="n"/>
      <c r="P20" s="57">
        <f>IF($A20="","",IF(IF($Y20="",$K20,$Y20)="","",IF($Y20="",$K20,$Y20)+IF($Z20="",0,$Z20)))</f>
        <v/>
      </c>
      <c r="Q20" s="54">
        <f>IFERROR(MONTH($G20),"")</f>
        <v/>
      </c>
      <c r="R20" s="54">
        <f>IFERROR(YEAR($G20),"")</f>
        <v/>
      </c>
      <c r="S20" s="48" t="n"/>
      <c r="T20" s="58">
        <f>IFERROR(INDEX('Báo giá'!$E$4:$E$203,MATCH($C20,'Báo giá'!$A$4:$A$203,0)),"")</f>
        <v/>
      </c>
      <c r="U20" s="59" t="n"/>
      <c r="V20" s="60" t="n"/>
      <c r="W20" s="61">
        <f>IFERROR(INDEX('Báo giá'!$G$4:$G$203,MATCH($C20,'Báo giá'!$A$4:$A$203,0)),"")</f>
        <v/>
      </c>
      <c r="X20" s="55" t="n"/>
      <c r="Y20" s="55" t="n"/>
      <c r="Z20" s="62" t="n"/>
    </row>
    <row r="21" ht="15" customHeight="1" s="30">
      <c r="A21" s="48" t="n"/>
      <c r="B21" s="52" t="n"/>
      <c r="C21" s="48" t="n"/>
      <c r="D21" s="35">
        <f>IFERROR(INDEX('Báo giá'!$C$4:$C$203,MATCH($C21,'Báo giá'!$A$4:$A$203,0)),"")</f>
        <v/>
      </c>
      <c r="E21" s="35">
        <f>IFERROR(INDEX('Khách hàng'!$B$4:$B$103,MATCH($D21,'Khách hàng'!$A$4:$A$103,0)),"")</f>
        <v/>
      </c>
      <c r="F21" s="48" t="n"/>
      <c r="G21" s="52" t="n"/>
      <c r="H21" s="50" t="n"/>
      <c r="I21" s="41">
        <f>IFERROR(INDEX('Báo giá'!$H$4:$H$203,MATCH($C21,'Báo giá'!$A$4:$A$203,0)),"")</f>
        <v/>
      </c>
      <c r="J21" s="52" t="n"/>
      <c r="K21" s="52" t="n"/>
      <c r="L21" s="35">
        <f>IF($A21="","",IF($K21="",IF($J21="","Chưa có kế hoạch",IF(TODAY()&gt;$J21,"Trễ hạn","Đang thực hiện")),IF($K21&lt;=$J21,"Đúng hạn","Giao trễ")))</f>
        <v/>
      </c>
      <c r="M21" s="41">
        <f>IF($A21="","",IF($K21="",IF($J21="",0,MAX(0,TODAY()-$J21)),MAX(0,$K21-$J21)))</f>
        <v/>
      </c>
      <c r="N21" s="48" t="n"/>
      <c r="O21" s="53" t="n"/>
      <c r="P21" s="57">
        <f>IF($A21="","",IF(IF($Y21="",$K21,$Y21)="","",IF($Y21="",$K21,$Y21)+IF($Z21="",0,$Z21)))</f>
        <v/>
      </c>
      <c r="Q21" s="54">
        <f>IFERROR(MONTH($G21),"")</f>
        <v/>
      </c>
      <c r="R21" s="54">
        <f>IFERROR(YEAR($G21),"")</f>
        <v/>
      </c>
      <c r="S21" s="48" t="n"/>
      <c r="T21" s="58">
        <f>IFERROR(INDEX('Báo giá'!$E$4:$E$203,MATCH($C21,'Báo giá'!$A$4:$A$203,0)),"")</f>
        <v/>
      </c>
      <c r="U21" s="59" t="n"/>
      <c r="V21" s="60" t="n"/>
      <c r="W21" s="61">
        <f>IFERROR(INDEX('Báo giá'!$G$4:$G$203,MATCH($C21,'Báo giá'!$A$4:$A$203,0)),"")</f>
        <v/>
      </c>
      <c r="X21" s="55" t="n"/>
      <c r="Y21" s="55" t="n"/>
      <c r="Z21" s="62" t="n"/>
    </row>
    <row r="22" ht="15" customHeight="1" s="30">
      <c r="A22" s="48" t="n"/>
      <c r="B22" s="52" t="n"/>
      <c r="C22" s="48" t="n"/>
      <c r="D22" s="35">
        <f>IFERROR(INDEX('Báo giá'!$C$4:$C$203,MATCH($C22,'Báo giá'!$A$4:$A$203,0)),"")</f>
        <v/>
      </c>
      <c r="E22" s="35">
        <f>IFERROR(INDEX('Khách hàng'!$B$4:$B$103,MATCH($D22,'Khách hàng'!$A$4:$A$103,0)),"")</f>
        <v/>
      </c>
      <c r="F22" s="48" t="n"/>
      <c r="G22" s="52" t="n"/>
      <c r="H22" s="50" t="n"/>
      <c r="I22" s="41">
        <f>IFERROR(INDEX('Báo giá'!$H$4:$H$203,MATCH($C22,'Báo giá'!$A$4:$A$203,0)),"")</f>
        <v/>
      </c>
      <c r="J22" s="52" t="n"/>
      <c r="K22" s="52" t="n"/>
      <c r="L22" s="35">
        <f>IF($A22="","",IF($K22="",IF($J22="","Chưa có kế hoạch",IF(TODAY()&gt;$J22,"Trễ hạn","Đang thực hiện")),IF($K22&lt;=$J22,"Đúng hạn","Giao trễ")))</f>
        <v/>
      </c>
      <c r="M22" s="41">
        <f>IF($A22="","",IF($K22="",IF($J22="",0,MAX(0,TODAY()-$J22)),MAX(0,$K22-$J22)))</f>
        <v/>
      </c>
      <c r="N22" s="48" t="n"/>
      <c r="O22" s="53" t="n"/>
      <c r="P22" s="57">
        <f>IF($A22="","",IF(IF($Y22="",$K22,$Y22)="","",IF($Y22="",$K22,$Y22)+IF($Z22="",0,$Z22)))</f>
        <v/>
      </c>
      <c r="Q22" s="54">
        <f>IFERROR(MONTH($G22),"")</f>
        <v/>
      </c>
      <c r="R22" s="54">
        <f>IFERROR(YEAR($G22),"")</f>
        <v/>
      </c>
      <c r="S22" s="48" t="n"/>
      <c r="T22" s="58">
        <f>IFERROR(INDEX('Báo giá'!$E$4:$E$203,MATCH($C22,'Báo giá'!$A$4:$A$203,0)),"")</f>
        <v/>
      </c>
      <c r="U22" s="59" t="n"/>
      <c r="V22" s="60" t="n"/>
      <c r="W22" s="61">
        <f>IFERROR(INDEX('Báo giá'!$G$4:$G$203,MATCH($C22,'Báo giá'!$A$4:$A$203,0)),"")</f>
        <v/>
      </c>
      <c r="X22" s="55" t="n"/>
      <c r="Y22" s="55" t="n"/>
      <c r="Z22" s="62" t="n"/>
    </row>
    <row r="23" ht="15" customHeight="1" s="30">
      <c r="A23" s="48" t="n"/>
      <c r="B23" s="52" t="n"/>
      <c r="C23" s="48" t="n"/>
      <c r="D23" s="35">
        <f>IFERROR(INDEX('Báo giá'!$C$4:$C$203,MATCH($C23,'Báo giá'!$A$4:$A$203,0)),"")</f>
        <v/>
      </c>
      <c r="E23" s="35">
        <f>IFERROR(INDEX('Khách hàng'!$B$4:$B$103,MATCH($D23,'Khách hàng'!$A$4:$A$103,0)),"")</f>
        <v/>
      </c>
      <c r="F23" s="48" t="n"/>
      <c r="G23" s="52" t="n"/>
      <c r="H23" s="50" t="n"/>
      <c r="I23" s="41">
        <f>IFERROR(INDEX('Báo giá'!$H$4:$H$203,MATCH($C23,'Báo giá'!$A$4:$A$203,0)),"")</f>
        <v/>
      </c>
      <c r="J23" s="52" t="n"/>
      <c r="K23" s="52" t="n"/>
      <c r="L23" s="35">
        <f>IF($A23="","",IF($K23="",IF($J23="","Chưa có kế hoạch",IF(TODAY()&gt;$J23,"Trễ hạn","Đang thực hiện")),IF($K23&lt;=$J23,"Đúng hạn","Giao trễ")))</f>
        <v/>
      </c>
      <c r="M23" s="41">
        <f>IF($A23="","",IF($K23="",IF($J23="",0,MAX(0,TODAY()-$J23)),MAX(0,$K23-$J23)))</f>
        <v/>
      </c>
      <c r="N23" s="48" t="n"/>
      <c r="O23" s="53" t="n"/>
      <c r="P23" s="57">
        <f>IF($A23="","",IF(IF($Y23="",$K23,$Y23)="","",IF($Y23="",$K23,$Y23)+IF($Z23="",0,$Z23)))</f>
        <v/>
      </c>
      <c r="Q23" s="54">
        <f>IFERROR(MONTH($G23),"")</f>
        <v/>
      </c>
      <c r="R23" s="54">
        <f>IFERROR(YEAR($G23),"")</f>
        <v/>
      </c>
      <c r="S23" s="48" t="n"/>
      <c r="T23" s="58">
        <f>IFERROR(INDEX('Báo giá'!$E$4:$E$203,MATCH($C23,'Báo giá'!$A$4:$A$203,0)),"")</f>
        <v/>
      </c>
      <c r="U23" s="59" t="n"/>
      <c r="V23" s="60" t="n"/>
      <c r="W23" s="61">
        <f>IFERROR(INDEX('Báo giá'!$G$4:$G$203,MATCH($C23,'Báo giá'!$A$4:$A$203,0)),"")</f>
        <v/>
      </c>
      <c r="X23" s="55" t="n"/>
      <c r="Y23" s="55" t="n"/>
      <c r="Z23" s="62" t="n"/>
    </row>
    <row r="24" ht="15" customHeight="1" s="30">
      <c r="A24" s="48" t="n"/>
      <c r="B24" s="52" t="n"/>
      <c r="C24" s="48" t="n"/>
      <c r="D24" s="35">
        <f>IFERROR(INDEX('Báo giá'!$C$4:$C$203,MATCH($C24,'Báo giá'!$A$4:$A$203,0)),"")</f>
        <v/>
      </c>
      <c r="E24" s="35">
        <f>IFERROR(INDEX('Khách hàng'!$B$4:$B$103,MATCH($D24,'Khách hàng'!$A$4:$A$103,0)),"")</f>
        <v/>
      </c>
      <c r="F24" s="48" t="n"/>
      <c r="G24" s="52" t="n"/>
      <c r="H24" s="50" t="n"/>
      <c r="I24" s="41">
        <f>IFERROR(INDEX('Báo giá'!$H$4:$H$203,MATCH($C24,'Báo giá'!$A$4:$A$203,0)),"")</f>
        <v/>
      </c>
      <c r="J24" s="52" t="n"/>
      <c r="K24" s="52" t="n"/>
      <c r="L24" s="35">
        <f>IF($A24="","",IF($K24="",IF($J24="","Chưa có kế hoạch",IF(TODAY()&gt;$J24,"Trễ hạn","Đang thực hiện")),IF($K24&lt;=$J24,"Đúng hạn","Giao trễ")))</f>
        <v/>
      </c>
      <c r="M24" s="41">
        <f>IF($A24="","",IF($K24="",IF($J24="",0,MAX(0,TODAY()-$J24)),MAX(0,$K24-$J24)))</f>
        <v/>
      </c>
      <c r="N24" s="48" t="n"/>
      <c r="O24" s="53" t="n"/>
      <c r="P24" s="57">
        <f>IF($A24="","",IF(IF($Y24="",$K24,$Y24)="","",IF($Y24="",$K24,$Y24)+IF($Z24="",0,$Z24)))</f>
        <v/>
      </c>
      <c r="Q24" s="54">
        <f>IFERROR(MONTH($G24),"")</f>
        <v/>
      </c>
      <c r="R24" s="54">
        <f>IFERROR(YEAR($G24),"")</f>
        <v/>
      </c>
      <c r="S24" s="48" t="n"/>
      <c r="T24" s="58">
        <f>IFERROR(INDEX('Báo giá'!$E$4:$E$203,MATCH($C24,'Báo giá'!$A$4:$A$203,0)),"")</f>
        <v/>
      </c>
      <c r="U24" s="59" t="n"/>
      <c r="V24" s="60" t="n"/>
      <c r="W24" s="61">
        <f>IFERROR(INDEX('Báo giá'!$G$4:$G$203,MATCH($C24,'Báo giá'!$A$4:$A$203,0)),"")</f>
        <v/>
      </c>
      <c r="X24" s="55" t="n"/>
      <c r="Y24" s="55" t="n"/>
      <c r="Z24" s="62" t="n"/>
    </row>
    <row r="25" ht="15" customHeight="1" s="30">
      <c r="A25" s="48" t="n"/>
      <c r="B25" s="52" t="n"/>
      <c r="C25" s="48" t="n"/>
      <c r="D25" s="35">
        <f>IFERROR(INDEX('Báo giá'!$C$4:$C$203,MATCH($C25,'Báo giá'!$A$4:$A$203,0)),"")</f>
        <v/>
      </c>
      <c r="E25" s="35">
        <f>IFERROR(INDEX('Khách hàng'!$B$4:$B$103,MATCH($D25,'Khách hàng'!$A$4:$A$103,0)),"")</f>
        <v/>
      </c>
      <c r="F25" s="48" t="n"/>
      <c r="G25" s="52" t="n"/>
      <c r="H25" s="50" t="n"/>
      <c r="I25" s="41">
        <f>IFERROR(INDEX('Báo giá'!$H$4:$H$203,MATCH($C25,'Báo giá'!$A$4:$A$203,0)),"")</f>
        <v/>
      </c>
      <c r="J25" s="52" t="n"/>
      <c r="K25" s="52" t="n"/>
      <c r="L25" s="35">
        <f>IF($A25="","",IF($K25="",IF($J25="","Chưa có kế hoạch",IF(TODAY()&gt;$J25,"Trễ hạn","Đang thực hiện")),IF($K25&lt;=$J25,"Đúng hạn","Giao trễ")))</f>
        <v/>
      </c>
      <c r="M25" s="41">
        <f>IF($A25="","",IF($K25="",IF($J25="",0,MAX(0,TODAY()-$J25)),MAX(0,$K25-$J25)))</f>
        <v/>
      </c>
      <c r="N25" s="48" t="n"/>
      <c r="O25" s="53" t="n"/>
      <c r="P25" s="57">
        <f>IF($A25="","",IF(IF($Y25="",$K25,$Y25)="","",IF($Y25="",$K25,$Y25)+IF($Z25="",0,$Z25)))</f>
        <v/>
      </c>
      <c r="Q25" s="54">
        <f>IFERROR(MONTH($G25),"")</f>
        <v/>
      </c>
      <c r="R25" s="54">
        <f>IFERROR(YEAR($G25),"")</f>
        <v/>
      </c>
      <c r="S25" s="48" t="n"/>
      <c r="T25" s="58">
        <f>IFERROR(INDEX('Báo giá'!$E$4:$E$203,MATCH($C25,'Báo giá'!$A$4:$A$203,0)),"")</f>
        <v/>
      </c>
      <c r="U25" s="59" t="n"/>
      <c r="V25" s="60" t="n"/>
      <c r="W25" s="61">
        <f>IFERROR(INDEX('Báo giá'!$G$4:$G$203,MATCH($C25,'Báo giá'!$A$4:$A$203,0)),"")</f>
        <v/>
      </c>
      <c r="X25" s="55" t="n"/>
      <c r="Y25" s="55" t="n"/>
      <c r="Z25" s="62" t="n"/>
    </row>
    <row r="26" ht="15" customHeight="1" s="30">
      <c r="A26" s="48" t="n"/>
      <c r="B26" s="52" t="n"/>
      <c r="C26" s="48" t="n"/>
      <c r="D26" s="35">
        <f>IFERROR(INDEX('Báo giá'!$C$4:$C$203,MATCH($C26,'Báo giá'!$A$4:$A$203,0)),"")</f>
        <v/>
      </c>
      <c r="E26" s="35">
        <f>IFERROR(INDEX('Khách hàng'!$B$4:$B$103,MATCH($D26,'Khách hàng'!$A$4:$A$103,0)),"")</f>
        <v/>
      </c>
      <c r="F26" s="48" t="n"/>
      <c r="G26" s="52" t="n"/>
      <c r="H26" s="50" t="n"/>
      <c r="I26" s="41">
        <f>IFERROR(INDEX('Báo giá'!$H$4:$H$203,MATCH($C26,'Báo giá'!$A$4:$A$203,0)),"")</f>
        <v/>
      </c>
      <c r="J26" s="52" t="n"/>
      <c r="K26" s="52" t="n"/>
      <c r="L26" s="35">
        <f>IF($A26="","",IF($K26="",IF($J26="","Chưa có kế hoạch",IF(TODAY()&gt;$J26,"Trễ hạn","Đang thực hiện")),IF($K26&lt;=$J26,"Đúng hạn","Giao trễ")))</f>
        <v/>
      </c>
      <c r="M26" s="41">
        <f>IF($A26="","",IF($K26="",IF($J26="",0,MAX(0,TODAY()-$J26)),MAX(0,$K26-$J26)))</f>
        <v/>
      </c>
      <c r="N26" s="48" t="n"/>
      <c r="O26" s="53" t="n"/>
      <c r="P26" s="57">
        <f>IF($A26="","",IF(IF($Y26="",$K26,$Y26)="","",IF($Y26="",$K26,$Y26)+IF($Z26="",0,$Z26)))</f>
        <v/>
      </c>
      <c r="Q26" s="54">
        <f>IFERROR(MONTH($G26),"")</f>
        <v/>
      </c>
      <c r="R26" s="54">
        <f>IFERROR(YEAR($G26),"")</f>
        <v/>
      </c>
      <c r="S26" s="48" t="n"/>
      <c r="T26" s="58">
        <f>IFERROR(INDEX('Báo giá'!$E$4:$E$203,MATCH($C26,'Báo giá'!$A$4:$A$203,0)),"")</f>
        <v/>
      </c>
      <c r="U26" s="59" t="n"/>
      <c r="V26" s="60" t="n"/>
      <c r="W26" s="61">
        <f>IFERROR(INDEX('Báo giá'!$G$4:$G$203,MATCH($C26,'Báo giá'!$A$4:$A$203,0)),"")</f>
        <v/>
      </c>
      <c r="X26" s="55" t="n"/>
      <c r="Y26" s="55" t="n"/>
      <c r="Z26" s="62" t="n"/>
    </row>
    <row r="27" ht="15" customHeight="1" s="30">
      <c r="A27" s="48" t="n"/>
      <c r="B27" s="52" t="n"/>
      <c r="C27" s="48" t="n"/>
      <c r="D27" s="35">
        <f>IFERROR(INDEX('Báo giá'!$C$4:$C$203,MATCH($C27,'Báo giá'!$A$4:$A$203,0)),"")</f>
        <v/>
      </c>
      <c r="E27" s="35">
        <f>IFERROR(INDEX('Khách hàng'!$B$4:$B$103,MATCH($D27,'Khách hàng'!$A$4:$A$103,0)),"")</f>
        <v/>
      </c>
      <c r="F27" s="48" t="n"/>
      <c r="G27" s="52" t="n"/>
      <c r="H27" s="50" t="n"/>
      <c r="I27" s="41">
        <f>IFERROR(INDEX('Báo giá'!$H$4:$H$203,MATCH($C27,'Báo giá'!$A$4:$A$203,0)),"")</f>
        <v/>
      </c>
      <c r="J27" s="52" t="n"/>
      <c r="K27" s="52" t="n"/>
      <c r="L27" s="35">
        <f>IF($A27="","",IF($K27="",IF($J27="","Chưa có kế hoạch",IF(TODAY()&gt;$J27,"Trễ hạn","Đang thực hiện")),IF($K27&lt;=$J27,"Đúng hạn","Giao trễ")))</f>
        <v/>
      </c>
      <c r="M27" s="41">
        <f>IF($A27="","",IF($K27="",IF($J27="",0,MAX(0,TODAY()-$J27)),MAX(0,$K27-$J27)))</f>
        <v/>
      </c>
      <c r="N27" s="48" t="n"/>
      <c r="O27" s="53" t="n"/>
      <c r="P27" s="57">
        <f>IF($A27="","",IF(IF($Y27="",$K27,$Y27)="","",IF($Y27="",$K27,$Y27)+IF($Z27="",0,$Z27)))</f>
        <v/>
      </c>
      <c r="Q27" s="54">
        <f>IFERROR(MONTH($G27),"")</f>
        <v/>
      </c>
      <c r="R27" s="54">
        <f>IFERROR(YEAR($G27),"")</f>
        <v/>
      </c>
      <c r="S27" s="48" t="n"/>
      <c r="T27" s="58">
        <f>IFERROR(INDEX('Báo giá'!$E$4:$E$203,MATCH($C27,'Báo giá'!$A$4:$A$203,0)),"")</f>
        <v/>
      </c>
      <c r="U27" s="59" t="n"/>
      <c r="V27" s="60" t="n"/>
      <c r="W27" s="61">
        <f>IFERROR(INDEX('Báo giá'!$G$4:$G$203,MATCH($C27,'Báo giá'!$A$4:$A$203,0)),"")</f>
        <v/>
      </c>
      <c r="X27" s="55" t="n"/>
      <c r="Y27" s="55" t="n"/>
      <c r="Z27" s="62" t="n"/>
    </row>
    <row r="28" ht="15" customHeight="1" s="30">
      <c r="A28" s="48" t="n"/>
      <c r="B28" s="52" t="n"/>
      <c r="C28" s="48" t="n"/>
      <c r="D28" s="35">
        <f>IFERROR(INDEX('Báo giá'!$C$4:$C$203,MATCH($C28,'Báo giá'!$A$4:$A$203,0)),"")</f>
        <v/>
      </c>
      <c r="E28" s="35">
        <f>IFERROR(INDEX('Khách hàng'!$B$4:$B$103,MATCH($D28,'Khách hàng'!$A$4:$A$103,0)),"")</f>
        <v/>
      </c>
      <c r="F28" s="48" t="n"/>
      <c r="G28" s="52" t="n"/>
      <c r="H28" s="50" t="n"/>
      <c r="I28" s="41">
        <f>IFERROR(INDEX('Báo giá'!$H$4:$H$203,MATCH($C28,'Báo giá'!$A$4:$A$203,0)),"")</f>
        <v/>
      </c>
      <c r="J28" s="52" t="n"/>
      <c r="K28" s="52" t="n"/>
      <c r="L28" s="35">
        <f>IF($A28="","",IF($K28="",IF($J28="","Chưa có kế hoạch",IF(TODAY()&gt;$J28,"Trễ hạn","Đang thực hiện")),IF($K28&lt;=$J28,"Đúng hạn","Giao trễ")))</f>
        <v/>
      </c>
      <c r="M28" s="41">
        <f>IF($A28="","",IF($K28="",IF($J28="",0,MAX(0,TODAY()-$J28)),MAX(0,$K28-$J28)))</f>
        <v/>
      </c>
      <c r="N28" s="48" t="n"/>
      <c r="O28" s="53" t="n"/>
      <c r="P28" s="57">
        <f>IF($A28="","",IF(IF($Y28="",$K28,$Y28)="","",IF($Y28="",$K28,$Y28)+IF($Z28="",0,$Z28)))</f>
        <v/>
      </c>
      <c r="Q28" s="54">
        <f>IFERROR(MONTH($G28),"")</f>
        <v/>
      </c>
      <c r="R28" s="54">
        <f>IFERROR(YEAR($G28),"")</f>
        <v/>
      </c>
      <c r="S28" s="48" t="n"/>
      <c r="T28" s="58">
        <f>IFERROR(INDEX('Báo giá'!$E$4:$E$203,MATCH($C28,'Báo giá'!$A$4:$A$203,0)),"")</f>
        <v/>
      </c>
      <c r="U28" s="59" t="n"/>
      <c r="V28" s="60" t="n"/>
      <c r="W28" s="61">
        <f>IFERROR(INDEX('Báo giá'!$G$4:$G$203,MATCH($C28,'Báo giá'!$A$4:$A$203,0)),"")</f>
        <v/>
      </c>
      <c r="X28" s="55" t="n"/>
      <c r="Y28" s="55" t="n"/>
      <c r="Z28" s="62" t="n"/>
    </row>
    <row r="29" ht="15" customHeight="1" s="30">
      <c r="A29" s="48" t="n"/>
      <c r="B29" s="52" t="n"/>
      <c r="C29" s="48" t="n"/>
      <c r="D29" s="35">
        <f>IFERROR(INDEX('Báo giá'!$C$4:$C$203,MATCH($C29,'Báo giá'!$A$4:$A$203,0)),"")</f>
        <v/>
      </c>
      <c r="E29" s="35">
        <f>IFERROR(INDEX('Khách hàng'!$B$4:$B$103,MATCH($D29,'Khách hàng'!$A$4:$A$103,0)),"")</f>
        <v/>
      </c>
      <c r="F29" s="48" t="n"/>
      <c r="G29" s="52" t="n"/>
      <c r="H29" s="50" t="n"/>
      <c r="I29" s="41">
        <f>IFERROR(INDEX('Báo giá'!$H$4:$H$203,MATCH($C29,'Báo giá'!$A$4:$A$203,0)),"")</f>
        <v/>
      </c>
      <c r="J29" s="52" t="n"/>
      <c r="K29" s="52" t="n"/>
      <c r="L29" s="35">
        <f>IF($A29="","",IF($K29="",IF($J29="","Chưa có kế hoạch",IF(TODAY()&gt;$J29,"Trễ hạn","Đang thực hiện")),IF($K29&lt;=$J29,"Đúng hạn","Giao trễ")))</f>
        <v/>
      </c>
      <c r="M29" s="41">
        <f>IF($A29="","",IF($K29="",IF($J29="",0,MAX(0,TODAY()-$J29)),MAX(0,$K29-$J29)))</f>
        <v/>
      </c>
      <c r="N29" s="48" t="n"/>
      <c r="O29" s="53" t="n"/>
      <c r="P29" s="57">
        <f>IF($A29="","",IF(IF($Y29="",$K29,$Y29)="","",IF($Y29="",$K29,$Y29)+IF($Z29="",0,$Z29)))</f>
        <v/>
      </c>
      <c r="Q29" s="54">
        <f>IFERROR(MONTH($G29),"")</f>
        <v/>
      </c>
      <c r="R29" s="54">
        <f>IFERROR(YEAR($G29),"")</f>
        <v/>
      </c>
      <c r="S29" s="48" t="n"/>
      <c r="T29" s="58">
        <f>IFERROR(INDEX('Báo giá'!$E$4:$E$203,MATCH($C29,'Báo giá'!$A$4:$A$203,0)),"")</f>
        <v/>
      </c>
      <c r="U29" s="59" t="n"/>
      <c r="V29" s="60" t="n"/>
      <c r="W29" s="61">
        <f>IFERROR(INDEX('Báo giá'!$G$4:$G$203,MATCH($C29,'Báo giá'!$A$4:$A$203,0)),"")</f>
        <v/>
      </c>
      <c r="X29" s="55" t="n"/>
      <c r="Y29" s="55" t="n"/>
      <c r="Z29" s="62" t="n"/>
    </row>
    <row r="30" ht="15" customHeight="1" s="30">
      <c r="A30" s="48" t="n"/>
      <c r="B30" s="52" t="n"/>
      <c r="C30" s="48" t="n"/>
      <c r="D30" s="35">
        <f>IFERROR(INDEX('Báo giá'!$C$4:$C$203,MATCH($C30,'Báo giá'!$A$4:$A$203,0)),"")</f>
        <v/>
      </c>
      <c r="E30" s="35">
        <f>IFERROR(INDEX('Khách hàng'!$B$4:$B$103,MATCH($D30,'Khách hàng'!$A$4:$A$103,0)),"")</f>
        <v/>
      </c>
      <c r="F30" s="48" t="n"/>
      <c r="G30" s="52" t="n"/>
      <c r="H30" s="50" t="n"/>
      <c r="I30" s="41">
        <f>IFERROR(INDEX('Báo giá'!$H$4:$H$203,MATCH($C30,'Báo giá'!$A$4:$A$203,0)),"")</f>
        <v/>
      </c>
      <c r="J30" s="52" t="n"/>
      <c r="K30" s="52" t="n"/>
      <c r="L30" s="35">
        <f>IF($A30="","",IF($K30="",IF($J30="","Chưa có kế hoạch",IF(TODAY()&gt;$J30,"Trễ hạn","Đang thực hiện")),IF($K30&lt;=$J30,"Đúng hạn","Giao trễ")))</f>
        <v/>
      </c>
      <c r="M30" s="41">
        <f>IF($A30="","",IF($K30="",IF($J30="",0,MAX(0,TODAY()-$J30)),MAX(0,$K30-$J30)))</f>
        <v/>
      </c>
      <c r="N30" s="48" t="n"/>
      <c r="O30" s="53" t="n"/>
      <c r="P30" s="57">
        <f>IF($A30="","",IF(IF($Y30="",$K30,$Y30)="","",IF($Y30="",$K30,$Y30)+IF($Z30="",0,$Z30)))</f>
        <v/>
      </c>
      <c r="Q30" s="54">
        <f>IFERROR(MONTH($G30),"")</f>
        <v/>
      </c>
      <c r="R30" s="54">
        <f>IFERROR(YEAR($G30),"")</f>
        <v/>
      </c>
      <c r="S30" s="48" t="n"/>
      <c r="T30" s="58">
        <f>IFERROR(INDEX('Báo giá'!$E$4:$E$203,MATCH($C30,'Báo giá'!$A$4:$A$203,0)),"")</f>
        <v/>
      </c>
      <c r="U30" s="59" t="n"/>
      <c r="V30" s="60" t="n"/>
      <c r="W30" s="61">
        <f>IFERROR(INDEX('Báo giá'!$G$4:$G$203,MATCH($C30,'Báo giá'!$A$4:$A$203,0)),"")</f>
        <v/>
      </c>
      <c r="X30" s="55" t="n"/>
      <c r="Y30" s="55" t="n"/>
      <c r="Z30" s="62" t="n"/>
    </row>
    <row r="31" ht="15" customHeight="1" s="30">
      <c r="A31" s="48" t="n"/>
      <c r="B31" s="52" t="n"/>
      <c r="C31" s="48" t="n"/>
      <c r="D31" s="35">
        <f>IFERROR(INDEX('Báo giá'!$C$4:$C$203,MATCH($C31,'Báo giá'!$A$4:$A$203,0)),"")</f>
        <v/>
      </c>
      <c r="E31" s="35">
        <f>IFERROR(INDEX('Khách hàng'!$B$4:$B$103,MATCH($D31,'Khách hàng'!$A$4:$A$103,0)),"")</f>
        <v/>
      </c>
      <c r="F31" s="48" t="n"/>
      <c r="G31" s="52" t="n"/>
      <c r="H31" s="50" t="n"/>
      <c r="I31" s="41">
        <f>IFERROR(INDEX('Báo giá'!$H$4:$H$203,MATCH($C31,'Báo giá'!$A$4:$A$203,0)),"")</f>
        <v/>
      </c>
      <c r="J31" s="52" t="n"/>
      <c r="K31" s="52" t="n"/>
      <c r="L31" s="35">
        <f>IF($A31="","",IF($K31="",IF($J31="","Chưa có kế hoạch",IF(TODAY()&gt;$J31,"Trễ hạn","Đang thực hiện")),IF($K31&lt;=$J31,"Đúng hạn","Giao trễ")))</f>
        <v/>
      </c>
      <c r="M31" s="41">
        <f>IF($A31="","",IF($K31="",IF($J31="",0,MAX(0,TODAY()-$J31)),MAX(0,$K31-$J31)))</f>
        <v/>
      </c>
      <c r="N31" s="48" t="n"/>
      <c r="O31" s="53" t="n"/>
      <c r="P31" s="57">
        <f>IF($A31="","",IF(IF($Y31="",$K31,$Y31)="","",IF($Y31="",$K31,$Y31)+IF($Z31="",0,$Z31)))</f>
        <v/>
      </c>
      <c r="Q31" s="54">
        <f>IFERROR(MONTH($G31),"")</f>
        <v/>
      </c>
      <c r="R31" s="54">
        <f>IFERROR(YEAR($G31),"")</f>
        <v/>
      </c>
      <c r="S31" s="48" t="n"/>
      <c r="T31" s="58">
        <f>IFERROR(INDEX('Báo giá'!$E$4:$E$203,MATCH($C31,'Báo giá'!$A$4:$A$203,0)),"")</f>
        <v/>
      </c>
      <c r="U31" s="59" t="n"/>
      <c r="V31" s="60" t="n"/>
      <c r="W31" s="61">
        <f>IFERROR(INDEX('Báo giá'!$G$4:$G$203,MATCH($C31,'Báo giá'!$A$4:$A$203,0)),"")</f>
        <v/>
      </c>
      <c r="X31" s="55" t="n"/>
      <c r="Y31" s="55" t="n"/>
      <c r="Z31" s="62" t="n"/>
    </row>
    <row r="32" ht="15" customHeight="1" s="30">
      <c r="A32" s="48" t="n"/>
      <c r="B32" s="52" t="n"/>
      <c r="C32" s="48" t="n"/>
      <c r="D32" s="35">
        <f>IFERROR(INDEX('Báo giá'!$C$4:$C$203,MATCH($C32,'Báo giá'!$A$4:$A$203,0)),"")</f>
        <v/>
      </c>
      <c r="E32" s="35">
        <f>IFERROR(INDEX('Khách hàng'!$B$4:$B$103,MATCH($D32,'Khách hàng'!$A$4:$A$103,0)),"")</f>
        <v/>
      </c>
      <c r="F32" s="48" t="n"/>
      <c r="G32" s="52" t="n"/>
      <c r="H32" s="50" t="n"/>
      <c r="I32" s="41">
        <f>IFERROR(INDEX('Báo giá'!$H$4:$H$203,MATCH($C32,'Báo giá'!$A$4:$A$203,0)),"")</f>
        <v/>
      </c>
      <c r="J32" s="52" t="n"/>
      <c r="K32" s="52" t="n"/>
      <c r="L32" s="35">
        <f>IF($A32="","",IF($K32="",IF($J32="","Chưa có kế hoạch",IF(TODAY()&gt;$J32,"Trễ hạn","Đang thực hiện")),IF($K32&lt;=$J32,"Đúng hạn","Giao trễ")))</f>
        <v/>
      </c>
      <c r="M32" s="41">
        <f>IF($A32="","",IF($K32="",IF($J32="",0,MAX(0,TODAY()-$J32)),MAX(0,$K32-$J32)))</f>
        <v/>
      </c>
      <c r="N32" s="48" t="n"/>
      <c r="O32" s="53" t="n"/>
      <c r="P32" s="57">
        <f>IF($A32="","",IF(IF($Y32="",$K32,$Y32)="","",IF($Y32="",$K32,$Y32)+IF($Z32="",0,$Z32)))</f>
        <v/>
      </c>
      <c r="Q32" s="54">
        <f>IFERROR(MONTH($G32),"")</f>
        <v/>
      </c>
      <c r="R32" s="54">
        <f>IFERROR(YEAR($G32),"")</f>
        <v/>
      </c>
      <c r="S32" s="48" t="n"/>
      <c r="T32" s="58">
        <f>IFERROR(INDEX('Báo giá'!$E$4:$E$203,MATCH($C32,'Báo giá'!$A$4:$A$203,0)),"")</f>
        <v/>
      </c>
      <c r="U32" s="59" t="n"/>
      <c r="V32" s="60" t="n"/>
      <c r="W32" s="61">
        <f>IFERROR(INDEX('Báo giá'!$G$4:$G$203,MATCH($C32,'Báo giá'!$A$4:$A$203,0)),"")</f>
        <v/>
      </c>
      <c r="X32" s="55" t="n"/>
      <c r="Y32" s="55" t="n"/>
      <c r="Z32" s="62" t="n"/>
    </row>
    <row r="33" ht="15" customHeight="1" s="30">
      <c r="A33" s="48" t="n"/>
      <c r="B33" s="52" t="n"/>
      <c r="C33" s="48" t="n"/>
      <c r="D33" s="35">
        <f>IFERROR(INDEX('Báo giá'!$C$4:$C$203,MATCH($C33,'Báo giá'!$A$4:$A$203,0)),"")</f>
        <v/>
      </c>
      <c r="E33" s="35">
        <f>IFERROR(INDEX('Khách hàng'!$B$4:$B$103,MATCH($D33,'Khách hàng'!$A$4:$A$103,0)),"")</f>
        <v/>
      </c>
      <c r="F33" s="48" t="n"/>
      <c r="G33" s="52" t="n"/>
      <c r="H33" s="50" t="n"/>
      <c r="I33" s="41">
        <f>IFERROR(INDEX('Báo giá'!$H$4:$H$203,MATCH($C33,'Báo giá'!$A$4:$A$203,0)),"")</f>
        <v/>
      </c>
      <c r="J33" s="52" t="n"/>
      <c r="K33" s="52" t="n"/>
      <c r="L33" s="35">
        <f>IF($A33="","",IF($K33="",IF($J33="","Chưa có kế hoạch",IF(TODAY()&gt;$J33,"Trễ hạn","Đang thực hiện")),IF($K33&lt;=$J33,"Đúng hạn","Giao trễ")))</f>
        <v/>
      </c>
      <c r="M33" s="41">
        <f>IF($A33="","",IF($K33="",IF($J33="",0,MAX(0,TODAY()-$J33)),MAX(0,$K33-$J33)))</f>
        <v/>
      </c>
      <c r="N33" s="48" t="n"/>
      <c r="O33" s="53" t="n"/>
      <c r="P33" s="57">
        <f>IF($A33="","",IF(IF($Y33="",$K33,$Y33)="","",IF($Y33="",$K33,$Y33)+IF($Z33="",0,$Z33)))</f>
        <v/>
      </c>
      <c r="Q33" s="54">
        <f>IFERROR(MONTH($G33),"")</f>
        <v/>
      </c>
      <c r="R33" s="54">
        <f>IFERROR(YEAR($G33),"")</f>
        <v/>
      </c>
      <c r="S33" s="48" t="n"/>
      <c r="T33" s="58">
        <f>IFERROR(INDEX('Báo giá'!$E$4:$E$203,MATCH($C33,'Báo giá'!$A$4:$A$203,0)),"")</f>
        <v/>
      </c>
      <c r="U33" s="59" t="n"/>
      <c r="V33" s="60" t="n"/>
      <c r="W33" s="61">
        <f>IFERROR(INDEX('Báo giá'!$G$4:$G$203,MATCH($C33,'Báo giá'!$A$4:$A$203,0)),"")</f>
        <v/>
      </c>
      <c r="X33" s="55" t="n"/>
      <c r="Y33" s="55" t="n"/>
      <c r="Z33" s="62" t="n"/>
    </row>
    <row r="34" ht="15" customHeight="1" s="30">
      <c r="A34" s="48" t="n"/>
      <c r="B34" s="52" t="n"/>
      <c r="C34" s="48" t="n"/>
      <c r="D34" s="35">
        <f>IFERROR(INDEX('Báo giá'!$C$4:$C$203,MATCH($C34,'Báo giá'!$A$4:$A$203,0)),"")</f>
        <v/>
      </c>
      <c r="E34" s="35">
        <f>IFERROR(INDEX('Khách hàng'!$B$4:$B$103,MATCH($D34,'Khách hàng'!$A$4:$A$103,0)),"")</f>
        <v/>
      </c>
      <c r="F34" s="48" t="n"/>
      <c r="G34" s="52" t="n"/>
      <c r="H34" s="50" t="n"/>
      <c r="I34" s="41">
        <f>IFERROR(INDEX('Báo giá'!$H$4:$H$203,MATCH($C34,'Báo giá'!$A$4:$A$203,0)),"")</f>
        <v/>
      </c>
      <c r="J34" s="52" t="n"/>
      <c r="K34" s="52" t="n"/>
      <c r="L34" s="35">
        <f>IF($A34="","",IF($K34="",IF($J34="","Chưa có kế hoạch",IF(TODAY()&gt;$J34,"Trễ hạn","Đang thực hiện")),IF($K34&lt;=$J34,"Đúng hạn","Giao trễ")))</f>
        <v/>
      </c>
      <c r="M34" s="41">
        <f>IF($A34="","",IF($K34="",IF($J34="",0,MAX(0,TODAY()-$J34)),MAX(0,$K34-$J34)))</f>
        <v/>
      </c>
      <c r="N34" s="48" t="n"/>
      <c r="O34" s="53" t="n"/>
      <c r="P34" s="57">
        <f>IF($A34="","",IF(IF($Y34="",$K34,$Y34)="","",IF($Y34="",$K34,$Y34)+IF($Z34="",0,$Z34)))</f>
        <v/>
      </c>
      <c r="Q34" s="54">
        <f>IFERROR(MONTH($G34),"")</f>
        <v/>
      </c>
      <c r="R34" s="54">
        <f>IFERROR(YEAR($G34),"")</f>
        <v/>
      </c>
      <c r="S34" s="48" t="n"/>
      <c r="T34" s="58">
        <f>IFERROR(INDEX('Báo giá'!$E$4:$E$203,MATCH($C34,'Báo giá'!$A$4:$A$203,0)),"")</f>
        <v/>
      </c>
      <c r="U34" s="59" t="n"/>
      <c r="V34" s="60" t="n"/>
      <c r="W34" s="61">
        <f>IFERROR(INDEX('Báo giá'!$G$4:$G$203,MATCH($C34,'Báo giá'!$A$4:$A$203,0)),"")</f>
        <v/>
      </c>
      <c r="X34" s="55" t="n"/>
      <c r="Y34" s="55" t="n"/>
      <c r="Z34" s="62" t="n"/>
    </row>
    <row r="35" ht="15" customHeight="1" s="30">
      <c r="A35" s="48" t="n"/>
      <c r="B35" s="52" t="n"/>
      <c r="C35" s="48" t="n"/>
      <c r="D35" s="35">
        <f>IFERROR(INDEX('Báo giá'!$C$4:$C$203,MATCH($C35,'Báo giá'!$A$4:$A$203,0)),"")</f>
        <v/>
      </c>
      <c r="E35" s="35">
        <f>IFERROR(INDEX('Khách hàng'!$B$4:$B$103,MATCH($D35,'Khách hàng'!$A$4:$A$103,0)),"")</f>
        <v/>
      </c>
      <c r="F35" s="48" t="n"/>
      <c r="G35" s="52" t="n"/>
      <c r="H35" s="50" t="n"/>
      <c r="I35" s="41">
        <f>IFERROR(INDEX('Báo giá'!$H$4:$H$203,MATCH($C35,'Báo giá'!$A$4:$A$203,0)),"")</f>
        <v/>
      </c>
      <c r="J35" s="52" t="n"/>
      <c r="K35" s="52" t="n"/>
      <c r="L35" s="35">
        <f>IF($A35="","",IF($K35="",IF($J35="","Chưa có kế hoạch",IF(TODAY()&gt;$J35,"Trễ hạn","Đang thực hiện")),IF($K35&lt;=$J35,"Đúng hạn","Giao trễ")))</f>
        <v/>
      </c>
      <c r="M35" s="41">
        <f>IF($A35="","",IF($K35="",IF($J35="",0,MAX(0,TODAY()-$J35)),MAX(0,$K35-$J35)))</f>
        <v/>
      </c>
      <c r="N35" s="48" t="n"/>
      <c r="O35" s="53" t="n"/>
      <c r="P35" s="57">
        <f>IF($A35="","",IF(IF($Y35="",$K35,$Y35)="","",IF($Y35="",$K35,$Y35)+IF($Z35="",0,$Z35)))</f>
        <v/>
      </c>
      <c r="Q35" s="54">
        <f>IFERROR(MONTH($G35),"")</f>
        <v/>
      </c>
      <c r="R35" s="54">
        <f>IFERROR(YEAR($G35),"")</f>
        <v/>
      </c>
      <c r="S35" s="48" t="n"/>
      <c r="T35" s="58">
        <f>IFERROR(INDEX('Báo giá'!$E$4:$E$203,MATCH($C35,'Báo giá'!$A$4:$A$203,0)),"")</f>
        <v/>
      </c>
      <c r="U35" s="59" t="n"/>
      <c r="V35" s="60" t="n"/>
      <c r="W35" s="61">
        <f>IFERROR(INDEX('Báo giá'!$G$4:$G$203,MATCH($C35,'Báo giá'!$A$4:$A$203,0)),"")</f>
        <v/>
      </c>
      <c r="X35" s="55" t="n"/>
      <c r="Y35" s="55" t="n"/>
      <c r="Z35" s="62" t="n"/>
    </row>
    <row r="36" ht="15" customHeight="1" s="30">
      <c r="A36" s="48" t="n"/>
      <c r="B36" s="52" t="n"/>
      <c r="C36" s="48" t="n"/>
      <c r="D36" s="35">
        <f>IFERROR(INDEX('Báo giá'!$C$4:$C$203,MATCH($C36,'Báo giá'!$A$4:$A$203,0)),"")</f>
        <v/>
      </c>
      <c r="E36" s="35">
        <f>IFERROR(INDEX('Khách hàng'!$B$4:$B$103,MATCH($D36,'Khách hàng'!$A$4:$A$103,0)),"")</f>
        <v/>
      </c>
      <c r="F36" s="48" t="n"/>
      <c r="G36" s="52" t="n"/>
      <c r="H36" s="50" t="n"/>
      <c r="I36" s="41">
        <f>IFERROR(INDEX('Báo giá'!$H$4:$H$203,MATCH($C36,'Báo giá'!$A$4:$A$203,0)),"")</f>
        <v/>
      </c>
      <c r="J36" s="52" t="n"/>
      <c r="K36" s="52" t="n"/>
      <c r="L36" s="35">
        <f>IF($A36="","",IF($K36="",IF($J36="","Chưa có kế hoạch",IF(TODAY()&gt;$J36,"Trễ hạn","Đang thực hiện")),IF($K36&lt;=$J36,"Đúng hạn","Giao trễ")))</f>
        <v/>
      </c>
      <c r="M36" s="41">
        <f>IF($A36="","",IF($K36="",IF($J36="",0,MAX(0,TODAY()-$J36)),MAX(0,$K36-$J36)))</f>
        <v/>
      </c>
      <c r="N36" s="48" t="n"/>
      <c r="O36" s="53" t="n"/>
      <c r="P36" s="57">
        <f>IF($A36="","",IF(IF($Y36="",$K36,$Y36)="","",IF($Y36="",$K36,$Y36)+IF($Z36="",0,$Z36)))</f>
        <v/>
      </c>
      <c r="Q36" s="54">
        <f>IFERROR(MONTH($G36),"")</f>
        <v/>
      </c>
      <c r="R36" s="54">
        <f>IFERROR(YEAR($G36),"")</f>
        <v/>
      </c>
      <c r="S36" s="48" t="n"/>
      <c r="T36" s="58">
        <f>IFERROR(INDEX('Báo giá'!$E$4:$E$203,MATCH($C36,'Báo giá'!$A$4:$A$203,0)),"")</f>
        <v/>
      </c>
      <c r="U36" s="59" t="n"/>
      <c r="V36" s="60" t="n"/>
      <c r="W36" s="61">
        <f>IFERROR(INDEX('Báo giá'!$G$4:$G$203,MATCH($C36,'Báo giá'!$A$4:$A$203,0)),"")</f>
        <v/>
      </c>
      <c r="X36" s="55" t="n"/>
      <c r="Y36" s="55" t="n"/>
      <c r="Z36" s="62" t="n"/>
    </row>
    <row r="37" ht="15" customHeight="1" s="30">
      <c r="A37" s="48" t="n"/>
      <c r="B37" s="52" t="n"/>
      <c r="C37" s="48" t="n"/>
      <c r="D37" s="35">
        <f>IFERROR(INDEX('Báo giá'!$C$4:$C$203,MATCH($C37,'Báo giá'!$A$4:$A$203,0)),"")</f>
        <v/>
      </c>
      <c r="E37" s="35">
        <f>IFERROR(INDEX('Khách hàng'!$B$4:$B$103,MATCH($D37,'Khách hàng'!$A$4:$A$103,0)),"")</f>
        <v/>
      </c>
      <c r="F37" s="48" t="n"/>
      <c r="G37" s="52" t="n"/>
      <c r="H37" s="50" t="n"/>
      <c r="I37" s="41">
        <f>IFERROR(INDEX('Báo giá'!$H$4:$H$203,MATCH($C37,'Báo giá'!$A$4:$A$203,0)),"")</f>
        <v/>
      </c>
      <c r="J37" s="52" t="n"/>
      <c r="K37" s="52" t="n"/>
      <c r="L37" s="35">
        <f>IF($A37="","",IF($K37="",IF($J37="","Chưa có kế hoạch",IF(TODAY()&gt;$J37,"Trễ hạn","Đang thực hiện")),IF($K37&lt;=$J37,"Đúng hạn","Giao trễ")))</f>
        <v/>
      </c>
      <c r="M37" s="41">
        <f>IF($A37="","",IF($K37="",IF($J37="",0,MAX(0,TODAY()-$J37)),MAX(0,$K37-$J37)))</f>
        <v/>
      </c>
      <c r="N37" s="48" t="n"/>
      <c r="O37" s="53" t="n"/>
      <c r="P37" s="57">
        <f>IF($A37="","",IF(IF($Y37="",$K37,$Y37)="","",IF($Y37="",$K37,$Y37)+IF($Z37="",0,$Z37)))</f>
        <v/>
      </c>
      <c r="Q37" s="54">
        <f>IFERROR(MONTH($G37),"")</f>
        <v/>
      </c>
      <c r="R37" s="54">
        <f>IFERROR(YEAR($G37),"")</f>
        <v/>
      </c>
      <c r="S37" s="48" t="n"/>
      <c r="T37" s="58">
        <f>IFERROR(INDEX('Báo giá'!$E$4:$E$203,MATCH($C37,'Báo giá'!$A$4:$A$203,0)),"")</f>
        <v/>
      </c>
      <c r="U37" s="59" t="n"/>
      <c r="V37" s="60" t="n"/>
      <c r="W37" s="61">
        <f>IFERROR(INDEX('Báo giá'!$G$4:$G$203,MATCH($C37,'Báo giá'!$A$4:$A$203,0)),"")</f>
        <v/>
      </c>
      <c r="X37" s="55" t="n"/>
      <c r="Y37" s="55" t="n"/>
      <c r="Z37" s="62" t="n"/>
    </row>
    <row r="38" ht="15" customHeight="1" s="30">
      <c r="A38" s="48" t="n"/>
      <c r="B38" s="52" t="n"/>
      <c r="C38" s="48" t="n"/>
      <c r="D38" s="35">
        <f>IFERROR(INDEX('Báo giá'!$C$4:$C$203,MATCH($C38,'Báo giá'!$A$4:$A$203,0)),"")</f>
        <v/>
      </c>
      <c r="E38" s="35">
        <f>IFERROR(INDEX('Khách hàng'!$B$4:$B$103,MATCH($D38,'Khách hàng'!$A$4:$A$103,0)),"")</f>
        <v/>
      </c>
      <c r="F38" s="48" t="n"/>
      <c r="G38" s="52" t="n"/>
      <c r="H38" s="50" t="n"/>
      <c r="I38" s="41">
        <f>IFERROR(INDEX('Báo giá'!$H$4:$H$203,MATCH($C38,'Báo giá'!$A$4:$A$203,0)),"")</f>
        <v/>
      </c>
      <c r="J38" s="52" t="n"/>
      <c r="K38" s="52" t="n"/>
      <c r="L38" s="35">
        <f>IF($A38="","",IF($K38="",IF($J38="","Chưa có kế hoạch",IF(TODAY()&gt;$J38,"Trễ hạn","Đang thực hiện")),IF($K38&lt;=$J38,"Đúng hạn","Giao trễ")))</f>
        <v/>
      </c>
      <c r="M38" s="41">
        <f>IF($A38="","",IF($K38="",IF($J38="",0,MAX(0,TODAY()-$J38)),MAX(0,$K38-$J38)))</f>
        <v/>
      </c>
      <c r="N38" s="48" t="n"/>
      <c r="O38" s="53" t="n"/>
      <c r="P38" s="57">
        <f>IF($A38="","",IF(IF($Y38="",$K38,$Y38)="","",IF($Y38="",$K38,$Y38)+IF($Z38="",0,$Z38)))</f>
        <v/>
      </c>
      <c r="Q38" s="54">
        <f>IFERROR(MONTH($G38),"")</f>
        <v/>
      </c>
      <c r="R38" s="54">
        <f>IFERROR(YEAR($G38),"")</f>
        <v/>
      </c>
      <c r="S38" s="48" t="n"/>
      <c r="T38" s="58">
        <f>IFERROR(INDEX('Báo giá'!$E$4:$E$203,MATCH($C38,'Báo giá'!$A$4:$A$203,0)),"")</f>
        <v/>
      </c>
      <c r="U38" s="59" t="n"/>
      <c r="V38" s="60" t="n"/>
      <c r="W38" s="61">
        <f>IFERROR(INDEX('Báo giá'!$G$4:$G$203,MATCH($C38,'Báo giá'!$A$4:$A$203,0)),"")</f>
        <v/>
      </c>
      <c r="X38" s="55" t="n"/>
      <c r="Y38" s="55" t="n"/>
      <c r="Z38" s="62" t="n"/>
    </row>
    <row r="39" ht="15" customHeight="1" s="30">
      <c r="A39" s="48" t="n"/>
      <c r="B39" s="52" t="n"/>
      <c r="C39" s="48" t="n"/>
      <c r="D39" s="35">
        <f>IFERROR(INDEX('Báo giá'!$C$4:$C$203,MATCH($C39,'Báo giá'!$A$4:$A$203,0)),"")</f>
        <v/>
      </c>
      <c r="E39" s="35">
        <f>IFERROR(INDEX('Khách hàng'!$B$4:$B$103,MATCH($D39,'Khách hàng'!$A$4:$A$103,0)),"")</f>
        <v/>
      </c>
      <c r="F39" s="48" t="n"/>
      <c r="G39" s="52" t="n"/>
      <c r="H39" s="50" t="n"/>
      <c r="I39" s="41">
        <f>IFERROR(INDEX('Báo giá'!$H$4:$H$203,MATCH($C39,'Báo giá'!$A$4:$A$203,0)),"")</f>
        <v/>
      </c>
      <c r="J39" s="52" t="n"/>
      <c r="K39" s="52" t="n"/>
      <c r="L39" s="35">
        <f>IF($A39="","",IF($K39="",IF($J39="","Chưa có kế hoạch",IF(TODAY()&gt;$J39,"Trễ hạn","Đang thực hiện")),IF($K39&lt;=$J39,"Đúng hạn","Giao trễ")))</f>
        <v/>
      </c>
      <c r="M39" s="41">
        <f>IF($A39="","",IF($K39="",IF($J39="",0,MAX(0,TODAY()-$J39)),MAX(0,$K39-$J39)))</f>
        <v/>
      </c>
      <c r="N39" s="48" t="n"/>
      <c r="O39" s="53" t="n"/>
      <c r="P39" s="57">
        <f>IF($A39="","",IF(IF($Y39="",$K39,$Y39)="","",IF($Y39="",$K39,$Y39)+IF($Z39="",0,$Z39)))</f>
        <v/>
      </c>
      <c r="Q39" s="54">
        <f>IFERROR(MONTH($G39),"")</f>
        <v/>
      </c>
      <c r="R39" s="54">
        <f>IFERROR(YEAR($G39),"")</f>
        <v/>
      </c>
      <c r="S39" s="48" t="n"/>
      <c r="T39" s="58">
        <f>IFERROR(INDEX('Báo giá'!$E$4:$E$203,MATCH($C39,'Báo giá'!$A$4:$A$203,0)),"")</f>
        <v/>
      </c>
      <c r="U39" s="59" t="n"/>
      <c r="V39" s="60" t="n"/>
      <c r="W39" s="61">
        <f>IFERROR(INDEX('Báo giá'!$G$4:$G$203,MATCH($C39,'Báo giá'!$A$4:$A$203,0)),"")</f>
        <v/>
      </c>
      <c r="X39" s="55" t="n"/>
      <c r="Y39" s="55" t="n"/>
      <c r="Z39" s="62" t="n"/>
    </row>
    <row r="40" ht="15" customHeight="1" s="30">
      <c r="A40" s="48" t="n"/>
      <c r="B40" s="52" t="n"/>
      <c r="C40" s="48" t="n"/>
      <c r="D40" s="35">
        <f>IFERROR(INDEX('Báo giá'!$C$4:$C$203,MATCH($C40,'Báo giá'!$A$4:$A$203,0)),"")</f>
        <v/>
      </c>
      <c r="E40" s="35">
        <f>IFERROR(INDEX('Khách hàng'!$B$4:$B$103,MATCH($D40,'Khách hàng'!$A$4:$A$103,0)),"")</f>
        <v/>
      </c>
      <c r="F40" s="48" t="n"/>
      <c r="G40" s="52" t="n"/>
      <c r="H40" s="50" t="n"/>
      <c r="I40" s="41">
        <f>IFERROR(INDEX('Báo giá'!$H$4:$H$203,MATCH($C40,'Báo giá'!$A$4:$A$203,0)),"")</f>
        <v/>
      </c>
      <c r="J40" s="52" t="n"/>
      <c r="K40" s="52" t="n"/>
      <c r="L40" s="35">
        <f>IF($A40="","",IF($K40="",IF($J40="","Chưa có kế hoạch",IF(TODAY()&gt;$J40,"Trễ hạn","Đang thực hiện")),IF($K40&lt;=$J40,"Đúng hạn","Giao trễ")))</f>
        <v/>
      </c>
      <c r="M40" s="41">
        <f>IF($A40="","",IF($K40="",IF($J40="",0,MAX(0,TODAY()-$J40)),MAX(0,$K40-$J40)))</f>
        <v/>
      </c>
      <c r="N40" s="48" t="n"/>
      <c r="O40" s="53" t="n"/>
      <c r="P40" s="57">
        <f>IF($A40="","",IF(IF($Y40="",$K40,$Y40)="","",IF($Y40="",$K40,$Y40)+IF($Z40="",0,$Z40)))</f>
        <v/>
      </c>
      <c r="Q40" s="54">
        <f>IFERROR(MONTH($G40),"")</f>
        <v/>
      </c>
      <c r="R40" s="54">
        <f>IFERROR(YEAR($G40),"")</f>
        <v/>
      </c>
      <c r="S40" s="48" t="n"/>
      <c r="T40" s="58">
        <f>IFERROR(INDEX('Báo giá'!$E$4:$E$203,MATCH($C40,'Báo giá'!$A$4:$A$203,0)),"")</f>
        <v/>
      </c>
      <c r="U40" s="59" t="n"/>
      <c r="V40" s="60" t="n"/>
      <c r="W40" s="61">
        <f>IFERROR(INDEX('Báo giá'!$G$4:$G$203,MATCH($C40,'Báo giá'!$A$4:$A$203,0)),"")</f>
        <v/>
      </c>
      <c r="X40" s="55" t="n"/>
      <c r="Y40" s="55" t="n"/>
      <c r="Z40" s="62" t="n"/>
    </row>
    <row r="41" ht="15" customHeight="1" s="30">
      <c r="A41" s="48" t="n"/>
      <c r="B41" s="52" t="n"/>
      <c r="C41" s="48" t="n"/>
      <c r="D41" s="35">
        <f>IFERROR(INDEX('Báo giá'!$C$4:$C$203,MATCH($C41,'Báo giá'!$A$4:$A$203,0)),"")</f>
        <v/>
      </c>
      <c r="E41" s="35">
        <f>IFERROR(INDEX('Khách hàng'!$B$4:$B$103,MATCH($D41,'Khách hàng'!$A$4:$A$103,0)),"")</f>
        <v/>
      </c>
      <c r="F41" s="48" t="n"/>
      <c r="G41" s="52" t="n"/>
      <c r="H41" s="50" t="n"/>
      <c r="I41" s="41">
        <f>IFERROR(INDEX('Báo giá'!$H$4:$H$203,MATCH($C41,'Báo giá'!$A$4:$A$203,0)),"")</f>
        <v/>
      </c>
      <c r="J41" s="52" t="n"/>
      <c r="K41" s="52" t="n"/>
      <c r="L41" s="35">
        <f>IF($A41="","",IF($K41="",IF($J41="","Chưa có kế hoạch",IF(TODAY()&gt;$J41,"Trễ hạn","Đang thực hiện")),IF($K41&lt;=$J41,"Đúng hạn","Giao trễ")))</f>
        <v/>
      </c>
      <c r="M41" s="41">
        <f>IF($A41="","",IF($K41="",IF($J41="",0,MAX(0,TODAY()-$J41)),MAX(0,$K41-$J41)))</f>
        <v/>
      </c>
      <c r="N41" s="48" t="n"/>
      <c r="O41" s="53" t="n"/>
      <c r="P41" s="57">
        <f>IF($A41="","",IF(IF($Y41="",$K41,$Y41)="","",IF($Y41="",$K41,$Y41)+IF($Z41="",0,$Z41)))</f>
        <v/>
      </c>
      <c r="Q41" s="54">
        <f>IFERROR(MONTH($G41),"")</f>
        <v/>
      </c>
      <c r="R41" s="54">
        <f>IFERROR(YEAR($G41),"")</f>
        <v/>
      </c>
      <c r="S41" s="48" t="n"/>
      <c r="T41" s="58">
        <f>IFERROR(INDEX('Báo giá'!$E$4:$E$203,MATCH($C41,'Báo giá'!$A$4:$A$203,0)),"")</f>
        <v/>
      </c>
      <c r="U41" s="59" t="n"/>
      <c r="V41" s="60" t="n"/>
      <c r="W41" s="61">
        <f>IFERROR(INDEX('Báo giá'!$G$4:$G$203,MATCH($C41,'Báo giá'!$A$4:$A$203,0)),"")</f>
        <v/>
      </c>
      <c r="X41" s="55" t="n"/>
      <c r="Y41" s="55" t="n"/>
      <c r="Z41" s="62" t="n"/>
    </row>
    <row r="42" ht="15" customHeight="1" s="30">
      <c r="A42" s="48" t="n"/>
      <c r="B42" s="52" t="n"/>
      <c r="C42" s="48" t="n"/>
      <c r="D42" s="35">
        <f>IFERROR(INDEX('Báo giá'!$C$4:$C$203,MATCH($C42,'Báo giá'!$A$4:$A$203,0)),"")</f>
        <v/>
      </c>
      <c r="E42" s="35">
        <f>IFERROR(INDEX('Khách hàng'!$B$4:$B$103,MATCH($D42,'Khách hàng'!$A$4:$A$103,0)),"")</f>
        <v/>
      </c>
      <c r="F42" s="48" t="n"/>
      <c r="G42" s="52" t="n"/>
      <c r="H42" s="50" t="n"/>
      <c r="I42" s="41">
        <f>IFERROR(INDEX('Báo giá'!$H$4:$H$203,MATCH($C42,'Báo giá'!$A$4:$A$203,0)),"")</f>
        <v/>
      </c>
      <c r="J42" s="52" t="n"/>
      <c r="K42" s="52" t="n"/>
      <c r="L42" s="35">
        <f>IF($A42="","",IF($K42="",IF($J42="","Chưa có kế hoạch",IF(TODAY()&gt;$J42,"Trễ hạn","Đang thực hiện")),IF($K42&lt;=$J42,"Đúng hạn","Giao trễ")))</f>
        <v/>
      </c>
      <c r="M42" s="41">
        <f>IF($A42="","",IF($K42="",IF($J42="",0,MAX(0,TODAY()-$J42)),MAX(0,$K42-$J42)))</f>
        <v/>
      </c>
      <c r="N42" s="48" t="n"/>
      <c r="O42" s="53" t="n"/>
      <c r="P42" s="57">
        <f>IF($A42="","",IF(IF($Y42="",$K42,$Y42)="","",IF($Y42="",$K42,$Y42)+IF($Z42="",0,$Z42)))</f>
        <v/>
      </c>
      <c r="Q42" s="54">
        <f>IFERROR(MONTH($G42),"")</f>
        <v/>
      </c>
      <c r="R42" s="54">
        <f>IFERROR(YEAR($G42),"")</f>
        <v/>
      </c>
      <c r="S42" s="48" t="n"/>
      <c r="T42" s="58">
        <f>IFERROR(INDEX('Báo giá'!$E$4:$E$203,MATCH($C42,'Báo giá'!$A$4:$A$203,0)),"")</f>
        <v/>
      </c>
      <c r="U42" s="59" t="n"/>
      <c r="V42" s="60" t="n"/>
      <c r="W42" s="61">
        <f>IFERROR(INDEX('Báo giá'!$G$4:$G$203,MATCH($C42,'Báo giá'!$A$4:$A$203,0)),"")</f>
        <v/>
      </c>
      <c r="X42" s="55" t="n"/>
      <c r="Y42" s="55" t="n"/>
      <c r="Z42" s="62" t="n"/>
    </row>
    <row r="43" ht="15" customHeight="1" s="30">
      <c r="A43" s="48" t="n"/>
      <c r="B43" s="52" t="n"/>
      <c r="C43" s="48" t="n"/>
      <c r="D43" s="35">
        <f>IFERROR(INDEX('Báo giá'!$C$4:$C$203,MATCH($C43,'Báo giá'!$A$4:$A$203,0)),"")</f>
        <v/>
      </c>
      <c r="E43" s="35">
        <f>IFERROR(INDEX('Khách hàng'!$B$4:$B$103,MATCH($D43,'Khách hàng'!$A$4:$A$103,0)),"")</f>
        <v/>
      </c>
      <c r="F43" s="48" t="n"/>
      <c r="G43" s="52" t="n"/>
      <c r="H43" s="50" t="n"/>
      <c r="I43" s="41">
        <f>IFERROR(INDEX('Báo giá'!$H$4:$H$203,MATCH($C43,'Báo giá'!$A$4:$A$203,0)),"")</f>
        <v/>
      </c>
      <c r="J43" s="52" t="n"/>
      <c r="K43" s="52" t="n"/>
      <c r="L43" s="35">
        <f>IF($A43="","",IF($K43="",IF($J43="","Chưa có kế hoạch",IF(TODAY()&gt;$J43,"Trễ hạn","Đang thực hiện")),IF($K43&lt;=$J43,"Đúng hạn","Giao trễ")))</f>
        <v/>
      </c>
      <c r="M43" s="41">
        <f>IF($A43="","",IF($K43="",IF($J43="",0,MAX(0,TODAY()-$J43)),MAX(0,$K43-$J43)))</f>
        <v/>
      </c>
      <c r="N43" s="48" t="n"/>
      <c r="O43" s="53" t="n"/>
      <c r="P43" s="57">
        <f>IF($A43="","",IF(IF($Y43="",$K43,$Y43)="","",IF($Y43="",$K43,$Y43)+IF($Z43="",0,$Z43)))</f>
        <v/>
      </c>
      <c r="Q43" s="54">
        <f>IFERROR(MONTH($G43),"")</f>
        <v/>
      </c>
      <c r="R43" s="54">
        <f>IFERROR(YEAR($G43),"")</f>
        <v/>
      </c>
      <c r="S43" s="48" t="n"/>
      <c r="T43" s="58">
        <f>IFERROR(INDEX('Báo giá'!$E$4:$E$203,MATCH($C43,'Báo giá'!$A$4:$A$203,0)),"")</f>
        <v/>
      </c>
      <c r="U43" s="59" t="n"/>
      <c r="V43" s="60" t="n"/>
      <c r="W43" s="61">
        <f>IFERROR(INDEX('Báo giá'!$G$4:$G$203,MATCH($C43,'Báo giá'!$A$4:$A$203,0)),"")</f>
        <v/>
      </c>
      <c r="X43" s="55" t="n"/>
      <c r="Y43" s="55" t="n"/>
      <c r="Z43" s="62" t="n"/>
    </row>
    <row r="44" ht="15" customHeight="1" s="30">
      <c r="A44" s="48" t="n"/>
      <c r="B44" s="52" t="n"/>
      <c r="C44" s="48" t="n"/>
      <c r="D44" s="35">
        <f>IFERROR(INDEX('Báo giá'!$C$4:$C$203,MATCH($C44,'Báo giá'!$A$4:$A$203,0)),"")</f>
        <v/>
      </c>
      <c r="E44" s="35">
        <f>IFERROR(INDEX('Khách hàng'!$B$4:$B$103,MATCH($D44,'Khách hàng'!$A$4:$A$103,0)),"")</f>
        <v/>
      </c>
      <c r="F44" s="48" t="n"/>
      <c r="G44" s="52" t="n"/>
      <c r="H44" s="50" t="n"/>
      <c r="I44" s="41">
        <f>IFERROR(INDEX('Báo giá'!$H$4:$H$203,MATCH($C44,'Báo giá'!$A$4:$A$203,0)),"")</f>
        <v/>
      </c>
      <c r="J44" s="52" t="n"/>
      <c r="K44" s="52" t="n"/>
      <c r="L44" s="35">
        <f>IF($A44="","",IF($K44="",IF($J44="","Chưa có kế hoạch",IF(TODAY()&gt;$J44,"Trễ hạn","Đang thực hiện")),IF($K44&lt;=$J44,"Đúng hạn","Giao trễ")))</f>
        <v/>
      </c>
      <c r="M44" s="41">
        <f>IF($A44="","",IF($K44="",IF($J44="",0,MAX(0,TODAY()-$J44)),MAX(0,$K44-$J44)))</f>
        <v/>
      </c>
      <c r="N44" s="48" t="n"/>
      <c r="O44" s="53" t="n"/>
      <c r="P44" s="57">
        <f>IF($A44="","",IF(IF($Y44="",$K44,$Y44)="","",IF($Y44="",$K44,$Y44)+IF($Z44="",0,$Z44)))</f>
        <v/>
      </c>
      <c r="Q44" s="54">
        <f>IFERROR(MONTH($G44),"")</f>
        <v/>
      </c>
      <c r="R44" s="54">
        <f>IFERROR(YEAR($G44),"")</f>
        <v/>
      </c>
      <c r="S44" s="48" t="n"/>
      <c r="T44" s="58">
        <f>IFERROR(INDEX('Báo giá'!$E$4:$E$203,MATCH($C44,'Báo giá'!$A$4:$A$203,0)),"")</f>
        <v/>
      </c>
      <c r="U44" s="59" t="n"/>
      <c r="V44" s="60" t="n"/>
      <c r="W44" s="61">
        <f>IFERROR(INDEX('Báo giá'!$G$4:$G$203,MATCH($C44,'Báo giá'!$A$4:$A$203,0)),"")</f>
        <v/>
      </c>
      <c r="X44" s="55" t="n"/>
      <c r="Y44" s="55" t="n"/>
      <c r="Z44" s="62" t="n"/>
    </row>
    <row r="45" ht="15" customHeight="1" s="30">
      <c r="A45" s="48" t="n"/>
      <c r="B45" s="52" t="n"/>
      <c r="C45" s="48" t="n"/>
      <c r="D45" s="35">
        <f>IFERROR(INDEX('Báo giá'!$C$4:$C$203,MATCH($C45,'Báo giá'!$A$4:$A$203,0)),"")</f>
        <v/>
      </c>
      <c r="E45" s="35">
        <f>IFERROR(INDEX('Khách hàng'!$B$4:$B$103,MATCH($D45,'Khách hàng'!$A$4:$A$103,0)),"")</f>
        <v/>
      </c>
      <c r="F45" s="48" t="n"/>
      <c r="G45" s="52" t="n"/>
      <c r="H45" s="50" t="n"/>
      <c r="I45" s="41">
        <f>IFERROR(INDEX('Báo giá'!$H$4:$H$203,MATCH($C45,'Báo giá'!$A$4:$A$203,0)),"")</f>
        <v/>
      </c>
      <c r="J45" s="52" t="n"/>
      <c r="K45" s="52" t="n"/>
      <c r="L45" s="35">
        <f>IF($A45="","",IF($K45="",IF($J45="","Chưa có kế hoạch",IF(TODAY()&gt;$J45,"Trễ hạn","Đang thực hiện")),IF($K45&lt;=$J45,"Đúng hạn","Giao trễ")))</f>
        <v/>
      </c>
      <c r="M45" s="41">
        <f>IF($A45="","",IF($K45="",IF($J45="",0,MAX(0,TODAY()-$J45)),MAX(0,$K45-$J45)))</f>
        <v/>
      </c>
      <c r="N45" s="48" t="n"/>
      <c r="O45" s="53" t="n"/>
      <c r="P45" s="57">
        <f>IF($A45="","",IF(IF($Y45="",$K45,$Y45)="","",IF($Y45="",$K45,$Y45)+IF($Z45="",0,$Z45)))</f>
        <v/>
      </c>
      <c r="Q45" s="54">
        <f>IFERROR(MONTH($G45),"")</f>
        <v/>
      </c>
      <c r="R45" s="54">
        <f>IFERROR(YEAR($G45),"")</f>
        <v/>
      </c>
      <c r="S45" s="48" t="n"/>
      <c r="T45" s="58">
        <f>IFERROR(INDEX('Báo giá'!$E$4:$E$203,MATCH($C45,'Báo giá'!$A$4:$A$203,0)),"")</f>
        <v/>
      </c>
      <c r="U45" s="59" t="n"/>
      <c r="V45" s="60" t="n"/>
      <c r="W45" s="61">
        <f>IFERROR(INDEX('Báo giá'!$G$4:$G$203,MATCH($C45,'Báo giá'!$A$4:$A$203,0)),"")</f>
        <v/>
      </c>
      <c r="X45" s="55" t="n"/>
      <c r="Y45" s="55" t="n"/>
      <c r="Z45" s="62" t="n"/>
    </row>
    <row r="46" ht="15" customHeight="1" s="30">
      <c r="A46" s="48" t="n"/>
      <c r="B46" s="52" t="n"/>
      <c r="C46" s="48" t="n"/>
      <c r="D46" s="35">
        <f>IFERROR(INDEX('Báo giá'!$C$4:$C$203,MATCH($C46,'Báo giá'!$A$4:$A$203,0)),"")</f>
        <v/>
      </c>
      <c r="E46" s="35">
        <f>IFERROR(INDEX('Khách hàng'!$B$4:$B$103,MATCH($D46,'Khách hàng'!$A$4:$A$103,0)),"")</f>
        <v/>
      </c>
      <c r="F46" s="48" t="n"/>
      <c r="G46" s="52" t="n"/>
      <c r="H46" s="50" t="n"/>
      <c r="I46" s="41">
        <f>IFERROR(INDEX('Báo giá'!$H$4:$H$203,MATCH($C46,'Báo giá'!$A$4:$A$203,0)),"")</f>
        <v/>
      </c>
      <c r="J46" s="52" t="n"/>
      <c r="K46" s="52" t="n"/>
      <c r="L46" s="35">
        <f>IF($A46="","",IF($K46="",IF($J46="","Chưa có kế hoạch",IF(TODAY()&gt;$J46,"Trễ hạn","Đang thực hiện")),IF($K46&lt;=$J46,"Đúng hạn","Giao trễ")))</f>
        <v/>
      </c>
      <c r="M46" s="41">
        <f>IF($A46="","",IF($K46="",IF($J46="",0,MAX(0,TODAY()-$J46)),MAX(0,$K46-$J46)))</f>
        <v/>
      </c>
      <c r="N46" s="48" t="n"/>
      <c r="O46" s="53" t="n"/>
      <c r="P46" s="57">
        <f>IF($A46="","",IF(IF($Y46="",$K46,$Y46)="","",IF($Y46="",$K46,$Y46)+IF($Z46="",0,$Z46)))</f>
        <v/>
      </c>
      <c r="Q46" s="54">
        <f>IFERROR(MONTH($G46),"")</f>
        <v/>
      </c>
      <c r="R46" s="54">
        <f>IFERROR(YEAR($G46),"")</f>
        <v/>
      </c>
      <c r="S46" s="48" t="n"/>
      <c r="T46" s="58">
        <f>IFERROR(INDEX('Báo giá'!$E$4:$E$203,MATCH($C46,'Báo giá'!$A$4:$A$203,0)),"")</f>
        <v/>
      </c>
      <c r="U46" s="59" t="n"/>
      <c r="V46" s="60" t="n"/>
      <c r="W46" s="61">
        <f>IFERROR(INDEX('Báo giá'!$G$4:$G$203,MATCH($C46,'Báo giá'!$A$4:$A$203,0)),"")</f>
        <v/>
      </c>
      <c r="X46" s="55" t="n"/>
      <c r="Y46" s="55" t="n"/>
      <c r="Z46" s="62" t="n"/>
    </row>
    <row r="47" ht="15" customHeight="1" s="30">
      <c r="A47" s="48" t="n"/>
      <c r="B47" s="52" t="n"/>
      <c r="C47" s="48" t="n"/>
      <c r="D47" s="35">
        <f>IFERROR(INDEX('Báo giá'!$C$4:$C$203,MATCH($C47,'Báo giá'!$A$4:$A$203,0)),"")</f>
        <v/>
      </c>
      <c r="E47" s="35">
        <f>IFERROR(INDEX('Khách hàng'!$B$4:$B$103,MATCH($D47,'Khách hàng'!$A$4:$A$103,0)),"")</f>
        <v/>
      </c>
      <c r="F47" s="48" t="n"/>
      <c r="G47" s="52" t="n"/>
      <c r="H47" s="50" t="n"/>
      <c r="I47" s="41">
        <f>IFERROR(INDEX('Báo giá'!$H$4:$H$203,MATCH($C47,'Báo giá'!$A$4:$A$203,0)),"")</f>
        <v/>
      </c>
      <c r="J47" s="52" t="n"/>
      <c r="K47" s="52" t="n"/>
      <c r="L47" s="35">
        <f>IF($A47="","",IF($K47="",IF($J47="","Chưa có kế hoạch",IF(TODAY()&gt;$J47,"Trễ hạn","Đang thực hiện")),IF($K47&lt;=$J47,"Đúng hạn","Giao trễ")))</f>
        <v/>
      </c>
      <c r="M47" s="41">
        <f>IF($A47="","",IF($K47="",IF($J47="",0,MAX(0,TODAY()-$J47)),MAX(0,$K47-$J47)))</f>
        <v/>
      </c>
      <c r="N47" s="48" t="n"/>
      <c r="O47" s="53" t="n"/>
      <c r="P47" s="57">
        <f>IF($A47="","",IF(IF($Y47="",$K47,$Y47)="","",IF($Y47="",$K47,$Y47)+IF($Z47="",0,$Z47)))</f>
        <v/>
      </c>
      <c r="Q47" s="54">
        <f>IFERROR(MONTH($G47),"")</f>
        <v/>
      </c>
      <c r="R47" s="54">
        <f>IFERROR(YEAR($G47),"")</f>
        <v/>
      </c>
      <c r="S47" s="48" t="n"/>
      <c r="T47" s="58">
        <f>IFERROR(INDEX('Báo giá'!$E$4:$E$203,MATCH($C47,'Báo giá'!$A$4:$A$203,0)),"")</f>
        <v/>
      </c>
      <c r="U47" s="59" t="n"/>
      <c r="V47" s="60" t="n"/>
      <c r="W47" s="61">
        <f>IFERROR(INDEX('Báo giá'!$G$4:$G$203,MATCH($C47,'Báo giá'!$A$4:$A$203,0)),"")</f>
        <v/>
      </c>
      <c r="X47" s="55" t="n"/>
      <c r="Y47" s="55" t="n"/>
      <c r="Z47" s="62" t="n"/>
    </row>
    <row r="48" ht="15" customHeight="1" s="30">
      <c r="A48" s="48" t="n"/>
      <c r="B48" s="52" t="n"/>
      <c r="C48" s="48" t="n"/>
      <c r="D48" s="35">
        <f>IFERROR(INDEX('Báo giá'!$C$4:$C$203,MATCH($C48,'Báo giá'!$A$4:$A$203,0)),"")</f>
        <v/>
      </c>
      <c r="E48" s="35">
        <f>IFERROR(INDEX('Khách hàng'!$B$4:$B$103,MATCH($D48,'Khách hàng'!$A$4:$A$103,0)),"")</f>
        <v/>
      </c>
      <c r="F48" s="48" t="n"/>
      <c r="G48" s="52" t="n"/>
      <c r="H48" s="50" t="n"/>
      <c r="I48" s="41">
        <f>IFERROR(INDEX('Báo giá'!$H$4:$H$203,MATCH($C48,'Báo giá'!$A$4:$A$203,0)),"")</f>
        <v/>
      </c>
      <c r="J48" s="52" t="n"/>
      <c r="K48" s="52" t="n"/>
      <c r="L48" s="35">
        <f>IF($A48="","",IF($K48="",IF($J48="","Chưa có kế hoạch",IF(TODAY()&gt;$J48,"Trễ hạn","Đang thực hiện")),IF($K48&lt;=$J48,"Đúng hạn","Giao trễ")))</f>
        <v/>
      </c>
      <c r="M48" s="41">
        <f>IF($A48="","",IF($K48="",IF($J48="",0,MAX(0,TODAY()-$J48)),MAX(0,$K48-$J48)))</f>
        <v/>
      </c>
      <c r="N48" s="48" t="n"/>
      <c r="O48" s="53" t="n"/>
      <c r="P48" s="57">
        <f>IF($A48="","",IF(IF($Y48="",$K48,$Y48)="","",IF($Y48="",$K48,$Y48)+IF($Z48="",0,$Z48)))</f>
        <v/>
      </c>
      <c r="Q48" s="54">
        <f>IFERROR(MONTH($G48),"")</f>
        <v/>
      </c>
      <c r="R48" s="54">
        <f>IFERROR(YEAR($G48),"")</f>
        <v/>
      </c>
      <c r="S48" s="48" t="n"/>
      <c r="T48" s="58">
        <f>IFERROR(INDEX('Báo giá'!$E$4:$E$203,MATCH($C48,'Báo giá'!$A$4:$A$203,0)),"")</f>
        <v/>
      </c>
      <c r="U48" s="59" t="n"/>
      <c r="V48" s="60" t="n"/>
      <c r="W48" s="61">
        <f>IFERROR(INDEX('Báo giá'!$G$4:$G$203,MATCH($C48,'Báo giá'!$A$4:$A$203,0)),"")</f>
        <v/>
      </c>
      <c r="X48" s="55" t="n"/>
      <c r="Y48" s="55" t="n"/>
      <c r="Z48" s="62" t="n"/>
    </row>
    <row r="49" ht="15" customHeight="1" s="30">
      <c r="A49" s="48" t="n"/>
      <c r="B49" s="52" t="n"/>
      <c r="C49" s="48" t="n"/>
      <c r="D49" s="35">
        <f>IFERROR(INDEX('Báo giá'!$C$4:$C$203,MATCH($C49,'Báo giá'!$A$4:$A$203,0)),"")</f>
        <v/>
      </c>
      <c r="E49" s="35">
        <f>IFERROR(INDEX('Khách hàng'!$B$4:$B$103,MATCH($D49,'Khách hàng'!$A$4:$A$103,0)),"")</f>
        <v/>
      </c>
      <c r="F49" s="48" t="n"/>
      <c r="G49" s="52" t="n"/>
      <c r="H49" s="50" t="n"/>
      <c r="I49" s="41">
        <f>IFERROR(INDEX('Báo giá'!$H$4:$H$203,MATCH($C49,'Báo giá'!$A$4:$A$203,0)),"")</f>
        <v/>
      </c>
      <c r="J49" s="52" t="n"/>
      <c r="K49" s="52" t="n"/>
      <c r="L49" s="35">
        <f>IF($A49="","",IF($K49="",IF($J49="","Chưa có kế hoạch",IF(TODAY()&gt;$J49,"Trễ hạn","Đang thực hiện")),IF($K49&lt;=$J49,"Đúng hạn","Giao trễ")))</f>
        <v/>
      </c>
      <c r="M49" s="41">
        <f>IF($A49="","",IF($K49="",IF($J49="",0,MAX(0,TODAY()-$J49)),MAX(0,$K49-$J49)))</f>
        <v/>
      </c>
      <c r="N49" s="48" t="n"/>
      <c r="O49" s="53" t="n"/>
      <c r="P49" s="57">
        <f>IF($A49="","",IF(IF($Y49="",$K49,$Y49)="","",IF($Y49="",$K49,$Y49)+IF($Z49="",0,$Z49)))</f>
        <v/>
      </c>
      <c r="Q49" s="54">
        <f>IFERROR(MONTH($G49),"")</f>
        <v/>
      </c>
      <c r="R49" s="54">
        <f>IFERROR(YEAR($G49),"")</f>
        <v/>
      </c>
      <c r="S49" s="48" t="n"/>
      <c r="T49" s="58">
        <f>IFERROR(INDEX('Báo giá'!$E$4:$E$203,MATCH($C49,'Báo giá'!$A$4:$A$203,0)),"")</f>
        <v/>
      </c>
      <c r="U49" s="59" t="n"/>
      <c r="V49" s="60" t="n"/>
      <c r="W49" s="61">
        <f>IFERROR(INDEX('Báo giá'!$G$4:$G$203,MATCH($C49,'Báo giá'!$A$4:$A$203,0)),"")</f>
        <v/>
      </c>
      <c r="X49" s="55" t="n"/>
      <c r="Y49" s="55" t="n"/>
      <c r="Z49" s="62" t="n"/>
    </row>
    <row r="50" ht="15" customHeight="1" s="30">
      <c r="A50" s="48" t="n"/>
      <c r="B50" s="52" t="n"/>
      <c r="C50" s="48" t="n"/>
      <c r="D50" s="35">
        <f>IFERROR(INDEX('Báo giá'!$C$4:$C$203,MATCH($C50,'Báo giá'!$A$4:$A$203,0)),"")</f>
        <v/>
      </c>
      <c r="E50" s="35">
        <f>IFERROR(INDEX('Khách hàng'!$B$4:$B$103,MATCH($D50,'Khách hàng'!$A$4:$A$103,0)),"")</f>
        <v/>
      </c>
      <c r="F50" s="48" t="n"/>
      <c r="G50" s="52" t="n"/>
      <c r="H50" s="50" t="n"/>
      <c r="I50" s="41">
        <f>IFERROR(INDEX('Báo giá'!$H$4:$H$203,MATCH($C50,'Báo giá'!$A$4:$A$203,0)),"")</f>
        <v/>
      </c>
      <c r="J50" s="52" t="n"/>
      <c r="K50" s="52" t="n"/>
      <c r="L50" s="35">
        <f>IF($A50="","",IF($K50="",IF($J50="","Chưa có kế hoạch",IF(TODAY()&gt;$J50,"Trễ hạn","Đang thực hiện")),IF($K50&lt;=$J50,"Đúng hạn","Giao trễ")))</f>
        <v/>
      </c>
      <c r="M50" s="41">
        <f>IF($A50="","",IF($K50="",IF($J50="",0,MAX(0,TODAY()-$J50)),MAX(0,$K50-$J50)))</f>
        <v/>
      </c>
      <c r="N50" s="48" t="n"/>
      <c r="O50" s="53" t="n"/>
      <c r="P50" s="57">
        <f>IF($A50="","",IF(IF($Y50="",$K50,$Y50)="","",IF($Y50="",$K50,$Y50)+IF($Z50="",0,$Z50)))</f>
        <v/>
      </c>
      <c r="Q50" s="54">
        <f>IFERROR(MONTH($G50),"")</f>
        <v/>
      </c>
      <c r="R50" s="54">
        <f>IFERROR(YEAR($G50),"")</f>
        <v/>
      </c>
      <c r="S50" s="48" t="n"/>
      <c r="T50" s="58">
        <f>IFERROR(INDEX('Báo giá'!$E$4:$E$203,MATCH($C50,'Báo giá'!$A$4:$A$203,0)),"")</f>
        <v/>
      </c>
      <c r="U50" s="59" t="n"/>
      <c r="V50" s="60" t="n"/>
      <c r="W50" s="61">
        <f>IFERROR(INDEX('Báo giá'!$G$4:$G$203,MATCH($C50,'Báo giá'!$A$4:$A$203,0)),"")</f>
        <v/>
      </c>
      <c r="X50" s="55" t="n"/>
      <c r="Y50" s="55" t="n"/>
      <c r="Z50" s="62" t="n"/>
    </row>
    <row r="51" ht="15" customHeight="1" s="30">
      <c r="A51" s="48" t="n"/>
      <c r="B51" s="52" t="n"/>
      <c r="C51" s="48" t="n"/>
      <c r="D51" s="35">
        <f>IFERROR(INDEX('Báo giá'!$C$4:$C$203,MATCH($C51,'Báo giá'!$A$4:$A$203,0)),"")</f>
        <v/>
      </c>
      <c r="E51" s="35">
        <f>IFERROR(INDEX('Khách hàng'!$B$4:$B$103,MATCH($D51,'Khách hàng'!$A$4:$A$103,0)),"")</f>
        <v/>
      </c>
      <c r="F51" s="48" t="n"/>
      <c r="G51" s="52" t="n"/>
      <c r="H51" s="50" t="n"/>
      <c r="I51" s="41">
        <f>IFERROR(INDEX('Báo giá'!$H$4:$H$203,MATCH($C51,'Báo giá'!$A$4:$A$203,0)),"")</f>
        <v/>
      </c>
      <c r="J51" s="52" t="n"/>
      <c r="K51" s="52" t="n"/>
      <c r="L51" s="35">
        <f>IF($A51="","",IF($K51="",IF($J51="","Chưa có kế hoạch",IF(TODAY()&gt;$J51,"Trễ hạn","Đang thực hiện")),IF($K51&lt;=$J51,"Đúng hạn","Giao trễ")))</f>
        <v/>
      </c>
      <c r="M51" s="41">
        <f>IF($A51="","",IF($K51="",IF($J51="",0,MAX(0,TODAY()-$J51)),MAX(0,$K51-$J51)))</f>
        <v/>
      </c>
      <c r="N51" s="48" t="n"/>
      <c r="O51" s="53" t="n"/>
      <c r="P51" s="57">
        <f>IF($A51="","",IF(IF($Y51="",$K51,$Y51)="","",IF($Y51="",$K51,$Y51)+IF($Z51="",0,$Z51)))</f>
        <v/>
      </c>
      <c r="Q51" s="54">
        <f>IFERROR(MONTH($G51),"")</f>
        <v/>
      </c>
      <c r="R51" s="54">
        <f>IFERROR(YEAR($G51),"")</f>
        <v/>
      </c>
      <c r="S51" s="48" t="n"/>
      <c r="T51" s="58">
        <f>IFERROR(INDEX('Báo giá'!$E$4:$E$203,MATCH($C51,'Báo giá'!$A$4:$A$203,0)),"")</f>
        <v/>
      </c>
      <c r="U51" s="59" t="n"/>
      <c r="V51" s="60" t="n"/>
      <c r="W51" s="61">
        <f>IFERROR(INDEX('Báo giá'!$G$4:$G$203,MATCH($C51,'Báo giá'!$A$4:$A$203,0)),"")</f>
        <v/>
      </c>
      <c r="X51" s="55" t="n"/>
      <c r="Y51" s="55" t="n"/>
      <c r="Z51" s="62" t="n"/>
    </row>
    <row r="52" ht="15" customHeight="1" s="30">
      <c r="A52" s="48" t="n"/>
      <c r="B52" s="52" t="n"/>
      <c r="C52" s="48" t="n"/>
      <c r="D52" s="35">
        <f>IFERROR(INDEX('Báo giá'!$C$4:$C$203,MATCH($C52,'Báo giá'!$A$4:$A$203,0)),"")</f>
        <v/>
      </c>
      <c r="E52" s="35">
        <f>IFERROR(INDEX('Khách hàng'!$B$4:$B$103,MATCH($D52,'Khách hàng'!$A$4:$A$103,0)),"")</f>
        <v/>
      </c>
      <c r="F52" s="48" t="n"/>
      <c r="G52" s="52" t="n"/>
      <c r="H52" s="50" t="n"/>
      <c r="I52" s="41">
        <f>IFERROR(INDEX('Báo giá'!$H$4:$H$203,MATCH($C52,'Báo giá'!$A$4:$A$203,0)),"")</f>
        <v/>
      </c>
      <c r="J52" s="52" t="n"/>
      <c r="K52" s="52" t="n"/>
      <c r="L52" s="35">
        <f>IF($A52="","",IF($K52="",IF($J52="","Chưa có kế hoạch",IF(TODAY()&gt;$J52,"Trễ hạn","Đang thực hiện")),IF($K52&lt;=$J52,"Đúng hạn","Giao trễ")))</f>
        <v/>
      </c>
      <c r="M52" s="41">
        <f>IF($A52="","",IF($K52="",IF($J52="",0,MAX(0,TODAY()-$J52)),MAX(0,$K52-$J52)))</f>
        <v/>
      </c>
      <c r="N52" s="48" t="n"/>
      <c r="O52" s="53" t="n"/>
      <c r="P52" s="57">
        <f>IF($A52="","",IF(IF($Y52="",$K52,$Y52)="","",IF($Y52="",$K52,$Y52)+IF($Z52="",0,$Z52)))</f>
        <v/>
      </c>
      <c r="Q52" s="54">
        <f>IFERROR(MONTH($G52),"")</f>
        <v/>
      </c>
      <c r="R52" s="54">
        <f>IFERROR(YEAR($G52),"")</f>
        <v/>
      </c>
      <c r="S52" s="48" t="n"/>
      <c r="T52" s="58">
        <f>IFERROR(INDEX('Báo giá'!$E$4:$E$203,MATCH($C52,'Báo giá'!$A$4:$A$203,0)),"")</f>
        <v/>
      </c>
      <c r="U52" s="59" t="n"/>
      <c r="V52" s="60" t="n"/>
      <c r="W52" s="61">
        <f>IFERROR(INDEX('Báo giá'!$G$4:$G$203,MATCH($C52,'Báo giá'!$A$4:$A$203,0)),"")</f>
        <v/>
      </c>
      <c r="X52" s="55" t="n"/>
      <c r="Y52" s="55" t="n"/>
      <c r="Z52" s="62" t="n"/>
    </row>
    <row r="53" ht="15" customHeight="1" s="30">
      <c r="A53" s="48" t="n"/>
      <c r="B53" s="52" t="n"/>
      <c r="C53" s="48" t="n"/>
      <c r="D53" s="35">
        <f>IFERROR(INDEX('Báo giá'!$C$4:$C$203,MATCH($C53,'Báo giá'!$A$4:$A$203,0)),"")</f>
        <v/>
      </c>
      <c r="E53" s="35">
        <f>IFERROR(INDEX('Khách hàng'!$B$4:$B$103,MATCH($D53,'Khách hàng'!$A$4:$A$103,0)),"")</f>
        <v/>
      </c>
      <c r="F53" s="48" t="n"/>
      <c r="G53" s="52" t="n"/>
      <c r="H53" s="50" t="n"/>
      <c r="I53" s="41">
        <f>IFERROR(INDEX('Báo giá'!$H$4:$H$203,MATCH($C53,'Báo giá'!$A$4:$A$203,0)),"")</f>
        <v/>
      </c>
      <c r="J53" s="52" t="n"/>
      <c r="K53" s="52" t="n"/>
      <c r="L53" s="35">
        <f>IF($A53="","",IF($K53="",IF($J53="","Chưa có kế hoạch",IF(TODAY()&gt;$J53,"Trễ hạn","Đang thực hiện")),IF($K53&lt;=$J53,"Đúng hạn","Giao trễ")))</f>
        <v/>
      </c>
      <c r="M53" s="41">
        <f>IF($A53="","",IF($K53="",IF($J53="",0,MAX(0,TODAY()-$J53)),MAX(0,$K53-$J53)))</f>
        <v/>
      </c>
      <c r="N53" s="48" t="n"/>
      <c r="O53" s="53" t="n"/>
      <c r="P53" s="57">
        <f>IF($A53="","",IF(IF($Y53="",$K53,$Y53)="","",IF($Y53="",$K53,$Y53)+IF($Z53="",0,$Z53)))</f>
        <v/>
      </c>
      <c r="Q53" s="54">
        <f>IFERROR(MONTH($G53),"")</f>
        <v/>
      </c>
      <c r="R53" s="54">
        <f>IFERROR(YEAR($G53),"")</f>
        <v/>
      </c>
      <c r="S53" s="48" t="n"/>
      <c r="T53" s="58">
        <f>IFERROR(INDEX('Báo giá'!$E$4:$E$203,MATCH($C53,'Báo giá'!$A$4:$A$203,0)),"")</f>
        <v/>
      </c>
      <c r="U53" s="59" t="n"/>
      <c r="V53" s="60" t="n"/>
      <c r="W53" s="61">
        <f>IFERROR(INDEX('Báo giá'!$G$4:$G$203,MATCH($C53,'Báo giá'!$A$4:$A$203,0)),"")</f>
        <v/>
      </c>
      <c r="X53" s="55" t="n"/>
      <c r="Y53" s="55" t="n"/>
      <c r="Z53" s="62" t="n"/>
    </row>
    <row r="54" ht="15" customHeight="1" s="30">
      <c r="A54" s="48" t="n"/>
      <c r="B54" s="52" t="n"/>
      <c r="C54" s="48" t="n"/>
      <c r="D54" s="35">
        <f>IFERROR(INDEX('Báo giá'!$C$4:$C$203,MATCH($C54,'Báo giá'!$A$4:$A$203,0)),"")</f>
        <v/>
      </c>
      <c r="E54" s="35">
        <f>IFERROR(INDEX('Khách hàng'!$B$4:$B$103,MATCH($D54,'Khách hàng'!$A$4:$A$103,0)),"")</f>
        <v/>
      </c>
      <c r="F54" s="48" t="n"/>
      <c r="G54" s="52" t="n"/>
      <c r="H54" s="50" t="n"/>
      <c r="I54" s="41">
        <f>IFERROR(INDEX('Báo giá'!$H$4:$H$203,MATCH($C54,'Báo giá'!$A$4:$A$203,0)),"")</f>
        <v/>
      </c>
      <c r="J54" s="52" t="n"/>
      <c r="K54" s="52" t="n"/>
      <c r="L54" s="35">
        <f>IF($A54="","",IF($K54="",IF($J54="","Chưa có kế hoạch",IF(TODAY()&gt;$J54,"Trễ hạn","Đang thực hiện")),IF($K54&lt;=$J54,"Đúng hạn","Giao trễ")))</f>
        <v/>
      </c>
      <c r="M54" s="41">
        <f>IF($A54="","",IF($K54="",IF($J54="",0,MAX(0,TODAY()-$J54)),MAX(0,$K54-$J54)))</f>
        <v/>
      </c>
      <c r="N54" s="48" t="n"/>
      <c r="O54" s="53" t="n"/>
      <c r="P54" s="57">
        <f>IF($A54="","",IF(IF($Y54="",$K54,$Y54)="","",IF($Y54="",$K54,$Y54)+IF($Z54="",0,$Z54)))</f>
        <v/>
      </c>
      <c r="Q54" s="54">
        <f>IFERROR(MONTH($G54),"")</f>
        <v/>
      </c>
      <c r="R54" s="54">
        <f>IFERROR(YEAR($G54),"")</f>
        <v/>
      </c>
      <c r="S54" s="48" t="n"/>
      <c r="T54" s="58">
        <f>IFERROR(INDEX('Báo giá'!$E$4:$E$203,MATCH($C54,'Báo giá'!$A$4:$A$203,0)),"")</f>
        <v/>
      </c>
      <c r="U54" s="59" t="n"/>
      <c r="V54" s="60" t="n"/>
      <c r="W54" s="61">
        <f>IFERROR(INDEX('Báo giá'!$G$4:$G$203,MATCH($C54,'Báo giá'!$A$4:$A$203,0)),"")</f>
        <v/>
      </c>
      <c r="X54" s="55" t="n"/>
      <c r="Y54" s="55" t="n"/>
      <c r="Z54" s="62" t="n"/>
    </row>
    <row r="55" ht="15" customHeight="1" s="30">
      <c r="A55" s="48" t="n"/>
      <c r="B55" s="52" t="n"/>
      <c r="C55" s="48" t="n"/>
      <c r="D55" s="35">
        <f>IFERROR(INDEX('Báo giá'!$C$4:$C$203,MATCH($C55,'Báo giá'!$A$4:$A$203,0)),"")</f>
        <v/>
      </c>
      <c r="E55" s="35">
        <f>IFERROR(INDEX('Khách hàng'!$B$4:$B$103,MATCH($D55,'Khách hàng'!$A$4:$A$103,0)),"")</f>
        <v/>
      </c>
      <c r="F55" s="48" t="n"/>
      <c r="G55" s="52" t="n"/>
      <c r="H55" s="50" t="n"/>
      <c r="I55" s="41">
        <f>IFERROR(INDEX('Báo giá'!$H$4:$H$203,MATCH($C55,'Báo giá'!$A$4:$A$203,0)),"")</f>
        <v/>
      </c>
      <c r="J55" s="52" t="n"/>
      <c r="K55" s="52" t="n"/>
      <c r="L55" s="35">
        <f>IF($A55="","",IF($K55="",IF($J55="","Chưa có kế hoạch",IF(TODAY()&gt;$J55,"Trễ hạn","Đang thực hiện")),IF($K55&lt;=$J55,"Đúng hạn","Giao trễ")))</f>
        <v/>
      </c>
      <c r="M55" s="41">
        <f>IF($A55="","",IF($K55="",IF($J55="",0,MAX(0,TODAY()-$J55)),MAX(0,$K55-$J55)))</f>
        <v/>
      </c>
      <c r="N55" s="48" t="n"/>
      <c r="O55" s="53" t="n"/>
      <c r="P55" s="57">
        <f>IF($A55="","",IF(IF($Y55="",$K55,$Y55)="","",IF($Y55="",$K55,$Y55)+IF($Z55="",0,$Z55)))</f>
        <v/>
      </c>
      <c r="Q55" s="54">
        <f>IFERROR(MONTH($G55),"")</f>
        <v/>
      </c>
      <c r="R55" s="54">
        <f>IFERROR(YEAR($G55),"")</f>
        <v/>
      </c>
      <c r="S55" s="48" t="n"/>
      <c r="T55" s="58">
        <f>IFERROR(INDEX('Báo giá'!$E$4:$E$203,MATCH($C55,'Báo giá'!$A$4:$A$203,0)),"")</f>
        <v/>
      </c>
      <c r="U55" s="59" t="n"/>
      <c r="V55" s="60" t="n"/>
      <c r="W55" s="61">
        <f>IFERROR(INDEX('Báo giá'!$G$4:$G$203,MATCH($C55,'Báo giá'!$A$4:$A$203,0)),"")</f>
        <v/>
      </c>
      <c r="X55" s="55" t="n"/>
      <c r="Y55" s="55" t="n"/>
      <c r="Z55" s="62" t="n"/>
    </row>
    <row r="56" ht="15" customHeight="1" s="30">
      <c r="A56" s="48" t="n"/>
      <c r="B56" s="52" t="n"/>
      <c r="C56" s="48" t="n"/>
      <c r="D56" s="35">
        <f>IFERROR(INDEX('Báo giá'!$C$4:$C$203,MATCH($C56,'Báo giá'!$A$4:$A$203,0)),"")</f>
        <v/>
      </c>
      <c r="E56" s="35">
        <f>IFERROR(INDEX('Khách hàng'!$B$4:$B$103,MATCH($D56,'Khách hàng'!$A$4:$A$103,0)),"")</f>
        <v/>
      </c>
      <c r="F56" s="48" t="n"/>
      <c r="G56" s="52" t="n"/>
      <c r="H56" s="50" t="n"/>
      <c r="I56" s="41">
        <f>IFERROR(INDEX('Báo giá'!$H$4:$H$203,MATCH($C56,'Báo giá'!$A$4:$A$203,0)),"")</f>
        <v/>
      </c>
      <c r="J56" s="52" t="n"/>
      <c r="K56" s="52" t="n"/>
      <c r="L56" s="35">
        <f>IF($A56="","",IF($K56="",IF($J56="","Chưa có kế hoạch",IF(TODAY()&gt;$J56,"Trễ hạn","Đang thực hiện")),IF($K56&lt;=$J56,"Đúng hạn","Giao trễ")))</f>
        <v/>
      </c>
      <c r="M56" s="41">
        <f>IF($A56="","",IF($K56="",IF($J56="",0,MAX(0,TODAY()-$J56)),MAX(0,$K56-$J56)))</f>
        <v/>
      </c>
      <c r="N56" s="48" t="n"/>
      <c r="O56" s="53" t="n"/>
      <c r="P56" s="57">
        <f>IF($A56="","",IF(IF($Y56="",$K56,$Y56)="","",IF($Y56="",$K56,$Y56)+IF($Z56="",0,$Z56)))</f>
        <v/>
      </c>
      <c r="Q56" s="54">
        <f>IFERROR(MONTH($G56),"")</f>
        <v/>
      </c>
      <c r="R56" s="54">
        <f>IFERROR(YEAR($G56),"")</f>
        <v/>
      </c>
      <c r="S56" s="48" t="n"/>
      <c r="T56" s="58">
        <f>IFERROR(INDEX('Báo giá'!$E$4:$E$203,MATCH($C56,'Báo giá'!$A$4:$A$203,0)),"")</f>
        <v/>
      </c>
      <c r="U56" s="59" t="n"/>
      <c r="V56" s="60" t="n"/>
      <c r="W56" s="61">
        <f>IFERROR(INDEX('Báo giá'!$G$4:$G$203,MATCH($C56,'Báo giá'!$A$4:$A$203,0)),"")</f>
        <v/>
      </c>
      <c r="X56" s="55" t="n"/>
      <c r="Y56" s="55" t="n"/>
      <c r="Z56" s="62" t="n"/>
    </row>
    <row r="57" ht="15" customHeight="1" s="30">
      <c r="A57" s="48" t="n"/>
      <c r="B57" s="52" t="n"/>
      <c r="C57" s="48" t="n"/>
      <c r="D57" s="35">
        <f>IFERROR(INDEX('Báo giá'!$C$4:$C$203,MATCH($C57,'Báo giá'!$A$4:$A$203,0)),"")</f>
        <v/>
      </c>
      <c r="E57" s="35">
        <f>IFERROR(INDEX('Khách hàng'!$B$4:$B$103,MATCH($D57,'Khách hàng'!$A$4:$A$103,0)),"")</f>
        <v/>
      </c>
      <c r="F57" s="48" t="n"/>
      <c r="G57" s="52" t="n"/>
      <c r="H57" s="50" t="n"/>
      <c r="I57" s="41">
        <f>IFERROR(INDEX('Báo giá'!$H$4:$H$203,MATCH($C57,'Báo giá'!$A$4:$A$203,0)),"")</f>
        <v/>
      </c>
      <c r="J57" s="52" t="n"/>
      <c r="K57" s="52" t="n"/>
      <c r="L57" s="35">
        <f>IF($A57="","",IF($K57="",IF($J57="","Chưa có kế hoạch",IF(TODAY()&gt;$J57,"Trễ hạn","Đang thực hiện")),IF($K57&lt;=$J57,"Đúng hạn","Giao trễ")))</f>
        <v/>
      </c>
      <c r="M57" s="41">
        <f>IF($A57="","",IF($K57="",IF($J57="",0,MAX(0,TODAY()-$J57)),MAX(0,$K57-$J57)))</f>
        <v/>
      </c>
      <c r="N57" s="48" t="n"/>
      <c r="O57" s="53" t="n"/>
      <c r="P57" s="57">
        <f>IF($A57="","",IF(IF($Y57="",$K57,$Y57)="","",IF($Y57="",$K57,$Y57)+IF($Z57="",0,$Z57)))</f>
        <v/>
      </c>
      <c r="Q57" s="54">
        <f>IFERROR(MONTH($G57),"")</f>
        <v/>
      </c>
      <c r="R57" s="54">
        <f>IFERROR(YEAR($G57),"")</f>
        <v/>
      </c>
      <c r="S57" s="48" t="n"/>
      <c r="T57" s="58">
        <f>IFERROR(INDEX('Báo giá'!$E$4:$E$203,MATCH($C57,'Báo giá'!$A$4:$A$203,0)),"")</f>
        <v/>
      </c>
      <c r="U57" s="59" t="n"/>
      <c r="V57" s="60" t="n"/>
      <c r="W57" s="61">
        <f>IFERROR(INDEX('Báo giá'!$G$4:$G$203,MATCH($C57,'Báo giá'!$A$4:$A$203,0)),"")</f>
        <v/>
      </c>
      <c r="X57" s="55" t="n"/>
      <c r="Y57" s="55" t="n"/>
      <c r="Z57" s="62" t="n"/>
    </row>
    <row r="58" ht="15" customHeight="1" s="30">
      <c r="A58" s="48" t="n"/>
      <c r="B58" s="52" t="n"/>
      <c r="C58" s="48" t="n"/>
      <c r="D58" s="35">
        <f>IFERROR(INDEX('Báo giá'!$C$4:$C$203,MATCH($C58,'Báo giá'!$A$4:$A$203,0)),"")</f>
        <v/>
      </c>
      <c r="E58" s="35">
        <f>IFERROR(INDEX('Khách hàng'!$B$4:$B$103,MATCH($D58,'Khách hàng'!$A$4:$A$103,0)),"")</f>
        <v/>
      </c>
      <c r="F58" s="48" t="n"/>
      <c r="G58" s="52" t="n"/>
      <c r="H58" s="50" t="n"/>
      <c r="I58" s="41">
        <f>IFERROR(INDEX('Báo giá'!$H$4:$H$203,MATCH($C58,'Báo giá'!$A$4:$A$203,0)),"")</f>
        <v/>
      </c>
      <c r="J58" s="52" t="n"/>
      <c r="K58" s="52" t="n"/>
      <c r="L58" s="35">
        <f>IF($A58="","",IF($K58="",IF($J58="","Chưa có kế hoạch",IF(TODAY()&gt;$J58,"Trễ hạn","Đang thực hiện")),IF($K58&lt;=$J58,"Đúng hạn","Giao trễ")))</f>
        <v/>
      </c>
      <c r="M58" s="41">
        <f>IF($A58="","",IF($K58="",IF($J58="",0,MAX(0,TODAY()-$J58)),MAX(0,$K58-$J58)))</f>
        <v/>
      </c>
      <c r="N58" s="48" t="n"/>
      <c r="O58" s="53" t="n"/>
      <c r="P58" s="57">
        <f>IF($A58="","",IF(IF($Y58="",$K58,$Y58)="","",IF($Y58="",$K58,$Y58)+IF($Z58="",0,$Z58)))</f>
        <v/>
      </c>
      <c r="Q58" s="54">
        <f>IFERROR(MONTH($G58),"")</f>
        <v/>
      </c>
      <c r="R58" s="54">
        <f>IFERROR(YEAR($G58),"")</f>
        <v/>
      </c>
      <c r="S58" s="48" t="n"/>
      <c r="T58" s="58">
        <f>IFERROR(INDEX('Báo giá'!$E$4:$E$203,MATCH($C58,'Báo giá'!$A$4:$A$203,0)),"")</f>
        <v/>
      </c>
      <c r="U58" s="59" t="n"/>
      <c r="V58" s="60" t="n"/>
      <c r="W58" s="61">
        <f>IFERROR(INDEX('Báo giá'!$G$4:$G$203,MATCH($C58,'Báo giá'!$A$4:$A$203,0)),"")</f>
        <v/>
      </c>
      <c r="X58" s="55" t="n"/>
      <c r="Y58" s="55" t="n"/>
      <c r="Z58" s="62" t="n"/>
    </row>
    <row r="59" ht="15" customHeight="1" s="30">
      <c r="A59" s="48" t="n"/>
      <c r="B59" s="52" t="n"/>
      <c r="C59" s="48" t="n"/>
      <c r="D59" s="35">
        <f>IFERROR(INDEX('Báo giá'!$C$4:$C$203,MATCH($C59,'Báo giá'!$A$4:$A$203,0)),"")</f>
        <v/>
      </c>
      <c r="E59" s="35">
        <f>IFERROR(INDEX('Khách hàng'!$B$4:$B$103,MATCH($D59,'Khách hàng'!$A$4:$A$103,0)),"")</f>
        <v/>
      </c>
      <c r="F59" s="48" t="n"/>
      <c r="G59" s="52" t="n"/>
      <c r="H59" s="50" t="n"/>
      <c r="I59" s="41">
        <f>IFERROR(INDEX('Báo giá'!$H$4:$H$203,MATCH($C59,'Báo giá'!$A$4:$A$203,0)),"")</f>
        <v/>
      </c>
      <c r="J59" s="52" t="n"/>
      <c r="K59" s="52" t="n"/>
      <c r="L59" s="35">
        <f>IF($A59="","",IF($K59="",IF($J59="","Chưa có kế hoạch",IF(TODAY()&gt;$J59,"Trễ hạn","Đang thực hiện")),IF($K59&lt;=$J59,"Đúng hạn","Giao trễ")))</f>
        <v/>
      </c>
      <c r="M59" s="41">
        <f>IF($A59="","",IF($K59="",IF($J59="",0,MAX(0,TODAY()-$J59)),MAX(0,$K59-$J59)))</f>
        <v/>
      </c>
      <c r="N59" s="48" t="n"/>
      <c r="O59" s="53" t="n"/>
      <c r="P59" s="57">
        <f>IF($A59="","",IF(IF($Y59="",$K59,$Y59)="","",IF($Y59="",$K59,$Y59)+IF($Z59="",0,$Z59)))</f>
        <v/>
      </c>
      <c r="Q59" s="54">
        <f>IFERROR(MONTH($G59),"")</f>
        <v/>
      </c>
      <c r="R59" s="54">
        <f>IFERROR(YEAR($G59),"")</f>
        <v/>
      </c>
      <c r="S59" s="48" t="n"/>
      <c r="T59" s="58">
        <f>IFERROR(INDEX('Báo giá'!$E$4:$E$203,MATCH($C59,'Báo giá'!$A$4:$A$203,0)),"")</f>
        <v/>
      </c>
      <c r="U59" s="59" t="n"/>
      <c r="V59" s="60" t="n"/>
      <c r="W59" s="61">
        <f>IFERROR(INDEX('Báo giá'!$G$4:$G$203,MATCH($C59,'Báo giá'!$A$4:$A$203,0)),"")</f>
        <v/>
      </c>
      <c r="X59" s="55" t="n"/>
      <c r="Y59" s="55" t="n"/>
      <c r="Z59" s="62" t="n"/>
    </row>
    <row r="60" ht="15" customHeight="1" s="30">
      <c r="A60" s="48" t="n"/>
      <c r="B60" s="52" t="n"/>
      <c r="C60" s="48" t="n"/>
      <c r="D60" s="35">
        <f>IFERROR(INDEX('Báo giá'!$C$4:$C$203,MATCH($C60,'Báo giá'!$A$4:$A$203,0)),"")</f>
        <v/>
      </c>
      <c r="E60" s="35">
        <f>IFERROR(INDEX('Khách hàng'!$B$4:$B$103,MATCH($D60,'Khách hàng'!$A$4:$A$103,0)),"")</f>
        <v/>
      </c>
      <c r="F60" s="48" t="n"/>
      <c r="G60" s="52" t="n"/>
      <c r="H60" s="50" t="n"/>
      <c r="I60" s="41">
        <f>IFERROR(INDEX('Báo giá'!$H$4:$H$203,MATCH($C60,'Báo giá'!$A$4:$A$203,0)),"")</f>
        <v/>
      </c>
      <c r="J60" s="52" t="n"/>
      <c r="K60" s="52" t="n"/>
      <c r="L60" s="35">
        <f>IF($A60="","",IF($K60="",IF($J60="","Chưa có kế hoạch",IF(TODAY()&gt;$J60,"Trễ hạn","Đang thực hiện")),IF($K60&lt;=$J60,"Đúng hạn","Giao trễ")))</f>
        <v/>
      </c>
      <c r="M60" s="41">
        <f>IF($A60="","",IF($K60="",IF($J60="",0,MAX(0,TODAY()-$J60)),MAX(0,$K60-$J60)))</f>
        <v/>
      </c>
      <c r="N60" s="48" t="n"/>
      <c r="O60" s="53" t="n"/>
      <c r="P60" s="57">
        <f>IF($A60="","",IF(IF($Y60="",$K60,$Y60)="","",IF($Y60="",$K60,$Y60)+IF($Z60="",0,$Z60)))</f>
        <v/>
      </c>
      <c r="Q60" s="54">
        <f>IFERROR(MONTH($G60),"")</f>
        <v/>
      </c>
      <c r="R60" s="54">
        <f>IFERROR(YEAR($G60),"")</f>
        <v/>
      </c>
      <c r="S60" s="48" t="n"/>
      <c r="T60" s="58">
        <f>IFERROR(INDEX('Báo giá'!$E$4:$E$203,MATCH($C60,'Báo giá'!$A$4:$A$203,0)),"")</f>
        <v/>
      </c>
      <c r="U60" s="59" t="n"/>
      <c r="V60" s="60" t="n"/>
      <c r="W60" s="61">
        <f>IFERROR(INDEX('Báo giá'!$G$4:$G$203,MATCH($C60,'Báo giá'!$A$4:$A$203,0)),"")</f>
        <v/>
      </c>
      <c r="X60" s="55" t="n"/>
      <c r="Y60" s="55" t="n"/>
      <c r="Z60" s="62" t="n"/>
    </row>
    <row r="61" ht="15" customHeight="1" s="30">
      <c r="A61" s="48" t="n"/>
      <c r="B61" s="52" t="n"/>
      <c r="C61" s="48" t="n"/>
      <c r="D61" s="35">
        <f>IFERROR(INDEX('Báo giá'!$C$4:$C$203,MATCH($C61,'Báo giá'!$A$4:$A$203,0)),"")</f>
        <v/>
      </c>
      <c r="E61" s="35">
        <f>IFERROR(INDEX('Khách hàng'!$B$4:$B$103,MATCH($D61,'Khách hàng'!$A$4:$A$103,0)),"")</f>
        <v/>
      </c>
      <c r="F61" s="48" t="n"/>
      <c r="G61" s="52" t="n"/>
      <c r="H61" s="50" t="n"/>
      <c r="I61" s="41">
        <f>IFERROR(INDEX('Báo giá'!$H$4:$H$203,MATCH($C61,'Báo giá'!$A$4:$A$203,0)),"")</f>
        <v/>
      </c>
      <c r="J61" s="52" t="n"/>
      <c r="K61" s="52" t="n"/>
      <c r="L61" s="35">
        <f>IF($A61="","",IF($K61="",IF($J61="","Chưa có kế hoạch",IF(TODAY()&gt;$J61,"Trễ hạn","Đang thực hiện")),IF($K61&lt;=$J61,"Đúng hạn","Giao trễ")))</f>
        <v/>
      </c>
      <c r="M61" s="41">
        <f>IF($A61="","",IF($K61="",IF($J61="",0,MAX(0,TODAY()-$J61)),MAX(0,$K61-$J61)))</f>
        <v/>
      </c>
      <c r="N61" s="48" t="n"/>
      <c r="O61" s="53" t="n"/>
      <c r="P61" s="57">
        <f>IF($A61="","",IF(IF($Y61="",$K61,$Y61)="","",IF($Y61="",$K61,$Y61)+IF($Z61="",0,$Z61)))</f>
        <v/>
      </c>
      <c r="Q61" s="54">
        <f>IFERROR(MONTH($G61),"")</f>
        <v/>
      </c>
      <c r="R61" s="54">
        <f>IFERROR(YEAR($G61),"")</f>
        <v/>
      </c>
      <c r="S61" s="48" t="n"/>
      <c r="T61" s="58">
        <f>IFERROR(INDEX('Báo giá'!$E$4:$E$203,MATCH($C61,'Báo giá'!$A$4:$A$203,0)),"")</f>
        <v/>
      </c>
      <c r="U61" s="59" t="n"/>
      <c r="V61" s="60" t="n"/>
      <c r="W61" s="61">
        <f>IFERROR(INDEX('Báo giá'!$G$4:$G$203,MATCH($C61,'Báo giá'!$A$4:$A$203,0)),"")</f>
        <v/>
      </c>
      <c r="X61" s="55" t="n"/>
      <c r="Y61" s="55" t="n"/>
      <c r="Z61" s="62" t="n"/>
    </row>
    <row r="62" ht="15" customHeight="1" s="30">
      <c r="A62" s="48" t="n"/>
      <c r="B62" s="52" t="n"/>
      <c r="C62" s="48" t="n"/>
      <c r="D62" s="35">
        <f>IFERROR(INDEX('Báo giá'!$C$4:$C$203,MATCH($C62,'Báo giá'!$A$4:$A$203,0)),"")</f>
        <v/>
      </c>
      <c r="E62" s="35">
        <f>IFERROR(INDEX('Khách hàng'!$B$4:$B$103,MATCH($D62,'Khách hàng'!$A$4:$A$103,0)),"")</f>
        <v/>
      </c>
      <c r="F62" s="48" t="n"/>
      <c r="G62" s="52" t="n"/>
      <c r="H62" s="50" t="n"/>
      <c r="I62" s="41">
        <f>IFERROR(INDEX('Báo giá'!$H$4:$H$203,MATCH($C62,'Báo giá'!$A$4:$A$203,0)),"")</f>
        <v/>
      </c>
      <c r="J62" s="52" t="n"/>
      <c r="K62" s="52" t="n"/>
      <c r="L62" s="35">
        <f>IF($A62="","",IF($K62="",IF($J62="","Chưa có kế hoạch",IF(TODAY()&gt;$J62,"Trễ hạn","Đang thực hiện")),IF($K62&lt;=$J62,"Đúng hạn","Giao trễ")))</f>
        <v/>
      </c>
      <c r="M62" s="41">
        <f>IF($A62="","",IF($K62="",IF($J62="",0,MAX(0,TODAY()-$J62)),MAX(0,$K62-$J62)))</f>
        <v/>
      </c>
      <c r="N62" s="48" t="n"/>
      <c r="O62" s="53" t="n"/>
      <c r="P62" s="57">
        <f>IF($A62="","",IF(IF($Y62="",$K62,$Y62)="","",IF($Y62="",$K62,$Y62)+IF($Z62="",0,$Z62)))</f>
        <v/>
      </c>
      <c r="Q62" s="54">
        <f>IFERROR(MONTH($G62),"")</f>
        <v/>
      </c>
      <c r="R62" s="54">
        <f>IFERROR(YEAR($G62),"")</f>
        <v/>
      </c>
      <c r="S62" s="48" t="n"/>
      <c r="T62" s="58">
        <f>IFERROR(INDEX('Báo giá'!$E$4:$E$203,MATCH($C62,'Báo giá'!$A$4:$A$203,0)),"")</f>
        <v/>
      </c>
      <c r="U62" s="59" t="n"/>
      <c r="V62" s="60" t="n"/>
      <c r="W62" s="61">
        <f>IFERROR(INDEX('Báo giá'!$G$4:$G$203,MATCH($C62,'Báo giá'!$A$4:$A$203,0)),"")</f>
        <v/>
      </c>
      <c r="X62" s="55" t="n"/>
      <c r="Y62" s="55" t="n"/>
      <c r="Z62" s="62" t="n"/>
    </row>
    <row r="63" ht="15" customHeight="1" s="30">
      <c r="A63" s="48" t="n"/>
      <c r="B63" s="52" t="n"/>
      <c r="C63" s="48" t="n"/>
      <c r="D63" s="35">
        <f>IFERROR(INDEX('Báo giá'!$C$4:$C$203,MATCH($C63,'Báo giá'!$A$4:$A$203,0)),"")</f>
        <v/>
      </c>
      <c r="E63" s="35">
        <f>IFERROR(INDEX('Khách hàng'!$B$4:$B$103,MATCH($D63,'Khách hàng'!$A$4:$A$103,0)),"")</f>
        <v/>
      </c>
      <c r="F63" s="48" t="n"/>
      <c r="G63" s="52" t="n"/>
      <c r="H63" s="50" t="n"/>
      <c r="I63" s="41">
        <f>IFERROR(INDEX('Báo giá'!$H$4:$H$203,MATCH($C63,'Báo giá'!$A$4:$A$203,0)),"")</f>
        <v/>
      </c>
      <c r="J63" s="52" t="n"/>
      <c r="K63" s="52" t="n"/>
      <c r="L63" s="35">
        <f>IF($A63="","",IF($K63="",IF($J63="","Chưa có kế hoạch",IF(TODAY()&gt;$J63,"Trễ hạn","Đang thực hiện")),IF($K63&lt;=$J63,"Đúng hạn","Giao trễ")))</f>
        <v/>
      </c>
      <c r="M63" s="41">
        <f>IF($A63="","",IF($K63="",IF($J63="",0,MAX(0,TODAY()-$J63)),MAX(0,$K63-$J63)))</f>
        <v/>
      </c>
      <c r="N63" s="48" t="n"/>
      <c r="O63" s="53" t="n"/>
      <c r="P63" s="57">
        <f>IF($A63="","",IF(IF($Y63="",$K63,$Y63)="","",IF($Y63="",$K63,$Y63)+IF($Z63="",0,$Z63)))</f>
        <v/>
      </c>
      <c r="Q63" s="54">
        <f>IFERROR(MONTH($G63),"")</f>
        <v/>
      </c>
      <c r="R63" s="54">
        <f>IFERROR(YEAR($G63),"")</f>
        <v/>
      </c>
      <c r="S63" s="48" t="n"/>
      <c r="T63" s="58">
        <f>IFERROR(INDEX('Báo giá'!$E$4:$E$203,MATCH($C63,'Báo giá'!$A$4:$A$203,0)),"")</f>
        <v/>
      </c>
      <c r="U63" s="59" t="n"/>
      <c r="V63" s="60" t="n"/>
      <c r="W63" s="61">
        <f>IFERROR(INDEX('Báo giá'!$G$4:$G$203,MATCH($C63,'Báo giá'!$A$4:$A$203,0)),"")</f>
        <v/>
      </c>
      <c r="X63" s="55" t="n"/>
      <c r="Y63" s="55" t="n"/>
      <c r="Z63" s="62" t="n"/>
    </row>
    <row r="64" ht="15" customHeight="1" s="30">
      <c r="A64" s="48" t="n"/>
      <c r="B64" s="52" t="n"/>
      <c r="C64" s="48" t="n"/>
      <c r="D64" s="35">
        <f>IFERROR(INDEX('Báo giá'!$C$4:$C$203,MATCH($C64,'Báo giá'!$A$4:$A$203,0)),"")</f>
        <v/>
      </c>
      <c r="E64" s="35">
        <f>IFERROR(INDEX('Khách hàng'!$B$4:$B$103,MATCH($D64,'Khách hàng'!$A$4:$A$103,0)),"")</f>
        <v/>
      </c>
      <c r="F64" s="48" t="n"/>
      <c r="G64" s="52" t="n"/>
      <c r="H64" s="50" t="n"/>
      <c r="I64" s="41">
        <f>IFERROR(INDEX('Báo giá'!$H$4:$H$203,MATCH($C64,'Báo giá'!$A$4:$A$203,0)),"")</f>
        <v/>
      </c>
      <c r="J64" s="52" t="n"/>
      <c r="K64" s="52" t="n"/>
      <c r="L64" s="35">
        <f>IF($A64="","",IF($K64="",IF($J64="","Chưa có kế hoạch",IF(TODAY()&gt;$J64,"Trễ hạn","Đang thực hiện")),IF($K64&lt;=$J64,"Đúng hạn","Giao trễ")))</f>
        <v/>
      </c>
      <c r="M64" s="41">
        <f>IF($A64="","",IF($K64="",IF($J64="",0,MAX(0,TODAY()-$J64)),MAX(0,$K64-$J64)))</f>
        <v/>
      </c>
      <c r="N64" s="48" t="n"/>
      <c r="O64" s="53" t="n"/>
      <c r="P64" s="57">
        <f>IF($A64="","",IF(IF($Y64="",$K64,$Y64)="","",IF($Y64="",$K64,$Y64)+IF($Z64="",0,$Z64)))</f>
        <v/>
      </c>
      <c r="Q64" s="54">
        <f>IFERROR(MONTH($G64),"")</f>
        <v/>
      </c>
      <c r="R64" s="54">
        <f>IFERROR(YEAR($G64),"")</f>
        <v/>
      </c>
      <c r="S64" s="48" t="n"/>
      <c r="T64" s="58">
        <f>IFERROR(INDEX('Báo giá'!$E$4:$E$203,MATCH($C64,'Báo giá'!$A$4:$A$203,0)),"")</f>
        <v/>
      </c>
      <c r="U64" s="59" t="n"/>
      <c r="V64" s="60" t="n"/>
      <c r="W64" s="61">
        <f>IFERROR(INDEX('Báo giá'!$G$4:$G$203,MATCH($C64,'Báo giá'!$A$4:$A$203,0)),"")</f>
        <v/>
      </c>
      <c r="X64" s="55" t="n"/>
      <c r="Y64" s="55" t="n"/>
      <c r="Z64" s="62" t="n"/>
    </row>
    <row r="65" ht="15" customHeight="1" s="30">
      <c r="A65" s="48" t="n"/>
      <c r="B65" s="52" t="n"/>
      <c r="C65" s="48" t="n"/>
      <c r="D65" s="35">
        <f>IFERROR(INDEX('Báo giá'!$C$4:$C$203,MATCH($C65,'Báo giá'!$A$4:$A$203,0)),"")</f>
        <v/>
      </c>
      <c r="E65" s="35">
        <f>IFERROR(INDEX('Khách hàng'!$B$4:$B$103,MATCH($D65,'Khách hàng'!$A$4:$A$103,0)),"")</f>
        <v/>
      </c>
      <c r="F65" s="48" t="n"/>
      <c r="G65" s="52" t="n"/>
      <c r="H65" s="50" t="n"/>
      <c r="I65" s="41">
        <f>IFERROR(INDEX('Báo giá'!$H$4:$H$203,MATCH($C65,'Báo giá'!$A$4:$A$203,0)),"")</f>
        <v/>
      </c>
      <c r="J65" s="52" t="n"/>
      <c r="K65" s="52" t="n"/>
      <c r="L65" s="35">
        <f>IF($A65="","",IF($K65="",IF($J65="","Chưa có kế hoạch",IF(TODAY()&gt;$J65,"Trễ hạn","Đang thực hiện")),IF($K65&lt;=$J65,"Đúng hạn","Giao trễ")))</f>
        <v/>
      </c>
      <c r="M65" s="41">
        <f>IF($A65="","",IF($K65="",IF($J65="",0,MAX(0,TODAY()-$J65)),MAX(0,$K65-$J65)))</f>
        <v/>
      </c>
      <c r="N65" s="48" t="n"/>
      <c r="O65" s="53" t="n"/>
      <c r="P65" s="57">
        <f>IF($A65="","",IF(IF($Y65="",$K65,$Y65)="","",IF($Y65="",$K65,$Y65)+IF($Z65="",0,$Z65)))</f>
        <v/>
      </c>
      <c r="Q65" s="54">
        <f>IFERROR(MONTH($G65),"")</f>
        <v/>
      </c>
      <c r="R65" s="54">
        <f>IFERROR(YEAR($G65),"")</f>
        <v/>
      </c>
      <c r="S65" s="48" t="n"/>
      <c r="T65" s="58">
        <f>IFERROR(INDEX('Báo giá'!$E$4:$E$203,MATCH($C65,'Báo giá'!$A$4:$A$203,0)),"")</f>
        <v/>
      </c>
      <c r="U65" s="59" t="n"/>
      <c r="V65" s="60" t="n"/>
      <c r="W65" s="61">
        <f>IFERROR(INDEX('Báo giá'!$G$4:$G$203,MATCH($C65,'Báo giá'!$A$4:$A$203,0)),"")</f>
        <v/>
      </c>
      <c r="X65" s="55" t="n"/>
      <c r="Y65" s="55" t="n"/>
      <c r="Z65" s="62" t="n"/>
    </row>
    <row r="66" ht="15" customHeight="1" s="30">
      <c r="A66" s="48" t="n"/>
      <c r="B66" s="52" t="n"/>
      <c r="C66" s="48" t="n"/>
      <c r="D66" s="35">
        <f>IFERROR(INDEX('Báo giá'!$C$4:$C$203,MATCH($C66,'Báo giá'!$A$4:$A$203,0)),"")</f>
        <v/>
      </c>
      <c r="E66" s="35">
        <f>IFERROR(INDEX('Khách hàng'!$B$4:$B$103,MATCH($D66,'Khách hàng'!$A$4:$A$103,0)),"")</f>
        <v/>
      </c>
      <c r="F66" s="48" t="n"/>
      <c r="G66" s="52" t="n"/>
      <c r="H66" s="50" t="n"/>
      <c r="I66" s="41">
        <f>IFERROR(INDEX('Báo giá'!$H$4:$H$203,MATCH($C66,'Báo giá'!$A$4:$A$203,0)),"")</f>
        <v/>
      </c>
      <c r="J66" s="52" t="n"/>
      <c r="K66" s="52" t="n"/>
      <c r="L66" s="35">
        <f>IF($A66="","",IF($K66="",IF($J66="","Chưa có kế hoạch",IF(TODAY()&gt;$J66,"Trễ hạn","Đang thực hiện")),IF($K66&lt;=$J66,"Đúng hạn","Giao trễ")))</f>
        <v/>
      </c>
      <c r="M66" s="41">
        <f>IF($A66="","",IF($K66="",IF($J66="",0,MAX(0,TODAY()-$J66)),MAX(0,$K66-$J66)))</f>
        <v/>
      </c>
      <c r="N66" s="48" t="n"/>
      <c r="O66" s="53" t="n"/>
      <c r="P66" s="57">
        <f>IF($A66="","",IF(IF($Y66="",$K66,$Y66)="","",IF($Y66="",$K66,$Y66)+IF($Z66="",0,$Z66)))</f>
        <v/>
      </c>
      <c r="Q66" s="54">
        <f>IFERROR(MONTH($G66),"")</f>
        <v/>
      </c>
      <c r="R66" s="54">
        <f>IFERROR(YEAR($G66),"")</f>
        <v/>
      </c>
      <c r="S66" s="48" t="n"/>
      <c r="T66" s="58">
        <f>IFERROR(INDEX('Báo giá'!$E$4:$E$203,MATCH($C66,'Báo giá'!$A$4:$A$203,0)),"")</f>
        <v/>
      </c>
      <c r="U66" s="59" t="n"/>
      <c r="V66" s="60" t="n"/>
      <c r="W66" s="61">
        <f>IFERROR(INDEX('Báo giá'!$G$4:$G$203,MATCH($C66,'Báo giá'!$A$4:$A$203,0)),"")</f>
        <v/>
      </c>
      <c r="X66" s="55" t="n"/>
      <c r="Y66" s="55" t="n"/>
      <c r="Z66" s="62" t="n"/>
    </row>
    <row r="67" ht="15" customHeight="1" s="30">
      <c r="A67" s="48" t="n"/>
      <c r="B67" s="52" t="n"/>
      <c r="C67" s="48" t="n"/>
      <c r="D67" s="35">
        <f>IFERROR(INDEX('Báo giá'!$C$4:$C$203,MATCH($C67,'Báo giá'!$A$4:$A$203,0)),"")</f>
        <v/>
      </c>
      <c r="E67" s="35">
        <f>IFERROR(INDEX('Khách hàng'!$B$4:$B$103,MATCH($D67,'Khách hàng'!$A$4:$A$103,0)),"")</f>
        <v/>
      </c>
      <c r="F67" s="48" t="n"/>
      <c r="G67" s="52" t="n"/>
      <c r="H67" s="50" t="n"/>
      <c r="I67" s="41">
        <f>IFERROR(INDEX('Báo giá'!$H$4:$H$203,MATCH($C67,'Báo giá'!$A$4:$A$203,0)),"")</f>
        <v/>
      </c>
      <c r="J67" s="52" t="n"/>
      <c r="K67" s="52" t="n"/>
      <c r="L67" s="35">
        <f>IF($A67="","",IF($K67="",IF($J67="","Chưa có kế hoạch",IF(TODAY()&gt;$J67,"Trễ hạn","Đang thực hiện")),IF($K67&lt;=$J67,"Đúng hạn","Giao trễ")))</f>
        <v/>
      </c>
      <c r="M67" s="41">
        <f>IF($A67="","",IF($K67="",IF($J67="",0,MAX(0,TODAY()-$J67)),MAX(0,$K67-$J67)))</f>
        <v/>
      </c>
      <c r="N67" s="48" t="n"/>
      <c r="O67" s="53" t="n"/>
      <c r="P67" s="57">
        <f>IF($A67="","",IF(IF($Y67="",$K67,$Y67)="","",IF($Y67="",$K67,$Y67)+IF($Z67="",0,$Z67)))</f>
        <v/>
      </c>
      <c r="Q67" s="54">
        <f>IFERROR(MONTH($G67),"")</f>
        <v/>
      </c>
      <c r="R67" s="54">
        <f>IFERROR(YEAR($G67),"")</f>
        <v/>
      </c>
      <c r="S67" s="48" t="n"/>
      <c r="T67" s="58">
        <f>IFERROR(INDEX('Báo giá'!$E$4:$E$203,MATCH($C67,'Báo giá'!$A$4:$A$203,0)),"")</f>
        <v/>
      </c>
      <c r="U67" s="59" t="n"/>
      <c r="V67" s="60" t="n"/>
      <c r="W67" s="61">
        <f>IFERROR(INDEX('Báo giá'!$G$4:$G$203,MATCH($C67,'Báo giá'!$A$4:$A$203,0)),"")</f>
        <v/>
      </c>
      <c r="X67" s="55" t="n"/>
      <c r="Y67" s="55" t="n"/>
      <c r="Z67" s="62" t="n"/>
    </row>
    <row r="68" ht="15" customHeight="1" s="30">
      <c r="A68" s="48" t="n"/>
      <c r="B68" s="52" t="n"/>
      <c r="C68" s="48" t="n"/>
      <c r="D68" s="35">
        <f>IFERROR(INDEX('Báo giá'!$C$4:$C$203,MATCH($C68,'Báo giá'!$A$4:$A$203,0)),"")</f>
        <v/>
      </c>
      <c r="E68" s="35">
        <f>IFERROR(INDEX('Khách hàng'!$B$4:$B$103,MATCH($D68,'Khách hàng'!$A$4:$A$103,0)),"")</f>
        <v/>
      </c>
      <c r="F68" s="48" t="n"/>
      <c r="G68" s="52" t="n"/>
      <c r="H68" s="50" t="n"/>
      <c r="I68" s="41">
        <f>IFERROR(INDEX('Báo giá'!$H$4:$H$203,MATCH($C68,'Báo giá'!$A$4:$A$203,0)),"")</f>
        <v/>
      </c>
      <c r="J68" s="52" t="n"/>
      <c r="K68" s="52" t="n"/>
      <c r="L68" s="35">
        <f>IF($A68="","",IF($K68="",IF($J68="","Chưa có kế hoạch",IF(TODAY()&gt;$J68,"Trễ hạn","Đang thực hiện")),IF($K68&lt;=$J68,"Đúng hạn","Giao trễ")))</f>
        <v/>
      </c>
      <c r="M68" s="41">
        <f>IF($A68="","",IF($K68="",IF($J68="",0,MAX(0,TODAY()-$J68)),MAX(0,$K68-$J68)))</f>
        <v/>
      </c>
      <c r="N68" s="48" t="n"/>
      <c r="O68" s="53" t="n"/>
      <c r="P68" s="57">
        <f>IF($A68="","",IF(IF($Y68="",$K68,$Y68)="","",IF($Y68="",$K68,$Y68)+IF($Z68="",0,$Z68)))</f>
        <v/>
      </c>
      <c r="Q68" s="54">
        <f>IFERROR(MONTH($G68),"")</f>
        <v/>
      </c>
      <c r="R68" s="54">
        <f>IFERROR(YEAR($G68),"")</f>
        <v/>
      </c>
      <c r="S68" s="48" t="n"/>
      <c r="T68" s="58">
        <f>IFERROR(INDEX('Báo giá'!$E$4:$E$203,MATCH($C68,'Báo giá'!$A$4:$A$203,0)),"")</f>
        <v/>
      </c>
      <c r="U68" s="59" t="n"/>
      <c r="V68" s="60" t="n"/>
      <c r="W68" s="61">
        <f>IFERROR(INDEX('Báo giá'!$G$4:$G$203,MATCH($C68,'Báo giá'!$A$4:$A$203,0)),"")</f>
        <v/>
      </c>
      <c r="X68" s="55" t="n"/>
      <c r="Y68" s="55" t="n"/>
      <c r="Z68" s="62" t="n"/>
    </row>
    <row r="69" ht="15" customHeight="1" s="30">
      <c r="A69" s="48" t="n"/>
      <c r="B69" s="52" t="n"/>
      <c r="C69" s="48" t="n"/>
      <c r="D69" s="35">
        <f>IFERROR(INDEX('Báo giá'!$C$4:$C$203,MATCH($C69,'Báo giá'!$A$4:$A$203,0)),"")</f>
        <v/>
      </c>
      <c r="E69" s="35">
        <f>IFERROR(INDEX('Khách hàng'!$B$4:$B$103,MATCH($D69,'Khách hàng'!$A$4:$A$103,0)),"")</f>
        <v/>
      </c>
      <c r="F69" s="48" t="n"/>
      <c r="G69" s="52" t="n"/>
      <c r="H69" s="50" t="n"/>
      <c r="I69" s="41">
        <f>IFERROR(INDEX('Báo giá'!$H$4:$H$203,MATCH($C69,'Báo giá'!$A$4:$A$203,0)),"")</f>
        <v/>
      </c>
      <c r="J69" s="52" t="n"/>
      <c r="K69" s="52" t="n"/>
      <c r="L69" s="35">
        <f>IF($A69="","",IF($K69="",IF($J69="","Chưa có kế hoạch",IF(TODAY()&gt;$J69,"Trễ hạn","Đang thực hiện")),IF($K69&lt;=$J69,"Đúng hạn","Giao trễ")))</f>
        <v/>
      </c>
      <c r="M69" s="41">
        <f>IF($A69="","",IF($K69="",IF($J69="",0,MAX(0,TODAY()-$J69)),MAX(0,$K69-$J69)))</f>
        <v/>
      </c>
      <c r="N69" s="48" t="n"/>
      <c r="O69" s="53" t="n"/>
      <c r="P69" s="57">
        <f>IF($A69="","",IF(IF($Y69="",$K69,$Y69)="","",IF($Y69="",$K69,$Y69)+IF($Z69="",0,$Z69)))</f>
        <v/>
      </c>
      <c r="Q69" s="54">
        <f>IFERROR(MONTH($G69),"")</f>
        <v/>
      </c>
      <c r="R69" s="54">
        <f>IFERROR(YEAR($G69),"")</f>
        <v/>
      </c>
      <c r="S69" s="48" t="n"/>
      <c r="T69" s="58">
        <f>IFERROR(INDEX('Báo giá'!$E$4:$E$203,MATCH($C69,'Báo giá'!$A$4:$A$203,0)),"")</f>
        <v/>
      </c>
      <c r="U69" s="59" t="n"/>
      <c r="V69" s="60" t="n"/>
      <c r="W69" s="61">
        <f>IFERROR(INDEX('Báo giá'!$G$4:$G$203,MATCH($C69,'Báo giá'!$A$4:$A$203,0)),"")</f>
        <v/>
      </c>
      <c r="X69" s="55" t="n"/>
      <c r="Y69" s="55" t="n"/>
      <c r="Z69" s="62" t="n"/>
    </row>
    <row r="70" ht="15" customHeight="1" s="30">
      <c r="A70" s="48" t="n"/>
      <c r="B70" s="52" t="n"/>
      <c r="C70" s="48" t="n"/>
      <c r="D70" s="35">
        <f>IFERROR(INDEX('Báo giá'!$C$4:$C$203,MATCH($C70,'Báo giá'!$A$4:$A$203,0)),"")</f>
        <v/>
      </c>
      <c r="E70" s="35">
        <f>IFERROR(INDEX('Khách hàng'!$B$4:$B$103,MATCH($D70,'Khách hàng'!$A$4:$A$103,0)),"")</f>
        <v/>
      </c>
      <c r="F70" s="48" t="n"/>
      <c r="G70" s="52" t="n"/>
      <c r="H70" s="50" t="n"/>
      <c r="I70" s="41">
        <f>IFERROR(INDEX('Báo giá'!$H$4:$H$203,MATCH($C70,'Báo giá'!$A$4:$A$203,0)),"")</f>
        <v/>
      </c>
      <c r="J70" s="52" t="n"/>
      <c r="K70" s="52" t="n"/>
      <c r="L70" s="35">
        <f>IF($A70="","",IF($K70="",IF($J70="","Chưa có kế hoạch",IF(TODAY()&gt;$J70,"Trễ hạn","Đang thực hiện")),IF($K70&lt;=$J70,"Đúng hạn","Giao trễ")))</f>
        <v/>
      </c>
      <c r="M70" s="41">
        <f>IF($A70="","",IF($K70="",IF($J70="",0,MAX(0,TODAY()-$J70)),MAX(0,$K70-$J70)))</f>
        <v/>
      </c>
      <c r="N70" s="48" t="n"/>
      <c r="O70" s="53" t="n"/>
      <c r="P70" s="57">
        <f>IF($A70="","",IF(IF($Y70="",$K70,$Y70)="","",IF($Y70="",$K70,$Y70)+IF($Z70="",0,$Z70)))</f>
        <v/>
      </c>
      <c r="Q70" s="54">
        <f>IFERROR(MONTH($G70),"")</f>
        <v/>
      </c>
      <c r="R70" s="54">
        <f>IFERROR(YEAR($G70),"")</f>
        <v/>
      </c>
      <c r="S70" s="48" t="n"/>
      <c r="T70" s="58">
        <f>IFERROR(INDEX('Báo giá'!$E$4:$E$203,MATCH($C70,'Báo giá'!$A$4:$A$203,0)),"")</f>
        <v/>
      </c>
      <c r="U70" s="59" t="n"/>
      <c r="V70" s="60" t="n"/>
      <c r="W70" s="61">
        <f>IFERROR(INDEX('Báo giá'!$G$4:$G$203,MATCH($C70,'Báo giá'!$A$4:$A$203,0)),"")</f>
        <v/>
      </c>
      <c r="X70" s="55" t="n"/>
      <c r="Y70" s="55" t="n"/>
      <c r="Z70" s="62" t="n"/>
    </row>
    <row r="71" ht="15" customHeight="1" s="30">
      <c r="A71" s="48" t="n"/>
      <c r="B71" s="52" t="n"/>
      <c r="C71" s="48" t="n"/>
      <c r="D71" s="35">
        <f>IFERROR(INDEX('Báo giá'!$C$4:$C$203,MATCH($C71,'Báo giá'!$A$4:$A$203,0)),"")</f>
        <v/>
      </c>
      <c r="E71" s="35">
        <f>IFERROR(INDEX('Khách hàng'!$B$4:$B$103,MATCH($D71,'Khách hàng'!$A$4:$A$103,0)),"")</f>
        <v/>
      </c>
      <c r="F71" s="48" t="n"/>
      <c r="G71" s="52" t="n"/>
      <c r="H71" s="50" t="n"/>
      <c r="I71" s="41">
        <f>IFERROR(INDEX('Báo giá'!$H$4:$H$203,MATCH($C71,'Báo giá'!$A$4:$A$203,0)),"")</f>
        <v/>
      </c>
      <c r="J71" s="52" t="n"/>
      <c r="K71" s="52" t="n"/>
      <c r="L71" s="35">
        <f>IF($A71="","",IF($K71="",IF($J71="","Chưa có kế hoạch",IF(TODAY()&gt;$J71,"Trễ hạn","Đang thực hiện")),IF($K71&lt;=$J71,"Đúng hạn","Giao trễ")))</f>
        <v/>
      </c>
      <c r="M71" s="41">
        <f>IF($A71="","",IF($K71="",IF($J71="",0,MAX(0,TODAY()-$J71)),MAX(0,$K71-$J71)))</f>
        <v/>
      </c>
      <c r="N71" s="48" t="n"/>
      <c r="O71" s="53" t="n"/>
      <c r="P71" s="57">
        <f>IF($A71="","",IF(IF($Y71="",$K71,$Y71)="","",IF($Y71="",$K71,$Y71)+IF($Z71="",0,$Z71)))</f>
        <v/>
      </c>
      <c r="Q71" s="54">
        <f>IFERROR(MONTH($G71),"")</f>
        <v/>
      </c>
      <c r="R71" s="54">
        <f>IFERROR(YEAR($G71),"")</f>
        <v/>
      </c>
      <c r="S71" s="48" t="n"/>
      <c r="T71" s="58">
        <f>IFERROR(INDEX('Báo giá'!$E$4:$E$203,MATCH($C71,'Báo giá'!$A$4:$A$203,0)),"")</f>
        <v/>
      </c>
      <c r="U71" s="59" t="n"/>
      <c r="V71" s="60" t="n"/>
      <c r="W71" s="61">
        <f>IFERROR(INDEX('Báo giá'!$G$4:$G$203,MATCH($C71,'Báo giá'!$A$4:$A$203,0)),"")</f>
        <v/>
      </c>
      <c r="X71" s="55" t="n"/>
      <c r="Y71" s="55" t="n"/>
      <c r="Z71" s="62" t="n"/>
    </row>
    <row r="72" ht="15" customHeight="1" s="30">
      <c r="A72" s="48" t="n"/>
      <c r="B72" s="52" t="n"/>
      <c r="C72" s="48" t="n"/>
      <c r="D72" s="35">
        <f>IFERROR(INDEX('Báo giá'!$C$4:$C$203,MATCH($C72,'Báo giá'!$A$4:$A$203,0)),"")</f>
        <v/>
      </c>
      <c r="E72" s="35">
        <f>IFERROR(INDEX('Khách hàng'!$B$4:$B$103,MATCH($D72,'Khách hàng'!$A$4:$A$103,0)),"")</f>
        <v/>
      </c>
      <c r="F72" s="48" t="n"/>
      <c r="G72" s="52" t="n"/>
      <c r="H72" s="50" t="n"/>
      <c r="I72" s="41">
        <f>IFERROR(INDEX('Báo giá'!$H$4:$H$203,MATCH($C72,'Báo giá'!$A$4:$A$203,0)),"")</f>
        <v/>
      </c>
      <c r="J72" s="52" t="n"/>
      <c r="K72" s="52" t="n"/>
      <c r="L72" s="35">
        <f>IF($A72="","",IF($K72="",IF($J72="","Chưa có kế hoạch",IF(TODAY()&gt;$J72,"Trễ hạn","Đang thực hiện")),IF($K72&lt;=$J72,"Đúng hạn","Giao trễ")))</f>
        <v/>
      </c>
      <c r="M72" s="41">
        <f>IF($A72="","",IF($K72="",IF($J72="",0,MAX(0,TODAY()-$J72)),MAX(0,$K72-$J72)))</f>
        <v/>
      </c>
      <c r="N72" s="48" t="n"/>
      <c r="O72" s="53" t="n"/>
      <c r="P72" s="57">
        <f>IF($A72="","",IF(IF($Y72="",$K72,$Y72)="","",IF($Y72="",$K72,$Y72)+IF($Z72="",0,$Z72)))</f>
        <v/>
      </c>
      <c r="Q72" s="54">
        <f>IFERROR(MONTH($G72),"")</f>
        <v/>
      </c>
      <c r="R72" s="54">
        <f>IFERROR(YEAR($G72),"")</f>
        <v/>
      </c>
      <c r="S72" s="48" t="n"/>
      <c r="T72" s="58">
        <f>IFERROR(INDEX('Báo giá'!$E$4:$E$203,MATCH($C72,'Báo giá'!$A$4:$A$203,0)),"")</f>
        <v/>
      </c>
      <c r="U72" s="59" t="n"/>
      <c r="V72" s="60" t="n"/>
      <c r="W72" s="61">
        <f>IFERROR(INDEX('Báo giá'!$G$4:$G$203,MATCH($C72,'Báo giá'!$A$4:$A$203,0)),"")</f>
        <v/>
      </c>
      <c r="X72" s="55" t="n"/>
      <c r="Y72" s="55" t="n"/>
      <c r="Z72" s="62" t="n"/>
    </row>
    <row r="73" ht="15" customHeight="1" s="30">
      <c r="A73" s="48" t="n"/>
      <c r="B73" s="52" t="n"/>
      <c r="C73" s="48" t="n"/>
      <c r="D73" s="35">
        <f>IFERROR(INDEX('Báo giá'!$C$4:$C$203,MATCH($C73,'Báo giá'!$A$4:$A$203,0)),"")</f>
        <v/>
      </c>
      <c r="E73" s="35">
        <f>IFERROR(INDEX('Khách hàng'!$B$4:$B$103,MATCH($D73,'Khách hàng'!$A$4:$A$103,0)),"")</f>
        <v/>
      </c>
      <c r="F73" s="48" t="n"/>
      <c r="G73" s="52" t="n"/>
      <c r="H73" s="50" t="n"/>
      <c r="I73" s="41">
        <f>IFERROR(INDEX('Báo giá'!$H$4:$H$203,MATCH($C73,'Báo giá'!$A$4:$A$203,0)),"")</f>
        <v/>
      </c>
      <c r="J73" s="52" t="n"/>
      <c r="K73" s="52" t="n"/>
      <c r="L73" s="35">
        <f>IF($A73="","",IF($K73="",IF($J73="","Chưa có kế hoạch",IF(TODAY()&gt;$J73,"Trễ hạn","Đang thực hiện")),IF($K73&lt;=$J73,"Đúng hạn","Giao trễ")))</f>
        <v/>
      </c>
      <c r="M73" s="41">
        <f>IF($A73="","",IF($K73="",IF($J73="",0,MAX(0,TODAY()-$J73)),MAX(0,$K73-$J73)))</f>
        <v/>
      </c>
      <c r="N73" s="48" t="n"/>
      <c r="O73" s="53" t="n"/>
      <c r="P73" s="57">
        <f>IF($A73="","",IF(IF($Y73="",$K73,$Y73)="","",IF($Y73="",$K73,$Y73)+IF($Z73="",0,$Z73)))</f>
        <v/>
      </c>
      <c r="Q73" s="54">
        <f>IFERROR(MONTH($G73),"")</f>
        <v/>
      </c>
      <c r="R73" s="54">
        <f>IFERROR(YEAR($G73),"")</f>
        <v/>
      </c>
      <c r="S73" s="48" t="n"/>
      <c r="T73" s="58">
        <f>IFERROR(INDEX('Báo giá'!$E$4:$E$203,MATCH($C73,'Báo giá'!$A$4:$A$203,0)),"")</f>
        <v/>
      </c>
      <c r="U73" s="59" t="n"/>
      <c r="V73" s="60" t="n"/>
      <c r="W73" s="61">
        <f>IFERROR(INDEX('Báo giá'!$G$4:$G$203,MATCH($C73,'Báo giá'!$A$4:$A$203,0)),"")</f>
        <v/>
      </c>
      <c r="X73" s="55" t="n"/>
      <c r="Y73" s="55" t="n"/>
      <c r="Z73" s="62" t="n"/>
    </row>
    <row r="74" ht="15" customHeight="1" s="30">
      <c r="A74" s="48" t="n"/>
      <c r="B74" s="52" t="n"/>
      <c r="C74" s="48" t="n"/>
      <c r="D74" s="35">
        <f>IFERROR(INDEX('Báo giá'!$C$4:$C$203,MATCH($C74,'Báo giá'!$A$4:$A$203,0)),"")</f>
        <v/>
      </c>
      <c r="E74" s="35">
        <f>IFERROR(INDEX('Khách hàng'!$B$4:$B$103,MATCH($D74,'Khách hàng'!$A$4:$A$103,0)),"")</f>
        <v/>
      </c>
      <c r="F74" s="48" t="n"/>
      <c r="G74" s="52" t="n"/>
      <c r="H74" s="50" t="n"/>
      <c r="I74" s="41">
        <f>IFERROR(INDEX('Báo giá'!$H$4:$H$203,MATCH($C74,'Báo giá'!$A$4:$A$203,0)),"")</f>
        <v/>
      </c>
      <c r="J74" s="52" t="n"/>
      <c r="K74" s="52" t="n"/>
      <c r="L74" s="35">
        <f>IF($A74="","",IF($K74="",IF($J74="","Chưa có kế hoạch",IF(TODAY()&gt;$J74,"Trễ hạn","Đang thực hiện")),IF($K74&lt;=$J74,"Đúng hạn","Giao trễ")))</f>
        <v/>
      </c>
      <c r="M74" s="41">
        <f>IF($A74="","",IF($K74="",IF($J74="",0,MAX(0,TODAY()-$J74)),MAX(0,$K74-$J74)))</f>
        <v/>
      </c>
      <c r="N74" s="48" t="n"/>
      <c r="O74" s="53" t="n"/>
      <c r="P74" s="57">
        <f>IF($A74="","",IF(IF($Y74="",$K74,$Y74)="","",IF($Y74="",$K74,$Y74)+IF($Z74="",0,$Z74)))</f>
        <v/>
      </c>
      <c r="Q74" s="54">
        <f>IFERROR(MONTH($G74),"")</f>
        <v/>
      </c>
      <c r="R74" s="54">
        <f>IFERROR(YEAR($G74),"")</f>
        <v/>
      </c>
      <c r="S74" s="48" t="n"/>
      <c r="T74" s="58">
        <f>IFERROR(INDEX('Báo giá'!$E$4:$E$203,MATCH($C74,'Báo giá'!$A$4:$A$203,0)),"")</f>
        <v/>
      </c>
      <c r="U74" s="59" t="n"/>
      <c r="V74" s="60" t="n"/>
      <c r="W74" s="61">
        <f>IFERROR(INDEX('Báo giá'!$G$4:$G$203,MATCH($C74,'Báo giá'!$A$4:$A$203,0)),"")</f>
        <v/>
      </c>
      <c r="X74" s="55" t="n"/>
      <c r="Y74" s="55" t="n"/>
      <c r="Z74" s="62" t="n"/>
    </row>
    <row r="75" ht="15" customHeight="1" s="30">
      <c r="A75" s="48" t="n"/>
      <c r="B75" s="52" t="n"/>
      <c r="C75" s="48" t="n"/>
      <c r="D75" s="35">
        <f>IFERROR(INDEX('Báo giá'!$C$4:$C$203,MATCH($C75,'Báo giá'!$A$4:$A$203,0)),"")</f>
        <v/>
      </c>
      <c r="E75" s="35">
        <f>IFERROR(INDEX('Khách hàng'!$B$4:$B$103,MATCH($D75,'Khách hàng'!$A$4:$A$103,0)),"")</f>
        <v/>
      </c>
      <c r="F75" s="48" t="n"/>
      <c r="G75" s="52" t="n"/>
      <c r="H75" s="50" t="n"/>
      <c r="I75" s="41">
        <f>IFERROR(INDEX('Báo giá'!$H$4:$H$203,MATCH($C75,'Báo giá'!$A$4:$A$203,0)),"")</f>
        <v/>
      </c>
      <c r="J75" s="52" t="n"/>
      <c r="K75" s="52" t="n"/>
      <c r="L75" s="35">
        <f>IF($A75="","",IF($K75="",IF($J75="","Chưa có kế hoạch",IF(TODAY()&gt;$J75,"Trễ hạn","Đang thực hiện")),IF($K75&lt;=$J75,"Đúng hạn","Giao trễ")))</f>
        <v/>
      </c>
      <c r="M75" s="41">
        <f>IF($A75="","",IF($K75="",IF($J75="",0,MAX(0,TODAY()-$J75)),MAX(0,$K75-$J75)))</f>
        <v/>
      </c>
      <c r="N75" s="48" t="n"/>
      <c r="O75" s="53" t="n"/>
      <c r="P75" s="57">
        <f>IF($A75="","",IF(IF($Y75="",$K75,$Y75)="","",IF($Y75="",$K75,$Y75)+IF($Z75="",0,$Z75)))</f>
        <v/>
      </c>
      <c r="Q75" s="54">
        <f>IFERROR(MONTH($G75),"")</f>
        <v/>
      </c>
      <c r="R75" s="54">
        <f>IFERROR(YEAR($G75),"")</f>
        <v/>
      </c>
      <c r="S75" s="48" t="n"/>
      <c r="T75" s="58">
        <f>IFERROR(INDEX('Báo giá'!$E$4:$E$203,MATCH($C75,'Báo giá'!$A$4:$A$203,0)),"")</f>
        <v/>
      </c>
      <c r="U75" s="59" t="n"/>
      <c r="V75" s="60" t="n"/>
      <c r="W75" s="61">
        <f>IFERROR(INDEX('Báo giá'!$G$4:$G$203,MATCH($C75,'Báo giá'!$A$4:$A$203,0)),"")</f>
        <v/>
      </c>
      <c r="X75" s="55" t="n"/>
      <c r="Y75" s="55" t="n"/>
      <c r="Z75" s="62" t="n"/>
    </row>
    <row r="76" ht="15" customHeight="1" s="30">
      <c r="A76" s="48" t="n"/>
      <c r="B76" s="52" t="n"/>
      <c r="C76" s="48" t="n"/>
      <c r="D76" s="35">
        <f>IFERROR(INDEX('Báo giá'!$C$4:$C$203,MATCH($C76,'Báo giá'!$A$4:$A$203,0)),"")</f>
        <v/>
      </c>
      <c r="E76" s="35">
        <f>IFERROR(INDEX('Khách hàng'!$B$4:$B$103,MATCH($D76,'Khách hàng'!$A$4:$A$103,0)),"")</f>
        <v/>
      </c>
      <c r="F76" s="48" t="n"/>
      <c r="G76" s="52" t="n"/>
      <c r="H76" s="50" t="n"/>
      <c r="I76" s="41">
        <f>IFERROR(INDEX('Báo giá'!$H$4:$H$203,MATCH($C76,'Báo giá'!$A$4:$A$203,0)),"")</f>
        <v/>
      </c>
      <c r="J76" s="52" t="n"/>
      <c r="K76" s="52" t="n"/>
      <c r="L76" s="35">
        <f>IF($A76="","",IF($K76="",IF($J76="","Chưa có kế hoạch",IF(TODAY()&gt;$J76,"Trễ hạn","Đang thực hiện")),IF($K76&lt;=$J76,"Đúng hạn","Giao trễ")))</f>
        <v/>
      </c>
      <c r="M76" s="41">
        <f>IF($A76="","",IF($K76="",IF($J76="",0,MAX(0,TODAY()-$J76)),MAX(0,$K76-$J76)))</f>
        <v/>
      </c>
      <c r="N76" s="48" t="n"/>
      <c r="O76" s="53" t="n"/>
      <c r="P76" s="57">
        <f>IF($A76="","",IF(IF($Y76="",$K76,$Y76)="","",IF($Y76="",$K76,$Y76)+IF($Z76="",0,$Z76)))</f>
        <v/>
      </c>
      <c r="Q76" s="54">
        <f>IFERROR(MONTH($G76),"")</f>
        <v/>
      </c>
      <c r="R76" s="54">
        <f>IFERROR(YEAR($G76),"")</f>
        <v/>
      </c>
      <c r="S76" s="48" t="n"/>
      <c r="T76" s="58">
        <f>IFERROR(INDEX('Báo giá'!$E$4:$E$203,MATCH($C76,'Báo giá'!$A$4:$A$203,0)),"")</f>
        <v/>
      </c>
      <c r="U76" s="59" t="n"/>
      <c r="V76" s="60" t="n"/>
      <c r="W76" s="61">
        <f>IFERROR(INDEX('Báo giá'!$G$4:$G$203,MATCH($C76,'Báo giá'!$A$4:$A$203,0)),"")</f>
        <v/>
      </c>
      <c r="X76" s="55" t="n"/>
      <c r="Y76" s="55" t="n"/>
      <c r="Z76" s="62" t="n"/>
    </row>
    <row r="77" ht="15" customHeight="1" s="30">
      <c r="A77" s="48" t="n"/>
      <c r="B77" s="52" t="n"/>
      <c r="C77" s="48" t="n"/>
      <c r="D77" s="35">
        <f>IFERROR(INDEX('Báo giá'!$C$4:$C$203,MATCH($C77,'Báo giá'!$A$4:$A$203,0)),"")</f>
        <v/>
      </c>
      <c r="E77" s="35">
        <f>IFERROR(INDEX('Khách hàng'!$B$4:$B$103,MATCH($D77,'Khách hàng'!$A$4:$A$103,0)),"")</f>
        <v/>
      </c>
      <c r="F77" s="48" t="n"/>
      <c r="G77" s="52" t="n"/>
      <c r="H77" s="50" t="n"/>
      <c r="I77" s="41">
        <f>IFERROR(INDEX('Báo giá'!$H$4:$H$203,MATCH($C77,'Báo giá'!$A$4:$A$203,0)),"")</f>
        <v/>
      </c>
      <c r="J77" s="52" t="n"/>
      <c r="K77" s="52" t="n"/>
      <c r="L77" s="35">
        <f>IF($A77="","",IF($K77="",IF($J77="","Chưa có kế hoạch",IF(TODAY()&gt;$J77,"Trễ hạn","Đang thực hiện")),IF($K77&lt;=$J77,"Đúng hạn","Giao trễ")))</f>
        <v/>
      </c>
      <c r="M77" s="41">
        <f>IF($A77="","",IF($K77="",IF($J77="",0,MAX(0,TODAY()-$J77)),MAX(0,$K77-$J77)))</f>
        <v/>
      </c>
      <c r="N77" s="48" t="n"/>
      <c r="O77" s="53" t="n"/>
      <c r="P77" s="57">
        <f>IF($A77="","",IF(IF($Y77="",$K77,$Y77)="","",IF($Y77="",$K77,$Y77)+IF($Z77="",0,$Z77)))</f>
        <v/>
      </c>
      <c r="Q77" s="54">
        <f>IFERROR(MONTH($G77),"")</f>
        <v/>
      </c>
      <c r="R77" s="54">
        <f>IFERROR(YEAR($G77),"")</f>
        <v/>
      </c>
      <c r="S77" s="48" t="n"/>
      <c r="T77" s="58">
        <f>IFERROR(INDEX('Báo giá'!$E$4:$E$203,MATCH($C77,'Báo giá'!$A$4:$A$203,0)),"")</f>
        <v/>
      </c>
      <c r="U77" s="59" t="n"/>
      <c r="V77" s="60" t="n"/>
      <c r="W77" s="61">
        <f>IFERROR(INDEX('Báo giá'!$G$4:$G$203,MATCH($C77,'Báo giá'!$A$4:$A$203,0)),"")</f>
        <v/>
      </c>
      <c r="X77" s="55" t="n"/>
      <c r="Y77" s="55" t="n"/>
      <c r="Z77" s="62" t="n"/>
    </row>
    <row r="78" ht="15" customHeight="1" s="30">
      <c r="A78" s="48" t="n"/>
      <c r="B78" s="52" t="n"/>
      <c r="C78" s="48" t="n"/>
      <c r="D78" s="35">
        <f>IFERROR(INDEX('Báo giá'!$C$4:$C$203,MATCH($C78,'Báo giá'!$A$4:$A$203,0)),"")</f>
        <v/>
      </c>
      <c r="E78" s="35">
        <f>IFERROR(INDEX('Khách hàng'!$B$4:$B$103,MATCH($D78,'Khách hàng'!$A$4:$A$103,0)),"")</f>
        <v/>
      </c>
      <c r="F78" s="48" t="n"/>
      <c r="G78" s="52" t="n"/>
      <c r="H78" s="50" t="n"/>
      <c r="I78" s="41">
        <f>IFERROR(INDEX('Báo giá'!$H$4:$H$203,MATCH($C78,'Báo giá'!$A$4:$A$203,0)),"")</f>
        <v/>
      </c>
      <c r="J78" s="52" t="n"/>
      <c r="K78" s="52" t="n"/>
      <c r="L78" s="35">
        <f>IF($A78="","",IF($K78="",IF($J78="","Chưa có kế hoạch",IF(TODAY()&gt;$J78,"Trễ hạn","Đang thực hiện")),IF($K78&lt;=$J78,"Đúng hạn","Giao trễ")))</f>
        <v/>
      </c>
      <c r="M78" s="41">
        <f>IF($A78="","",IF($K78="",IF($J78="",0,MAX(0,TODAY()-$J78)),MAX(0,$K78-$J78)))</f>
        <v/>
      </c>
      <c r="N78" s="48" t="n"/>
      <c r="O78" s="53" t="n"/>
      <c r="P78" s="57">
        <f>IF($A78="","",IF(IF($Y78="",$K78,$Y78)="","",IF($Y78="",$K78,$Y78)+IF($Z78="",0,$Z78)))</f>
        <v/>
      </c>
      <c r="Q78" s="54">
        <f>IFERROR(MONTH($G78),"")</f>
        <v/>
      </c>
      <c r="R78" s="54">
        <f>IFERROR(YEAR($G78),"")</f>
        <v/>
      </c>
      <c r="S78" s="48" t="n"/>
      <c r="T78" s="58">
        <f>IFERROR(INDEX('Báo giá'!$E$4:$E$203,MATCH($C78,'Báo giá'!$A$4:$A$203,0)),"")</f>
        <v/>
      </c>
      <c r="U78" s="59" t="n"/>
      <c r="V78" s="60" t="n"/>
      <c r="W78" s="61">
        <f>IFERROR(INDEX('Báo giá'!$G$4:$G$203,MATCH($C78,'Báo giá'!$A$4:$A$203,0)),"")</f>
        <v/>
      </c>
      <c r="X78" s="55" t="n"/>
      <c r="Y78" s="55" t="n"/>
      <c r="Z78" s="62" t="n"/>
    </row>
    <row r="79" ht="15" customHeight="1" s="30">
      <c r="A79" s="48" t="n"/>
      <c r="B79" s="52" t="n"/>
      <c r="C79" s="48" t="n"/>
      <c r="D79" s="35">
        <f>IFERROR(INDEX('Báo giá'!$C$4:$C$203,MATCH($C79,'Báo giá'!$A$4:$A$203,0)),"")</f>
        <v/>
      </c>
      <c r="E79" s="35">
        <f>IFERROR(INDEX('Khách hàng'!$B$4:$B$103,MATCH($D79,'Khách hàng'!$A$4:$A$103,0)),"")</f>
        <v/>
      </c>
      <c r="F79" s="48" t="n"/>
      <c r="G79" s="52" t="n"/>
      <c r="H79" s="50" t="n"/>
      <c r="I79" s="41">
        <f>IFERROR(INDEX('Báo giá'!$H$4:$H$203,MATCH($C79,'Báo giá'!$A$4:$A$203,0)),"")</f>
        <v/>
      </c>
      <c r="J79" s="52" t="n"/>
      <c r="K79" s="52" t="n"/>
      <c r="L79" s="35">
        <f>IF($A79="","",IF($K79="",IF($J79="","Chưa có kế hoạch",IF(TODAY()&gt;$J79,"Trễ hạn","Đang thực hiện")),IF($K79&lt;=$J79,"Đúng hạn","Giao trễ")))</f>
        <v/>
      </c>
      <c r="M79" s="41">
        <f>IF($A79="","",IF($K79="",IF($J79="",0,MAX(0,TODAY()-$J79)),MAX(0,$K79-$J79)))</f>
        <v/>
      </c>
      <c r="N79" s="48" t="n"/>
      <c r="O79" s="53" t="n"/>
      <c r="P79" s="57">
        <f>IF($A79="","",IF(IF($Y79="",$K79,$Y79)="","",IF($Y79="",$K79,$Y79)+IF($Z79="",0,$Z79)))</f>
        <v/>
      </c>
      <c r="Q79" s="54">
        <f>IFERROR(MONTH($G79),"")</f>
        <v/>
      </c>
      <c r="R79" s="54">
        <f>IFERROR(YEAR($G79),"")</f>
        <v/>
      </c>
      <c r="S79" s="48" t="n"/>
      <c r="T79" s="58">
        <f>IFERROR(INDEX('Báo giá'!$E$4:$E$203,MATCH($C79,'Báo giá'!$A$4:$A$203,0)),"")</f>
        <v/>
      </c>
      <c r="U79" s="59" t="n"/>
      <c r="V79" s="60" t="n"/>
      <c r="W79" s="61">
        <f>IFERROR(INDEX('Báo giá'!$G$4:$G$203,MATCH($C79,'Báo giá'!$A$4:$A$203,0)),"")</f>
        <v/>
      </c>
      <c r="X79" s="55" t="n"/>
      <c r="Y79" s="55" t="n"/>
      <c r="Z79" s="62" t="n"/>
    </row>
    <row r="80" ht="15" customHeight="1" s="30">
      <c r="A80" s="48" t="n"/>
      <c r="B80" s="52" t="n"/>
      <c r="C80" s="48" t="n"/>
      <c r="D80" s="35">
        <f>IFERROR(INDEX('Báo giá'!$C$4:$C$203,MATCH($C80,'Báo giá'!$A$4:$A$203,0)),"")</f>
        <v/>
      </c>
      <c r="E80" s="35">
        <f>IFERROR(INDEX('Khách hàng'!$B$4:$B$103,MATCH($D80,'Khách hàng'!$A$4:$A$103,0)),"")</f>
        <v/>
      </c>
      <c r="F80" s="48" t="n"/>
      <c r="G80" s="52" t="n"/>
      <c r="H80" s="50" t="n"/>
      <c r="I80" s="41">
        <f>IFERROR(INDEX('Báo giá'!$H$4:$H$203,MATCH($C80,'Báo giá'!$A$4:$A$203,0)),"")</f>
        <v/>
      </c>
      <c r="J80" s="52" t="n"/>
      <c r="K80" s="52" t="n"/>
      <c r="L80" s="35">
        <f>IF($A80="","",IF($K80="",IF($J80="","Chưa có kế hoạch",IF(TODAY()&gt;$J80,"Trễ hạn","Đang thực hiện")),IF($K80&lt;=$J80,"Đúng hạn","Giao trễ")))</f>
        <v/>
      </c>
      <c r="M80" s="41">
        <f>IF($A80="","",IF($K80="",IF($J80="",0,MAX(0,TODAY()-$J80)),MAX(0,$K80-$J80)))</f>
        <v/>
      </c>
      <c r="N80" s="48" t="n"/>
      <c r="O80" s="53" t="n"/>
      <c r="P80" s="57">
        <f>IF($A80="","",IF(IF($Y80="",$K80,$Y80)="","",IF($Y80="",$K80,$Y80)+IF($Z80="",0,$Z80)))</f>
        <v/>
      </c>
      <c r="Q80" s="54">
        <f>IFERROR(MONTH($G80),"")</f>
        <v/>
      </c>
      <c r="R80" s="54">
        <f>IFERROR(YEAR($G80),"")</f>
        <v/>
      </c>
      <c r="S80" s="48" t="n"/>
      <c r="T80" s="58">
        <f>IFERROR(INDEX('Báo giá'!$E$4:$E$203,MATCH($C80,'Báo giá'!$A$4:$A$203,0)),"")</f>
        <v/>
      </c>
      <c r="U80" s="59" t="n"/>
      <c r="V80" s="60" t="n"/>
      <c r="W80" s="61">
        <f>IFERROR(INDEX('Báo giá'!$G$4:$G$203,MATCH($C80,'Báo giá'!$A$4:$A$203,0)),"")</f>
        <v/>
      </c>
      <c r="X80" s="55" t="n"/>
      <c r="Y80" s="55" t="n"/>
      <c r="Z80" s="62" t="n"/>
    </row>
    <row r="81" ht="15" customHeight="1" s="30">
      <c r="A81" s="48" t="n"/>
      <c r="B81" s="52" t="n"/>
      <c r="C81" s="48" t="n"/>
      <c r="D81" s="35">
        <f>IFERROR(INDEX('Báo giá'!$C$4:$C$203,MATCH($C81,'Báo giá'!$A$4:$A$203,0)),"")</f>
        <v/>
      </c>
      <c r="E81" s="35">
        <f>IFERROR(INDEX('Khách hàng'!$B$4:$B$103,MATCH($D81,'Khách hàng'!$A$4:$A$103,0)),"")</f>
        <v/>
      </c>
      <c r="F81" s="48" t="n"/>
      <c r="G81" s="52" t="n"/>
      <c r="H81" s="50" t="n"/>
      <c r="I81" s="41">
        <f>IFERROR(INDEX('Báo giá'!$H$4:$H$203,MATCH($C81,'Báo giá'!$A$4:$A$203,0)),"")</f>
        <v/>
      </c>
      <c r="J81" s="52" t="n"/>
      <c r="K81" s="52" t="n"/>
      <c r="L81" s="35">
        <f>IF($A81="","",IF($K81="",IF($J81="","Chưa có kế hoạch",IF(TODAY()&gt;$J81,"Trễ hạn","Đang thực hiện")),IF($K81&lt;=$J81,"Đúng hạn","Giao trễ")))</f>
        <v/>
      </c>
      <c r="M81" s="41">
        <f>IF($A81="","",IF($K81="",IF($J81="",0,MAX(0,TODAY()-$J81)),MAX(0,$K81-$J81)))</f>
        <v/>
      </c>
      <c r="N81" s="48" t="n"/>
      <c r="O81" s="53" t="n"/>
      <c r="P81" s="57">
        <f>IF($A81="","",IF(IF($Y81="",$K81,$Y81)="","",IF($Y81="",$K81,$Y81)+IF($Z81="",0,$Z81)))</f>
        <v/>
      </c>
      <c r="Q81" s="54">
        <f>IFERROR(MONTH($G81),"")</f>
        <v/>
      </c>
      <c r="R81" s="54">
        <f>IFERROR(YEAR($G81),"")</f>
        <v/>
      </c>
      <c r="S81" s="48" t="n"/>
      <c r="T81" s="58">
        <f>IFERROR(INDEX('Báo giá'!$E$4:$E$203,MATCH($C81,'Báo giá'!$A$4:$A$203,0)),"")</f>
        <v/>
      </c>
      <c r="U81" s="59" t="n"/>
      <c r="V81" s="60" t="n"/>
      <c r="W81" s="61">
        <f>IFERROR(INDEX('Báo giá'!$G$4:$G$203,MATCH($C81,'Báo giá'!$A$4:$A$203,0)),"")</f>
        <v/>
      </c>
      <c r="X81" s="55" t="n"/>
      <c r="Y81" s="55" t="n"/>
      <c r="Z81" s="62" t="n"/>
    </row>
    <row r="82" ht="15" customHeight="1" s="30">
      <c r="A82" s="48" t="n"/>
      <c r="B82" s="52" t="n"/>
      <c r="C82" s="48" t="n"/>
      <c r="D82" s="35">
        <f>IFERROR(INDEX('Báo giá'!$C$4:$C$203,MATCH($C82,'Báo giá'!$A$4:$A$203,0)),"")</f>
        <v/>
      </c>
      <c r="E82" s="35">
        <f>IFERROR(INDEX('Khách hàng'!$B$4:$B$103,MATCH($D82,'Khách hàng'!$A$4:$A$103,0)),"")</f>
        <v/>
      </c>
      <c r="F82" s="48" t="n"/>
      <c r="G82" s="52" t="n"/>
      <c r="H82" s="50" t="n"/>
      <c r="I82" s="41">
        <f>IFERROR(INDEX('Báo giá'!$H$4:$H$203,MATCH($C82,'Báo giá'!$A$4:$A$203,0)),"")</f>
        <v/>
      </c>
      <c r="J82" s="52" t="n"/>
      <c r="K82" s="52" t="n"/>
      <c r="L82" s="35">
        <f>IF($A82="","",IF($K82="",IF($J82="","Chưa có kế hoạch",IF(TODAY()&gt;$J82,"Trễ hạn","Đang thực hiện")),IF($K82&lt;=$J82,"Đúng hạn","Giao trễ")))</f>
        <v/>
      </c>
      <c r="M82" s="41">
        <f>IF($A82="","",IF($K82="",IF($J82="",0,MAX(0,TODAY()-$J82)),MAX(0,$K82-$J82)))</f>
        <v/>
      </c>
      <c r="N82" s="48" t="n"/>
      <c r="O82" s="53" t="n"/>
      <c r="P82" s="57">
        <f>IF($A82="","",IF(IF($Y82="",$K82,$Y82)="","",IF($Y82="",$K82,$Y82)+IF($Z82="",0,$Z82)))</f>
        <v/>
      </c>
      <c r="Q82" s="54">
        <f>IFERROR(MONTH($G82),"")</f>
        <v/>
      </c>
      <c r="R82" s="54">
        <f>IFERROR(YEAR($G82),"")</f>
        <v/>
      </c>
      <c r="S82" s="48" t="n"/>
      <c r="T82" s="58">
        <f>IFERROR(INDEX('Báo giá'!$E$4:$E$203,MATCH($C82,'Báo giá'!$A$4:$A$203,0)),"")</f>
        <v/>
      </c>
      <c r="U82" s="59" t="n"/>
      <c r="V82" s="60" t="n"/>
      <c r="W82" s="61">
        <f>IFERROR(INDEX('Báo giá'!$G$4:$G$203,MATCH($C82,'Báo giá'!$A$4:$A$203,0)),"")</f>
        <v/>
      </c>
      <c r="X82" s="55" t="n"/>
      <c r="Y82" s="55" t="n"/>
      <c r="Z82" s="62" t="n"/>
    </row>
    <row r="83" ht="15" customHeight="1" s="30">
      <c r="A83" s="48" t="n"/>
      <c r="B83" s="52" t="n"/>
      <c r="C83" s="48" t="n"/>
      <c r="D83" s="35">
        <f>IFERROR(INDEX('Báo giá'!$C$4:$C$203,MATCH($C83,'Báo giá'!$A$4:$A$203,0)),"")</f>
        <v/>
      </c>
      <c r="E83" s="35">
        <f>IFERROR(INDEX('Khách hàng'!$B$4:$B$103,MATCH($D83,'Khách hàng'!$A$4:$A$103,0)),"")</f>
        <v/>
      </c>
      <c r="F83" s="48" t="n"/>
      <c r="G83" s="52" t="n"/>
      <c r="H83" s="50" t="n"/>
      <c r="I83" s="41">
        <f>IFERROR(INDEX('Báo giá'!$H$4:$H$203,MATCH($C83,'Báo giá'!$A$4:$A$203,0)),"")</f>
        <v/>
      </c>
      <c r="J83" s="52" t="n"/>
      <c r="K83" s="52" t="n"/>
      <c r="L83" s="35">
        <f>IF($A83="","",IF($K83="",IF($J83="","Chưa có kế hoạch",IF(TODAY()&gt;$J83,"Trễ hạn","Đang thực hiện")),IF($K83&lt;=$J83,"Đúng hạn","Giao trễ")))</f>
        <v/>
      </c>
      <c r="M83" s="41">
        <f>IF($A83="","",IF($K83="",IF($J83="",0,MAX(0,TODAY()-$J83)),MAX(0,$K83-$J83)))</f>
        <v/>
      </c>
      <c r="N83" s="48" t="n"/>
      <c r="O83" s="53" t="n"/>
      <c r="P83" s="57">
        <f>IF($A83="","",IF(IF($Y83="",$K83,$Y83)="","",IF($Y83="",$K83,$Y83)+IF($Z83="",0,$Z83)))</f>
        <v/>
      </c>
      <c r="Q83" s="54">
        <f>IFERROR(MONTH($G83),"")</f>
        <v/>
      </c>
      <c r="R83" s="54">
        <f>IFERROR(YEAR($G83),"")</f>
        <v/>
      </c>
      <c r="S83" s="48" t="n"/>
      <c r="T83" s="58">
        <f>IFERROR(INDEX('Báo giá'!$E$4:$E$203,MATCH($C83,'Báo giá'!$A$4:$A$203,0)),"")</f>
        <v/>
      </c>
      <c r="U83" s="59" t="n"/>
      <c r="V83" s="60" t="n"/>
      <c r="W83" s="61">
        <f>IFERROR(INDEX('Báo giá'!$G$4:$G$203,MATCH($C83,'Báo giá'!$A$4:$A$203,0)),"")</f>
        <v/>
      </c>
      <c r="X83" s="55" t="n"/>
      <c r="Y83" s="55" t="n"/>
      <c r="Z83" s="62" t="n"/>
    </row>
    <row r="84" ht="15" customHeight="1" s="30">
      <c r="A84" s="48" t="n"/>
      <c r="B84" s="52" t="n"/>
      <c r="C84" s="48" t="n"/>
      <c r="D84" s="35">
        <f>IFERROR(INDEX('Báo giá'!$C$4:$C$203,MATCH($C84,'Báo giá'!$A$4:$A$203,0)),"")</f>
        <v/>
      </c>
      <c r="E84" s="35">
        <f>IFERROR(INDEX('Khách hàng'!$B$4:$B$103,MATCH($D84,'Khách hàng'!$A$4:$A$103,0)),"")</f>
        <v/>
      </c>
      <c r="F84" s="48" t="n"/>
      <c r="G84" s="52" t="n"/>
      <c r="H84" s="50" t="n"/>
      <c r="I84" s="41">
        <f>IFERROR(INDEX('Báo giá'!$H$4:$H$203,MATCH($C84,'Báo giá'!$A$4:$A$203,0)),"")</f>
        <v/>
      </c>
      <c r="J84" s="52" t="n"/>
      <c r="K84" s="52" t="n"/>
      <c r="L84" s="35">
        <f>IF($A84="","",IF($K84="",IF($J84="","Chưa có kế hoạch",IF(TODAY()&gt;$J84,"Trễ hạn","Đang thực hiện")),IF($K84&lt;=$J84,"Đúng hạn","Giao trễ")))</f>
        <v/>
      </c>
      <c r="M84" s="41">
        <f>IF($A84="","",IF($K84="",IF($J84="",0,MAX(0,TODAY()-$J84)),MAX(0,$K84-$J84)))</f>
        <v/>
      </c>
      <c r="N84" s="48" t="n"/>
      <c r="O84" s="53" t="n"/>
      <c r="P84" s="57">
        <f>IF($A84="","",IF(IF($Y84="",$K84,$Y84)="","",IF($Y84="",$K84,$Y84)+IF($Z84="",0,$Z84)))</f>
        <v/>
      </c>
      <c r="Q84" s="54">
        <f>IFERROR(MONTH($G84),"")</f>
        <v/>
      </c>
      <c r="R84" s="54">
        <f>IFERROR(YEAR($G84),"")</f>
        <v/>
      </c>
      <c r="S84" s="48" t="n"/>
      <c r="T84" s="58">
        <f>IFERROR(INDEX('Báo giá'!$E$4:$E$203,MATCH($C84,'Báo giá'!$A$4:$A$203,0)),"")</f>
        <v/>
      </c>
      <c r="U84" s="59" t="n"/>
      <c r="V84" s="60" t="n"/>
      <c r="W84" s="61">
        <f>IFERROR(INDEX('Báo giá'!$G$4:$G$203,MATCH($C84,'Báo giá'!$A$4:$A$203,0)),"")</f>
        <v/>
      </c>
      <c r="X84" s="55" t="n"/>
      <c r="Y84" s="55" t="n"/>
      <c r="Z84" s="62" t="n"/>
    </row>
    <row r="85" ht="15" customHeight="1" s="30">
      <c r="A85" s="48" t="n"/>
      <c r="B85" s="52" t="n"/>
      <c r="C85" s="48" t="n"/>
      <c r="D85" s="35">
        <f>IFERROR(INDEX('Báo giá'!$C$4:$C$203,MATCH($C85,'Báo giá'!$A$4:$A$203,0)),"")</f>
        <v/>
      </c>
      <c r="E85" s="35">
        <f>IFERROR(INDEX('Khách hàng'!$B$4:$B$103,MATCH($D85,'Khách hàng'!$A$4:$A$103,0)),"")</f>
        <v/>
      </c>
      <c r="F85" s="48" t="n"/>
      <c r="G85" s="52" t="n"/>
      <c r="H85" s="50" t="n"/>
      <c r="I85" s="41">
        <f>IFERROR(INDEX('Báo giá'!$H$4:$H$203,MATCH($C85,'Báo giá'!$A$4:$A$203,0)),"")</f>
        <v/>
      </c>
      <c r="J85" s="52" t="n"/>
      <c r="K85" s="52" t="n"/>
      <c r="L85" s="35">
        <f>IF($A85="","",IF($K85="",IF($J85="","Chưa có kế hoạch",IF(TODAY()&gt;$J85,"Trễ hạn","Đang thực hiện")),IF($K85&lt;=$J85,"Đúng hạn","Giao trễ")))</f>
        <v/>
      </c>
      <c r="M85" s="41">
        <f>IF($A85="","",IF($K85="",IF($J85="",0,MAX(0,TODAY()-$J85)),MAX(0,$K85-$J85)))</f>
        <v/>
      </c>
      <c r="N85" s="48" t="n"/>
      <c r="O85" s="53" t="n"/>
      <c r="P85" s="57">
        <f>IF($A85="","",IF(IF($Y85="",$K85,$Y85)="","",IF($Y85="",$K85,$Y85)+IF($Z85="",0,$Z85)))</f>
        <v/>
      </c>
      <c r="Q85" s="54">
        <f>IFERROR(MONTH($G85),"")</f>
        <v/>
      </c>
      <c r="R85" s="54">
        <f>IFERROR(YEAR($G85),"")</f>
        <v/>
      </c>
      <c r="S85" s="48" t="n"/>
      <c r="T85" s="58">
        <f>IFERROR(INDEX('Báo giá'!$E$4:$E$203,MATCH($C85,'Báo giá'!$A$4:$A$203,0)),"")</f>
        <v/>
      </c>
      <c r="U85" s="59" t="n"/>
      <c r="V85" s="60" t="n"/>
      <c r="W85" s="61">
        <f>IFERROR(INDEX('Báo giá'!$G$4:$G$203,MATCH($C85,'Báo giá'!$A$4:$A$203,0)),"")</f>
        <v/>
      </c>
      <c r="X85" s="55" t="n"/>
      <c r="Y85" s="55" t="n"/>
      <c r="Z85" s="62" t="n"/>
    </row>
    <row r="86" ht="15" customHeight="1" s="30">
      <c r="A86" s="48" t="n"/>
      <c r="B86" s="52" t="n"/>
      <c r="C86" s="48" t="n"/>
      <c r="D86" s="35">
        <f>IFERROR(INDEX('Báo giá'!$C$4:$C$203,MATCH($C86,'Báo giá'!$A$4:$A$203,0)),"")</f>
        <v/>
      </c>
      <c r="E86" s="35">
        <f>IFERROR(INDEX('Khách hàng'!$B$4:$B$103,MATCH($D86,'Khách hàng'!$A$4:$A$103,0)),"")</f>
        <v/>
      </c>
      <c r="F86" s="48" t="n"/>
      <c r="G86" s="52" t="n"/>
      <c r="H86" s="50" t="n"/>
      <c r="I86" s="41">
        <f>IFERROR(INDEX('Báo giá'!$H$4:$H$203,MATCH($C86,'Báo giá'!$A$4:$A$203,0)),"")</f>
        <v/>
      </c>
      <c r="J86" s="52" t="n"/>
      <c r="K86" s="52" t="n"/>
      <c r="L86" s="35">
        <f>IF($A86="","",IF($K86="",IF($J86="","Chưa có kế hoạch",IF(TODAY()&gt;$J86,"Trễ hạn","Đang thực hiện")),IF($K86&lt;=$J86,"Đúng hạn","Giao trễ")))</f>
        <v/>
      </c>
      <c r="M86" s="41">
        <f>IF($A86="","",IF($K86="",IF($J86="",0,MAX(0,TODAY()-$J86)),MAX(0,$K86-$J86)))</f>
        <v/>
      </c>
      <c r="N86" s="48" t="n"/>
      <c r="O86" s="53" t="n"/>
      <c r="P86" s="57">
        <f>IF($A86="","",IF(IF($Y86="",$K86,$Y86)="","",IF($Y86="",$K86,$Y86)+IF($Z86="",0,$Z86)))</f>
        <v/>
      </c>
      <c r="Q86" s="54">
        <f>IFERROR(MONTH($G86),"")</f>
        <v/>
      </c>
      <c r="R86" s="54">
        <f>IFERROR(YEAR($G86),"")</f>
        <v/>
      </c>
      <c r="S86" s="48" t="n"/>
      <c r="T86" s="58">
        <f>IFERROR(INDEX('Báo giá'!$E$4:$E$203,MATCH($C86,'Báo giá'!$A$4:$A$203,0)),"")</f>
        <v/>
      </c>
      <c r="U86" s="59" t="n"/>
      <c r="V86" s="60" t="n"/>
      <c r="W86" s="61">
        <f>IFERROR(INDEX('Báo giá'!$G$4:$G$203,MATCH($C86,'Báo giá'!$A$4:$A$203,0)),"")</f>
        <v/>
      </c>
      <c r="X86" s="55" t="n"/>
      <c r="Y86" s="55" t="n"/>
      <c r="Z86" s="62" t="n"/>
    </row>
    <row r="87" ht="15" customHeight="1" s="30">
      <c r="A87" s="48" t="n"/>
      <c r="B87" s="52" t="n"/>
      <c r="C87" s="48" t="n"/>
      <c r="D87" s="35">
        <f>IFERROR(INDEX('Báo giá'!$C$4:$C$203,MATCH($C87,'Báo giá'!$A$4:$A$203,0)),"")</f>
        <v/>
      </c>
      <c r="E87" s="35">
        <f>IFERROR(INDEX('Khách hàng'!$B$4:$B$103,MATCH($D87,'Khách hàng'!$A$4:$A$103,0)),"")</f>
        <v/>
      </c>
      <c r="F87" s="48" t="n"/>
      <c r="G87" s="52" t="n"/>
      <c r="H87" s="50" t="n"/>
      <c r="I87" s="41">
        <f>IFERROR(INDEX('Báo giá'!$H$4:$H$203,MATCH($C87,'Báo giá'!$A$4:$A$203,0)),"")</f>
        <v/>
      </c>
      <c r="J87" s="52" t="n"/>
      <c r="K87" s="52" t="n"/>
      <c r="L87" s="35">
        <f>IF($A87="","",IF($K87="",IF($J87="","Chưa có kế hoạch",IF(TODAY()&gt;$J87,"Trễ hạn","Đang thực hiện")),IF($K87&lt;=$J87,"Đúng hạn","Giao trễ")))</f>
        <v/>
      </c>
      <c r="M87" s="41">
        <f>IF($A87="","",IF($K87="",IF($J87="",0,MAX(0,TODAY()-$J87)),MAX(0,$K87-$J87)))</f>
        <v/>
      </c>
      <c r="N87" s="48" t="n"/>
      <c r="O87" s="53" t="n"/>
      <c r="P87" s="57">
        <f>IF($A87="","",IF(IF($Y87="",$K87,$Y87)="","",IF($Y87="",$K87,$Y87)+IF($Z87="",0,$Z87)))</f>
        <v/>
      </c>
      <c r="Q87" s="54">
        <f>IFERROR(MONTH($G87),"")</f>
        <v/>
      </c>
      <c r="R87" s="54">
        <f>IFERROR(YEAR($G87),"")</f>
        <v/>
      </c>
      <c r="S87" s="48" t="n"/>
      <c r="T87" s="58">
        <f>IFERROR(INDEX('Báo giá'!$E$4:$E$203,MATCH($C87,'Báo giá'!$A$4:$A$203,0)),"")</f>
        <v/>
      </c>
      <c r="U87" s="59" t="n"/>
      <c r="V87" s="60" t="n"/>
      <c r="W87" s="61">
        <f>IFERROR(INDEX('Báo giá'!$G$4:$G$203,MATCH($C87,'Báo giá'!$A$4:$A$203,0)),"")</f>
        <v/>
      </c>
      <c r="X87" s="55" t="n"/>
      <c r="Y87" s="55" t="n"/>
      <c r="Z87" s="62" t="n"/>
    </row>
    <row r="88" ht="15" customHeight="1" s="30">
      <c r="A88" s="48" t="n"/>
      <c r="B88" s="52" t="n"/>
      <c r="C88" s="48" t="n"/>
      <c r="D88" s="35">
        <f>IFERROR(INDEX('Báo giá'!$C$4:$C$203,MATCH($C88,'Báo giá'!$A$4:$A$203,0)),"")</f>
        <v/>
      </c>
      <c r="E88" s="35">
        <f>IFERROR(INDEX('Khách hàng'!$B$4:$B$103,MATCH($D88,'Khách hàng'!$A$4:$A$103,0)),"")</f>
        <v/>
      </c>
      <c r="F88" s="48" t="n"/>
      <c r="G88" s="52" t="n"/>
      <c r="H88" s="50" t="n"/>
      <c r="I88" s="41">
        <f>IFERROR(INDEX('Báo giá'!$H$4:$H$203,MATCH($C88,'Báo giá'!$A$4:$A$203,0)),"")</f>
        <v/>
      </c>
      <c r="J88" s="52" t="n"/>
      <c r="K88" s="52" t="n"/>
      <c r="L88" s="35">
        <f>IF($A88="","",IF($K88="",IF($J88="","Chưa có kế hoạch",IF(TODAY()&gt;$J88,"Trễ hạn","Đang thực hiện")),IF($K88&lt;=$J88,"Đúng hạn","Giao trễ")))</f>
        <v/>
      </c>
      <c r="M88" s="41">
        <f>IF($A88="","",IF($K88="",IF($J88="",0,MAX(0,TODAY()-$J88)),MAX(0,$K88-$J88)))</f>
        <v/>
      </c>
      <c r="N88" s="48" t="n"/>
      <c r="O88" s="53" t="n"/>
      <c r="P88" s="57">
        <f>IF($A88="","",IF(IF($Y88="",$K88,$Y88)="","",IF($Y88="",$K88,$Y88)+IF($Z88="",0,$Z88)))</f>
        <v/>
      </c>
      <c r="Q88" s="54">
        <f>IFERROR(MONTH($G88),"")</f>
        <v/>
      </c>
      <c r="R88" s="54">
        <f>IFERROR(YEAR($G88),"")</f>
        <v/>
      </c>
      <c r="S88" s="48" t="n"/>
      <c r="T88" s="58">
        <f>IFERROR(INDEX('Báo giá'!$E$4:$E$203,MATCH($C88,'Báo giá'!$A$4:$A$203,0)),"")</f>
        <v/>
      </c>
      <c r="U88" s="59" t="n"/>
      <c r="V88" s="60" t="n"/>
      <c r="W88" s="61">
        <f>IFERROR(INDEX('Báo giá'!$G$4:$G$203,MATCH($C88,'Báo giá'!$A$4:$A$203,0)),"")</f>
        <v/>
      </c>
      <c r="X88" s="55" t="n"/>
      <c r="Y88" s="55" t="n"/>
      <c r="Z88" s="62" t="n"/>
    </row>
    <row r="89" ht="15" customHeight="1" s="30">
      <c r="A89" s="48" t="n"/>
      <c r="B89" s="52" t="n"/>
      <c r="C89" s="48" t="n"/>
      <c r="D89" s="35">
        <f>IFERROR(INDEX('Báo giá'!$C$4:$C$203,MATCH($C89,'Báo giá'!$A$4:$A$203,0)),"")</f>
        <v/>
      </c>
      <c r="E89" s="35">
        <f>IFERROR(INDEX('Khách hàng'!$B$4:$B$103,MATCH($D89,'Khách hàng'!$A$4:$A$103,0)),"")</f>
        <v/>
      </c>
      <c r="F89" s="48" t="n"/>
      <c r="G89" s="52" t="n"/>
      <c r="H89" s="50" t="n"/>
      <c r="I89" s="41">
        <f>IFERROR(INDEX('Báo giá'!$H$4:$H$203,MATCH($C89,'Báo giá'!$A$4:$A$203,0)),"")</f>
        <v/>
      </c>
      <c r="J89" s="52" t="n"/>
      <c r="K89" s="52" t="n"/>
      <c r="L89" s="35">
        <f>IF($A89="","",IF($K89="",IF($J89="","Chưa có kế hoạch",IF(TODAY()&gt;$J89,"Trễ hạn","Đang thực hiện")),IF($K89&lt;=$J89,"Đúng hạn","Giao trễ")))</f>
        <v/>
      </c>
      <c r="M89" s="41">
        <f>IF($A89="","",IF($K89="",IF($J89="",0,MAX(0,TODAY()-$J89)),MAX(0,$K89-$J89)))</f>
        <v/>
      </c>
      <c r="N89" s="48" t="n"/>
      <c r="O89" s="53" t="n"/>
      <c r="P89" s="57">
        <f>IF($A89="","",IF(IF($Y89="",$K89,$Y89)="","",IF($Y89="",$K89,$Y89)+IF($Z89="",0,$Z89)))</f>
        <v/>
      </c>
      <c r="Q89" s="54">
        <f>IFERROR(MONTH($G89),"")</f>
        <v/>
      </c>
      <c r="R89" s="54">
        <f>IFERROR(YEAR($G89),"")</f>
        <v/>
      </c>
      <c r="S89" s="48" t="n"/>
      <c r="T89" s="58">
        <f>IFERROR(INDEX('Báo giá'!$E$4:$E$203,MATCH($C89,'Báo giá'!$A$4:$A$203,0)),"")</f>
        <v/>
      </c>
      <c r="U89" s="59" t="n"/>
      <c r="V89" s="60" t="n"/>
      <c r="W89" s="61">
        <f>IFERROR(INDEX('Báo giá'!$G$4:$G$203,MATCH($C89,'Báo giá'!$A$4:$A$203,0)),"")</f>
        <v/>
      </c>
      <c r="X89" s="55" t="n"/>
      <c r="Y89" s="55" t="n"/>
      <c r="Z89" s="62" t="n"/>
    </row>
    <row r="90" ht="15" customHeight="1" s="30">
      <c r="A90" s="48" t="n"/>
      <c r="B90" s="52" t="n"/>
      <c r="C90" s="48" t="n"/>
      <c r="D90" s="35">
        <f>IFERROR(INDEX('Báo giá'!$C$4:$C$203,MATCH($C90,'Báo giá'!$A$4:$A$203,0)),"")</f>
        <v/>
      </c>
      <c r="E90" s="35">
        <f>IFERROR(INDEX('Khách hàng'!$B$4:$B$103,MATCH($D90,'Khách hàng'!$A$4:$A$103,0)),"")</f>
        <v/>
      </c>
      <c r="F90" s="48" t="n"/>
      <c r="G90" s="52" t="n"/>
      <c r="H90" s="50" t="n"/>
      <c r="I90" s="41">
        <f>IFERROR(INDEX('Báo giá'!$H$4:$H$203,MATCH($C90,'Báo giá'!$A$4:$A$203,0)),"")</f>
        <v/>
      </c>
      <c r="J90" s="52" t="n"/>
      <c r="K90" s="52" t="n"/>
      <c r="L90" s="35">
        <f>IF($A90="","",IF($K90="",IF($J90="","Chưa có kế hoạch",IF(TODAY()&gt;$J90,"Trễ hạn","Đang thực hiện")),IF($K90&lt;=$J90,"Đúng hạn","Giao trễ")))</f>
        <v/>
      </c>
      <c r="M90" s="41">
        <f>IF($A90="","",IF($K90="",IF($J90="",0,MAX(0,TODAY()-$J90)),MAX(0,$K90-$J90)))</f>
        <v/>
      </c>
      <c r="N90" s="48" t="n"/>
      <c r="O90" s="53" t="n"/>
      <c r="P90" s="57">
        <f>IF($A90="","",IF(IF($Y90="",$K90,$Y90)="","",IF($Y90="",$K90,$Y90)+IF($Z90="",0,$Z90)))</f>
        <v/>
      </c>
      <c r="Q90" s="54">
        <f>IFERROR(MONTH($G90),"")</f>
        <v/>
      </c>
      <c r="R90" s="54">
        <f>IFERROR(YEAR($G90),"")</f>
        <v/>
      </c>
      <c r="S90" s="48" t="n"/>
      <c r="T90" s="58">
        <f>IFERROR(INDEX('Báo giá'!$E$4:$E$203,MATCH($C90,'Báo giá'!$A$4:$A$203,0)),"")</f>
        <v/>
      </c>
      <c r="U90" s="59" t="n"/>
      <c r="V90" s="60" t="n"/>
      <c r="W90" s="61">
        <f>IFERROR(INDEX('Báo giá'!$G$4:$G$203,MATCH($C90,'Báo giá'!$A$4:$A$203,0)),"")</f>
        <v/>
      </c>
      <c r="X90" s="55" t="n"/>
      <c r="Y90" s="55" t="n"/>
      <c r="Z90" s="62" t="n"/>
    </row>
    <row r="91" ht="15" customHeight="1" s="30">
      <c r="A91" s="48" t="n"/>
      <c r="B91" s="52" t="n"/>
      <c r="C91" s="48" t="n"/>
      <c r="D91" s="35">
        <f>IFERROR(INDEX('Báo giá'!$C$4:$C$203,MATCH($C91,'Báo giá'!$A$4:$A$203,0)),"")</f>
        <v/>
      </c>
      <c r="E91" s="35">
        <f>IFERROR(INDEX('Khách hàng'!$B$4:$B$103,MATCH($D91,'Khách hàng'!$A$4:$A$103,0)),"")</f>
        <v/>
      </c>
      <c r="F91" s="48" t="n"/>
      <c r="G91" s="52" t="n"/>
      <c r="H91" s="50" t="n"/>
      <c r="I91" s="41">
        <f>IFERROR(INDEX('Báo giá'!$H$4:$H$203,MATCH($C91,'Báo giá'!$A$4:$A$203,0)),"")</f>
        <v/>
      </c>
      <c r="J91" s="52" t="n"/>
      <c r="K91" s="52" t="n"/>
      <c r="L91" s="35">
        <f>IF($A91="","",IF($K91="",IF($J91="","Chưa có kế hoạch",IF(TODAY()&gt;$J91,"Trễ hạn","Đang thực hiện")),IF($K91&lt;=$J91,"Đúng hạn","Giao trễ")))</f>
        <v/>
      </c>
      <c r="M91" s="41">
        <f>IF($A91="","",IF($K91="",IF($J91="",0,MAX(0,TODAY()-$J91)),MAX(0,$K91-$J91)))</f>
        <v/>
      </c>
      <c r="N91" s="48" t="n"/>
      <c r="O91" s="53" t="n"/>
      <c r="P91" s="57">
        <f>IF($A91="","",IF(IF($Y91="",$K91,$Y91)="","",IF($Y91="",$K91,$Y91)+IF($Z91="",0,$Z91)))</f>
        <v/>
      </c>
      <c r="Q91" s="54">
        <f>IFERROR(MONTH($G91),"")</f>
        <v/>
      </c>
      <c r="R91" s="54">
        <f>IFERROR(YEAR($G91),"")</f>
        <v/>
      </c>
      <c r="S91" s="48" t="n"/>
      <c r="T91" s="58">
        <f>IFERROR(INDEX('Báo giá'!$E$4:$E$203,MATCH($C91,'Báo giá'!$A$4:$A$203,0)),"")</f>
        <v/>
      </c>
      <c r="U91" s="59" t="n"/>
      <c r="V91" s="60" t="n"/>
      <c r="W91" s="61">
        <f>IFERROR(INDEX('Báo giá'!$G$4:$G$203,MATCH($C91,'Báo giá'!$A$4:$A$203,0)),"")</f>
        <v/>
      </c>
      <c r="X91" s="55" t="n"/>
      <c r="Y91" s="55" t="n"/>
      <c r="Z91" s="62" t="n"/>
    </row>
    <row r="92" ht="15" customHeight="1" s="30">
      <c r="A92" s="48" t="n"/>
      <c r="B92" s="52" t="n"/>
      <c r="C92" s="48" t="n"/>
      <c r="D92" s="35">
        <f>IFERROR(INDEX('Báo giá'!$C$4:$C$203,MATCH($C92,'Báo giá'!$A$4:$A$203,0)),"")</f>
        <v/>
      </c>
      <c r="E92" s="35">
        <f>IFERROR(INDEX('Khách hàng'!$B$4:$B$103,MATCH($D92,'Khách hàng'!$A$4:$A$103,0)),"")</f>
        <v/>
      </c>
      <c r="F92" s="48" t="n"/>
      <c r="G92" s="52" t="n"/>
      <c r="H92" s="50" t="n"/>
      <c r="I92" s="41">
        <f>IFERROR(INDEX('Báo giá'!$H$4:$H$203,MATCH($C92,'Báo giá'!$A$4:$A$203,0)),"")</f>
        <v/>
      </c>
      <c r="J92" s="52" t="n"/>
      <c r="K92" s="52" t="n"/>
      <c r="L92" s="35">
        <f>IF($A92="","",IF($K92="",IF($J92="","Chưa có kế hoạch",IF(TODAY()&gt;$J92,"Trễ hạn","Đang thực hiện")),IF($K92&lt;=$J92,"Đúng hạn","Giao trễ")))</f>
        <v/>
      </c>
      <c r="M92" s="41">
        <f>IF($A92="","",IF($K92="",IF($J92="",0,MAX(0,TODAY()-$J92)),MAX(0,$K92-$J92)))</f>
        <v/>
      </c>
      <c r="N92" s="48" t="n"/>
      <c r="O92" s="53" t="n"/>
      <c r="P92" s="57">
        <f>IF($A92="","",IF(IF($Y92="",$K92,$Y92)="","",IF($Y92="",$K92,$Y92)+IF($Z92="",0,$Z92)))</f>
        <v/>
      </c>
      <c r="Q92" s="54">
        <f>IFERROR(MONTH($G92),"")</f>
        <v/>
      </c>
      <c r="R92" s="54">
        <f>IFERROR(YEAR($G92),"")</f>
        <v/>
      </c>
      <c r="S92" s="48" t="n"/>
      <c r="T92" s="58">
        <f>IFERROR(INDEX('Báo giá'!$E$4:$E$203,MATCH($C92,'Báo giá'!$A$4:$A$203,0)),"")</f>
        <v/>
      </c>
      <c r="U92" s="59" t="n"/>
      <c r="V92" s="60" t="n"/>
      <c r="W92" s="61">
        <f>IFERROR(INDEX('Báo giá'!$G$4:$G$203,MATCH($C92,'Báo giá'!$A$4:$A$203,0)),"")</f>
        <v/>
      </c>
      <c r="X92" s="55" t="n"/>
      <c r="Y92" s="55" t="n"/>
      <c r="Z92" s="62" t="n"/>
    </row>
    <row r="93" ht="15" customHeight="1" s="30">
      <c r="A93" s="48" t="n"/>
      <c r="B93" s="52" t="n"/>
      <c r="C93" s="48" t="n"/>
      <c r="D93" s="35">
        <f>IFERROR(INDEX('Báo giá'!$C$4:$C$203,MATCH($C93,'Báo giá'!$A$4:$A$203,0)),"")</f>
        <v/>
      </c>
      <c r="E93" s="35">
        <f>IFERROR(INDEX('Khách hàng'!$B$4:$B$103,MATCH($D93,'Khách hàng'!$A$4:$A$103,0)),"")</f>
        <v/>
      </c>
      <c r="F93" s="48" t="n"/>
      <c r="G93" s="52" t="n"/>
      <c r="H93" s="50" t="n"/>
      <c r="I93" s="41">
        <f>IFERROR(INDEX('Báo giá'!$H$4:$H$203,MATCH($C93,'Báo giá'!$A$4:$A$203,0)),"")</f>
        <v/>
      </c>
      <c r="J93" s="52" t="n"/>
      <c r="K93" s="52" t="n"/>
      <c r="L93" s="35">
        <f>IF($A93="","",IF($K93="",IF($J93="","Chưa có kế hoạch",IF(TODAY()&gt;$J93,"Trễ hạn","Đang thực hiện")),IF($K93&lt;=$J93,"Đúng hạn","Giao trễ")))</f>
        <v/>
      </c>
      <c r="M93" s="41">
        <f>IF($A93="","",IF($K93="",IF($J93="",0,MAX(0,TODAY()-$J93)),MAX(0,$K93-$J93)))</f>
        <v/>
      </c>
      <c r="N93" s="48" t="n"/>
      <c r="O93" s="53" t="n"/>
      <c r="P93" s="57">
        <f>IF($A93="","",IF(IF($Y93="",$K93,$Y93)="","",IF($Y93="",$K93,$Y93)+IF($Z93="",0,$Z93)))</f>
        <v/>
      </c>
      <c r="Q93" s="54">
        <f>IFERROR(MONTH($G93),"")</f>
        <v/>
      </c>
      <c r="R93" s="54">
        <f>IFERROR(YEAR($G93),"")</f>
        <v/>
      </c>
      <c r="S93" s="48" t="n"/>
      <c r="T93" s="58">
        <f>IFERROR(INDEX('Báo giá'!$E$4:$E$203,MATCH($C93,'Báo giá'!$A$4:$A$203,0)),"")</f>
        <v/>
      </c>
      <c r="U93" s="59" t="n"/>
      <c r="V93" s="60" t="n"/>
      <c r="W93" s="61">
        <f>IFERROR(INDEX('Báo giá'!$G$4:$G$203,MATCH($C93,'Báo giá'!$A$4:$A$203,0)),"")</f>
        <v/>
      </c>
      <c r="X93" s="55" t="n"/>
      <c r="Y93" s="55" t="n"/>
      <c r="Z93" s="62" t="n"/>
    </row>
    <row r="94" ht="15" customHeight="1" s="30">
      <c r="A94" s="48" t="n"/>
      <c r="B94" s="52" t="n"/>
      <c r="C94" s="48" t="n"/>
      <c r="D94" s="35">
        <f>IFERROR(INDEX('Báo giá'!$C$4:$C$203,MATCH($C94,'Báo giá'!$A$4:$A$203,0)),"")</f>
        <v/>
      </c>
      <c r="E94" s="35">
        <f>IFERROR(INDEX('Khách hàng'!$B$4:$B$103,MATCH($D94,'Khách hàng'!$A$4:$A$103,0)),"")</f>
        <v/>
      </c>
      <c r="F94" s="48" t="n"/>
      <c r="G94" s="52" t="n"/>
      <c r="H94" s="50" t="n"/>
      <c r="I94" s="41">
        <f>IFERROR(INDEX('Báo giá'!$H$4:$H$203,MATCH($C94,'Báo giá'!$A$4:$A$203,0)),"")</f>
        <v/>
      </c>
      <c r="J94" s="52" t="n"/>
      <c r="K94" s="52" t="n"/>
      <c r="L94" s="35">
        <f>IF($A94="","",IF($K94="",IF($J94="","Chưa có kế hoạch",IF(TODAY()&gt;$J94,"Trễ hạn","Đang thực hiện")),IF($K94&lt;=$J94,"Đúng hạn","Giao trễ")))</f>
        <v/>
      </c>
      <c r="M94" s="41">
        <f>IF($A94="","",IF($K94="",IF($J94="",0,MAX(0,TODAY()-$J94)),MAX(0,$K94-$J94)))</f>
        <v/>
      </c>
      <c r="N94" s="48" t="n"/>
      <c r="O94" s="53" t="n"/>
      <c r="P94" s="57">
        <f>IF($A94="","",IF(IF($Y94="",$K94,$Y94)="","",IF($Y94="",$K94,$Y94)+IF($Z94="",0,$Z94)))</f>
        <v/>
      </c>
      <c r="Q94" s="54">
        <f>IFERROR(MONTH($G94),"")</f>
        <v/>
      </c>
      <c r="R94" s="54">
        <f>IFERROR(YEAR($G94),"")</f>
        <v/>
      </c>
      <c r="S94" s="48" t="n"/>
      <c r="T94" s="58">
        <f>IFERROR(INDEX('Báo giá'!$E$4:$E$203,MATCH($C94,'Báo giá'!$A$4:$A$203,0)),"")</f>
        <v/>
      </c>
      <c r="U94" s="59" t="n"/>
      <c r="V94" s="60" t="n"/>
      <c r="W94" s="61">
        <f>IFERROR(INDEX('Báo giá'!$G$4:$G$203,MATCH($C94,'Báo giá'!$A$4:$A$203,0)),"")</f>
        <v/>
      </c>
      <c r="X94" s="55" t="n"/>
      <c r="Y94" s="55" t="n"/>
      <c r="Z94" s="62" t="n"/>
    </row>
    <row r="95" ht="15" customHeight="1" s="30">
      <c r="A95" s="48" t="n"/>
      <c r="B95" s="52" t="n"/>
      <c r="C95" s="48" t="n"/>
      <c r="D95" s="35">
        <f>IFERROR(INDEX('Báo giá'!$C$4:$C$203,MATCH($C95,'Báo giá'!$A$4:$A$203,0)),"")</f>
        <v/>
      </c>
      <c r="E95" s="35">
        <f>IFERROR(INDEX('Khách hàng'!$B$4:$B$103,MATCH($D95,'Khách hàng'!$A$4:$A$103,0)),"")</f>
        <v/>
      </c>
      <c r="F95" s="48" t="n"/>
      <c r="G95" s="52" t="n"/>
      <c r="H95" s="50" t="n"/>
      <c r="I95" s="41">
        <f>IFERROR(INDEX('Báo giá'!$H$4:$H$203,MATCH($C95,'Báo giá'!$A$4:$A$203,0)),"")</f>
        <v/>
      </c>
      <c r="J95" s="52" t="n"/>
      <c r="K95" s="52" t="n"/>
      <c r="L95" s="35">
        <f>IF($A95="","",IF($K95="",IF($J95="","Chưa có kế hoạch",IF(TODAY()&gt;$J95,"Trễ hạn","Đang thực hiện")),IF($K95&lt;=$J95,"Đúng hạn","Giao trễ")))</f>
        <v/>
      </c>
      <c r="M95" s="41">
        <f>IF($A95="","",IF($K95="",IF($J95="",0,MAX(0,TODAY()-$J95)),MAX(0,$K95-$J95)))</f>
        <v/>
      </c>
      <c r="N95" s="48" t="n"/>
      <c r="O95" s="53" t="n"/>
      <c r="P95" s="57">
        <f>IF($A95="","",IF(IF($Y95="",$K95,$Y95)="","",IF($Y95="",$K95,$Y95)+IF($Z95="",0,$Z95)))</f>
        <v/>
      </c>
      <c r="Q95" s="54">
        <f>IFERROR(MONTH($G95),"")</f>
        <v/>
      </c>
      <c r="R95" s="54">
        <f>IFERROR(YEAR($G95),"")</f>
        <v/>
      </c>
      <c r="S95" s="48" t="n"/>
      <c r="T95" s="58">
        <f>IFERROR(INDEX('Báo giá'!$E$4:$E$203,MATCH($C95,'Báo giá'!$A$4:$A$203,0)),"")</f>
        <v/>
      </c>
      <c r="U95" s="59" t="n"/>
      <c r="V95" s="60" t="n"/>
      <c r="W95" s="61">
        <f>IFERROR(INDEX('Báo giá'!$G$4:$G$203,MATCH($C95,'Báo giá'!$A$4:$A$203,0)),"")</f>
        <v/>
      </c>
      <c r="X95" s="55" t="n"/>
      <c r="Y95" s="55" t="n"/>
      <c r="Z95" s="62" t="n"/>
    </row>
    <row r="96" ht="15" customHeight="1" s="30">
      <c r="A96" s="48" t="n"/>
      <c r="B96" s="52" t="n"/>
      <c r="C96" s="48" t="n"/>
      <c r="D96" s="35">
        <f>IFERROR(INDEX('Báo giá'!$C$4:$C$203,MATCH($C96,'Báo giá'!$A$4:$A$203,0)),"")</f>
        <v/>
      </c>
      <c r="E96" s="35">
        <f>IFERROR(INDEX('Khách hàng'!$B$4:$B$103,MATCH($D96,'Khách hàng'!$A$4:$A$103,0)),"")</f>
        <v/>
      </c>
      <c r="F96" s="48" t="n"/>
      <c r="G96" s="52" t="n"/>
      <c r="H96" s="50" t="n"/>
      <c r="I96" s="41">
        <f>IFERROR(INDEX('Báo giá'!$H$4:$H$203,MATCH($C96,'Báo giá'!$A$4:$A$203,0)),"")</f>
        <v/>
      </c>
      <c r="J96" s="52" t="n"/>
      <c r="K96" s="52" t="n"/>
      <c r="L96" s="35">
        <f>IF($A96="","",IF($K96="",IF($J96="","Chưa có kế hoạch",IF(TODAY()&gt;$J96,"Trễ hạn","Đang thực hiện")),IF($K96&lt;=$J96,"Đúng hạn","Giao trễ")))</f>
        <v/>
      </c>
      <c r="M96" s="41">
        <f>IF($A96="","",IF($K96="",IF($J96="",0,MAX(0,TODAY()-$J96)),MAX(0,$K96-$J96)))</f>
        <v/>
      </c>
      <c r="N96" s="48" t="n"/>
      <c r="O96" s="53" t="n"/>
      <c r="P96" s="57">
        <f>IF($A96="","",IF(IF($Y96="",$K96,$Y96)="","",IF($Y96="",$K96,$Y96)+IF($Z96="",0,$Z96)))</f>
        <v/>
      </c>
      <c r="Q96" s="54">
        <f>IFERROR(MONTH($G96),"")</f>
        <v/>
      </c>
      <c r="R96" s="54">
        <f>IFERROR(YEAR($G96),"")</f>
        <v/>
      </c>
      <c r="S96" s="48" t="n"/>
      <c r="T96" s="58">
        <f>IFERROR(INDEX('Báo giá'!$E$4:$E$203,MATCH($C96,'Báo giá'!$A$4:$A$203,0)),"")</f>
        <v/>
      </c>
      <c r="U96" s="59" t="n"/>
      <c r="V96" s="60" t="n"/>
      <c r="W96" s="61">
        <f>IFERROR(INDEX('Báo giá'!$G$4:$G$203,MATCH($C96,'Báo giá'!$A$4:$A$203,0)),"")</f>
        <v/>
      </c>
      <c r="X96" s="55" t="n"/>
      <c r="Y96" s="55" t="n"/>
      <c r="Z96" s="62" t="n"/>
    </row>
    <row r="97" ht="15" customHeight="1" s="30">
      <c r="A97" s="48" t="n"/>
      <c r="B97" s="52" t="n"/>
      <c r="C97" s="48" t="n"/>
      <c r="D97" s="35">
        <f>IFERROR(INDEX('Báo giá'!$C$4:$C$203,MATCH($C97,'Báo giá'!$A$4:$A$203,0)),"")</f>
        <v/>
      </c>
      <c r="E97" s="35">
        <f>IFERROR(INDEX('Khách hàng'!$B$4:$B$103,MATCH($D97,'Khách hàng'!$A$4:$A$103,0)),"")</f>
        <v/>
      </c>
      <c r="F97" s="48" t="n"/>
      <c r="G97" s="52" t="n"/>
      <c r="H97" s="50" t="n"/>
      <c r="I97" s="41">
        <f>IFERROR(INDEX('Báo giá'!$H$4:$H$203,MATCH($C97,'Báo giá'!$A$4:$A$203,0)),"")</f>
        <v/>
      </c>
      <c r="J97" s="52" t="n"/>
      <c r="K97" s="52" t="n"/>
      <c r="L97" s="35">
        <f>IF($A97="","",IF($K97="",IF($J97="","Chưa có kế hoạch",IF(TODAY()&gt;$J97,"Trễ hạn","Đang thực hiện")),IF($K97&lt;=$J97,"Đúng hạn","Giao trễ")))</f>
        <v/>
      </c>
      <c r="M97" s="41">
        <f>IF($A97="","",IF($K97="",IF($J97="",0,MAX(0,TODAY()-$J97)),MAX(0,$K97-$J97)))</f>
        <v/>
      </c>
      <c r="N97" s="48" t="n"/>
      <c r="O97" s="53" t="n"/>
      <c r="P97" s="57">
        <f>IF($A97="","",IF(IF($Y97="",$K97,$Y97)="","",IF($Y97="",$K97,$Y97)+IF($Z97="",0,$Z97)))</f>
        <v/>
      </c>
      <c r="Q97" s="54">
        <f>IFERROR(MONTH($G97),"")</f>
        <v/>
      </c>
      <c r="R97" s="54">
        <f>IFERROR(YEAR($G97),"")</f>
        <v/>
      </c>
      <c r="S97" s="48" t="n"/>
      <c r="T97" s="58">
        <f>IFERROR(INDEX('Báo giá'!$E$4:$E$203,MATCH($C97,'Báo giá'!$A$4:$A$203,0)),"")</f>
        <v/>
      </c>
      <c r="U97" s="59" t="n"/>
      <c r="V97" s="60" t="n"/>
      <c r="W97" s="61">
        <f>IFERROR(INDEX('Báo giá'!$G$4:$G$203,MATCH($C97,'Báo giá'!$A$4:$A$203,0)),"")</f>
        <v/>
      </c>
      <c r="X97" s="55" t="n"/>
      <c r="Y97" s="55" t="n"/>
      <c r="Z97" s="62" t="n"/>
    </row>
    <row r="98" ht="15" customHeight="1" s="30">
      <c r="A98" s="48" t="n"/>
      <c r="B98" s="52" t="n"/>
      <c r="C98" s="48" t="n"/>
      <c r="D98" s="35">
        <f>IFERROR(INDEX('Báo giá'!$C$4:$C$203,MATCH($C98,'Báo giá'!$A$4:$A$203,0)),"")</f>
        <v/>
      </c>
      <c r="E98" s="35">
        <f>IFERROR(INDEX('Khách hàng'!$B$4:$B$103,MATCH($D98,'Khách hàng'!$A$4:$A$103,0)),"")</f>
        <v/>
      </c>
      <c r="F98" s="48" t="n"/>
      <c r="G98" s="52" t="n"/>
      <c r="H98" s="50" t="n"/>
      <c r="I98" s="41">
        <f>IFERROR(INDEX('Báo giá'!$H$4:$H$203,MATCH($C98,'Báo giá'!$A$4:$A$203,0)),"")</f>
        <v/>
      </c>
      <c r="J98" s="52" t="n"/>
      <c r="K98" s="52" t="n"/>
      <c r="L98" s="35">
        <f>IF($A98="","",IF($K98="",IF($J98="","Chưa có kế hoạch",IF(TODAY()&gt;$J98,"Trễ hạn","Đang thực hiện")),IF($K98&lt;=$J98,"Đúng hạn","Giao trễ")))</f>
        <v/>
      </c>
      <c r="M98" s="41">
        <f>IF($A98="","",IF($K98="",IF($J98="",0,MAX(0,TODAY()-$J98)),MAX(0,$K98-$J98)))</f>
        <v/>
      </c>
      <c r="N98" s="48" t="n"/>
      <c r="O98" s="53" t="n"/>
      <c r="P98" s="57">
        <f>IF($A98="","",IF(IF($Y98="",$K98,$Y98)="","",IF($Y98="",$K98,$Y98)+IF($Z98="",0,$Z98)))</f>
        <v/>
      </c>
      <c r="Q98" s="54">
        <f>IFERROR(MONTH($G98),"")</f>
        <v/>
      </c>
      <c r="R98" s="54">
        <f>IFERROR(YEAR($G98),"")</f>
        <v/>
      </c>
      <c r="S98" s="48" t="n"/>
      <c r="T98" s="58">
        <f>IFERROR(INDEX('Báo giá'!$E$4:$E$203,MATCH($C98,'Báo giá'!$A$4:$A$203,0)),"")</f>
        <v/>
      </c>
      <c r="U98" s="59" t="n"/>
      <c r="V98" s="60" t="n"/>
      <c r="W98" s="61">
        <f>IFERROR(INDEX('Báo giá'!$G$4:$G$203,MATCH($C98,'Báo giá'!$A$4:$A$203,0)),"")</f>
        <v/>
      </c>
      <c r="X98" s="55" t="n"/>
      <c r="Y98" s="55" t="n"/>
      <c r="Z98" s="62" t="n"/>
    </row>
    <row r="99" ht="15" customHeight="1" s="30">
      <c r="A99" s="48" t="n"/>
      <c r="B99" s="52" t="n"/>
      <c r="C99" s="48" t="n"/>
      <c r="D99" s="35">
        <f>IFERROR(INDEX('Báo giá'!$C$4:$C$203,MATCH($C99,'Báo giá'!$A$4:$A$203,0)),"")</f>
        <v/>
      </c>
      <c r="E99" s="35">
        <f>IFERROR(INDEX('Khách hàng'!$B$4:$B$103,MATCH($D99,'Khách hàng'!$A$4:$A$103,0)),"")</f>
        <v/>
      </c>
      <c r="F99" s="48" t="n"/>
      <c r="G99" s="52" t="n"/>
      <c r="H99" s="50" t="n"/>
      <c r="I99" s="41">
        <f>IFERROR(INDEX('Báo giá'!$H$4:$H$203,MATCH($C99,'Báo giá'!$A$4:$A$203,0)),"")</f>
        <v/>
      </c>
      <c r="J99" s="52" t="n"/>
      <c r="K99" s="52" t="n"/>
      <c r="L99" s="35">
        <f>IF($A99="","",IF($K99="",IF($J99="","Chưa có kế hoạch",IF(TODAY()&gt;$J99,"Trễ hạn","Đang thực hiện")),IF($K99&lt;=$J99,"Đúng hạn","Giao trễ")))</f>
        <v/>
      </c>
      <c r="M99" s="41">
        <f>IF($A99="","",IF($K99="",IF($J99="",0,MAX(0,TODAY()-$J99)),MAX(0,$K99-$J99)))</f>
        <v/>
      </c>
      <c r="N99" s="48" t="n"/>
      <c r="O99" s="53" t="n"/>
      <c r="P99" s="57">
        <f>IF($A99="","",IF(IF($Y99="",$K99,$Y99)="","",IF($Y99="",$K99,$Y99)+IF($Z99="",0,$Z99)))</f>
        <v/>
      </c>
      <c r="Q99" s="54">
        <f>IFERROR(MONTH($G99),"")</f>
        <v/>
      </c>
      <c r="R99" s="54">
        <f>IFERROR(YEAR($G99),"")</f>
        <v/>
      </c>
      <c r="S99" s="48" t="n"/>
      <c r="T99" s="58">
        <f>IFERROR(INDEX('Báo giá'!$E$4:$E$203,MATCH($C99,'Báo giá'!$A$4:$A$203,0)),"")</f>
        <v/>
      </c>
      <c r="U99" s="59" t="n"/>
      <c r="V99" s="60" t="n"/>
      <c r="W99" s="61">
        <f>IFERROR(INDEX('Báo giá'!$G$4:$G$203,MATCH($C99,'Báo giá'!$A$4:$A$203,0)),"")</f>
        <v/>
      </c>
      <c r="X99" s="55" t="n"/>
      <c r="Y99" s="55" t="n"/>
      <c r="Z99" s="62" t="n"/>
    </row>
    <row r="100" ht="15" customHeight="1" s="30">
      <c r="A100" s="48" t="n"/>
      <c r="B100" s="52" t="n"/>
      <c r="C100" s="48" t="n"/>
      <c r="D100" s="35">
        <f>IFERROR(INDEX('Báo giá'!$C$4:$C$203,MATCH($C100,'Báo giá'!$A$4:$A$203,0)),"")</f>
        <v/>
      </c>
      <c r="E100" s="35">
        <f>IFERROR(INDEX('Khách hàng'!$B$4:$B$103,MATCH($D100,'Khách hàng'!$A$4:$A$103,0)),"")</f>
        <v/>
      </c>
      <c r="F100" s="48" t="n"/>
      <c r="G100" s="52" t="n"/>
      <c r="H100" s="50" t="n"/>
      <c r="I100" s="41">
        <f>IFERROR(INDEX('Báo giá'!$H$4:$H$203,MATCH($C100,'Báo giá'!$A$4:$A$203,0)),"")</f>
        <v/>
      </c>
      <c r="J100" s="52" t="n"/>
      <c r="K100" s="52" t="n"/>
      <c r="L100" s="35">
        <f>IF($A100="","",IF($K100="",IF($J100="","Chưa có kế hoạch",IF(TODAY()&gt;$J100,"Trễ hạn","Đang thực hiện")),IF($K100&lt;=$J100,"Đúng hạn","Giao trễ")))</f>
        <v/>
      </c>
      <c r="M100" s="41">
        <f>IF($A100="","",IF($K100="",IF($J100="",0,MAX(0,TODAY()-$J100)),MAX(0,$K100-$J100)))</f>
        <v/>
      </c>
      <c r="N100" s="48" t="n"/>
      <c r="O100" s="53" t="n"/>
      <c r="P100" s="57">
        <f>IF($A100="","",IF(IF($Y100="",$K100,$Y100)="","",IF($Y100="",$K100,$Y100)+IF($Z100="",0,$Z100)))</f>
        <v/>
      </c>
      <c r="Q100" s="54">
        <f>IFERROR(MONTH($G100),"")</f>
        <v/>
      </c>
      <c r="R100" s="54">
        <f>IFERROR(YEAR($G100),"")</f>
        <v/>
      </c>
      <c r="S100" s="48" t="n"/>
      <c r="T100" s="58">
        <f>IFERROR(INDEX('Báo giá'!$E$4:$E$203,MATCH($C100,'Báo giá'!$A$4:$A$203,0)),"")</f>
        <v/>
      </c>
      <c r="U100" s="59" t="n"/>
      <c r="V100" s="60" t="n"/>
      <c r="W100" s="61">
        <f>IFERROR(INDEX('Báo giá'!$G$4:$G$203,MATCH($C100,'Báo giá'!$A$4:$A$203,0)),"")</f>
        <v/>
      </c>
      <c r="X100" s="55" t="n"/>
      <c r="Y100" s="55" t="n"/>
      <c r="Z100" s="62" t="n"/>
    </row>
    <row r="101" ht="15" customHeight="1" s="30">
      <c r="A101" s="48" t="n"/>
      <c r="B101" s="52" t="n"/>
      <c r="C101" s="48" t="n"/>
      <c r="D101" s="35">
        <f>IFERROR(INDEX('Báo giá'!$C$4:$C$203,MATCH($C101,'Báo giá'!$A$4:$A$203,0)),"")</f>
        <v/>
      </c>
      <c r="E101" s="35">
        <f>IFERROR(INDEX('Khách hàng'!$B$4:$B$103,MATCH($D101,'Khách hàng'!$A$4:$A$103,0)),"")</f>
        <v/>
      </c>
      <c r="F101" s="48" t="n"/>
      <c r="G101" s="52" t="n"/>
      <c r="H101" s="50" t="n"/>
      <c r="I101" s="41">
        <f>IFERROR(INDEX('Báo giá'!$H$4:$H$203,MATCH($C101,'Báo giá'!$A$4:$A$203,0)),"")</f>
        <v/>
      </c>
      <c r="J101" s="52" t="n"/>
      <c r="K101" s="52" t="n"/>
      <c r="L101" s="35">
        <f>IF($A101="","",IF($K101="",IF($J101="","Chưa có kế hoạch",IF(TODAY()&gt;$J101,"Trễ hạn","Đang thực hiện")),IF($K101&lt;=$J101,"Đúng hạn","Giao trễ")))</f>
        <v/>
      </c>
      <c r="M101" s="41">
        <f>IF($A101="","",IF($K101="",IF($J101="",0,MAX(0,TODAY()-$J101)),MAX(0,$K101-$J101)))</f>
        <v/>
      </c>
      <c r="N101" s="48" t="n"/>
      <c r="O101" s="53" t="n"/>
      <c r="P101" s="57">
        <f>IF($A101="","",IF(IF($Y101="",$K101,$Y101)="","",IF($Y101="",$K101,$Y101)+IF($Z101="",0,$Z101)))</f>
        <v/>
      </c>
      <c r="Q101" s="54">
        <f>IFERROR(MONTH($G101),"")</f>
        <v/>
      </c>
      <c r="R101" s="54">
        <f>IFERROR(YEAR($G101),"")</f>
        <v/>
      </c>
      <c r="S101" s="48" t="n"/>
      <c r="T101" s="58">
        <f>IFERROR(INDEX('Báo giá'!$E$4:$E$203,MATCH($C101,'Báo giá'!$A$4:$A$203,0)),"")</f>
        <v/>
      </c>
      <c r="U101" s="59" t="n"/>
      <c r="V101" s="60" t="n"/>
      <c r="W101" s="61">
        <f>IFERROR(INDEX('Báo giá'!$G$4:$G$203,MATCH($C101,'Báo giá'!$A$4:$A$203,0)),"")</f>
        <v/>
      </c>
      <c r="X101" s="55" t="n"/>
      <c r="Y101" s="55" t="n"/>
      <c r="Z101" s="62" t="n"/>
    </row>
    <row r="102" ht="15" customHeight="1" s="30">
      <c r="A102" s="48" t="n"/>
      <c r="B102" s="52" t="n"/>
      <c r="C102" s="48" t="n"/>
      <c r="D102" s="35">
        <f>IFERROR(INDEX('Báo giá'!$C$4:$C$203,MATCH($C102,'Báo giá'!$A$4:$A$203,0)),"")</f>
        <v/>
      </c>
      <c r="E102" s="35">
        <f>IFERROR(INDEX('Khách hàng'!$B$4:$B$103,MATCH($D102,'Khách hàng'!$A$4:$A$103,0)),"")</f>
        <v/>
      </c>
      <c r="F102" s="48" t="n"/>
      <c r="G102" s="52" t="n"/>
      <c r="H102" s="50" t="n"/>
      <c r="I102" s="41">
        <f>IFERROR(INDEX('Báo giá'!$H$4:$H$203,MATCH($C102,'Báo giá'!$A$4:$A$203,0)),"")</f>
        <v/>
      </c>
      <c r="J102" s="52" t="n"/>
      <c r="K102" s="52" t="n"/>
      <c r="L102" s="35">
        <f>IF($A102="","",IF($K102="",IF($J102="","Chưa có kế hoạch",IF(TODAY()&gt;$J102,"Trễ hạn","Đang thực hiện")),IF($K102&lt;=$J102,"Đúng hạn","Giao trễ")))</f>
        <v/>
      </c>
      <c r="M102" s="41">
        <f>IF($A102="","",IF($K102="",IF($J102="",0,MAX(0,TODAY()-$J102)),MAX(0,$K102-$J102)))</f>
        <v/>
      </c>
      <c r="N102" s="48" t="n"/>
      <c r="O102" s="53" t="n"/>
      <c r="P102" s="57">
        <f>IF($A102="","",IF(IF($Y102="",$K102,$Y102)="","",IF($Y102="",$K102,$Y102)+IF($Z102="",0,$Z102)))</f>
        <v/>
      </c>
      <c r="Q102" s="54">
        <f>IFERROR(MONTH($G102),"")</f>
        <v/>
      </c>
      <c r="R102" s="54">
        <f>IFERROR(YEAR($G102),"")</f>
        <v/>
      </c>
      <c r="S102" s="48" t="n"/>
      <c r="T102" s="58">
        <f>IFERROR(INDEX('Báo giá'!$E$4:$E$203,MATCH($C102,'Báo giá'!$A$4:$A$203,0)),"")</f>
        <v/>
      </c>
      <c r="U102" s="59" t="n"/>
      <c r="V102" s="60" t="n"/>
      <c r="W102" s="61">
        <f>IFERROR(INDEX('Báo giá'!$G$4:$G$203,MATCH($C102,'Báo giá'!$A$4:$A$203,0)),"")</f>
        <v/>
      </c>
      <c r="X102" s="55" t="n"/>
      <c r="Y102" s="55" t="n"/>
      <c r="Z102" s="62" t="n"/>
    </row>
    <row r="103" ht="15" customHeight="1" s="30">
      <c r="A103" s="48" t="n"/>
      <c r="B103" s="52" t="n"/>
      <c r="C103" s="48" t="n"/>
      <c r="D103" s="35">
        <f>IFERROR(INDEX('Báo giá'!$C$4:$C$203,MATCH($C103,'Báo giá'!$A$4:$A$203,0)),"")</f>
        <v/>
      </c>
      <c r="E103" s="35">
        <f>IFERROR(INDEX('Khách hàng'!$B$4:$B$103,MATCH($D103,'Khách hàng'!$A$4:$A$103,0)),"")</f>
        <v/>
      </c>
      <c r="F103" s="48" t="n"/>
      <c r="G103" s="52" t="n"/>
      <c r="H103" s="50" t="n"/>
      <c r="I103" s="41">
        <f>IFERROR(INDEX('Báo giá'!$H$4:$H$203,MATCH($C103,'Báo giá'!$A$4:$A$203,0)),"")</f>
        <v/>
      </c>
      <c r="J103" s="52" t="n"/>
      <c r="K103" s="52" t="n"/>
      <c r="L103" s="35">
        <f>IF($A103="","",IF($K103="",IF($J103="","Chưa có kế hoạch",IF(TODAY()&gt;$J103,"Trễ hạn","Đang thực hiện")),IF($K103&lt;=$J103,"Đúng hạn","Giao trễ")))</f>
        <v/>
      </c>
      <c r="M103" s="41">
        <f>IF($A103="","",IF($K103="",IF($J103="",0,MAX(0,TODAY()-$J103)),MAX(0,$K103-$J103)))</f>
        <v/>
      </c>
      <c r="N103" s="48" t="n"/>
      <c r="O103" s="53" t="n"/>
      <c r="P103" s="57">
        <f>IF($A103="","",IF(IF($Y103="",$K103,$Y103)="","",IF($Y103="",$K103,$Y103)+IF($Z103="",0,$Z103)))</f>
        <v/>
      </c>
      <c r="Q103" s="54">
        <f>IFERROR(MONTH($G103),"")</f>
        <v/>
      </c>
      <c r="R103" s="54">
        <f>IFERROR(YEAR($G103),"")</f>
        <v/>
      </c>
      <c r="S103" s="48" t="n"/>
      <c r="T103" s="58">
        <f>IFERROR(INDEX('Báo giá'!$E$4:$E$203,MATCH($C103,'Báo giá'!$A$4:$A$203,0)),"")</f>
        <v/>
      </c>
      <c r="U103" s="59" t="n"/>
      <c r="V103" s="60" t="n"/>
      <c r="W103" s="61">
        <f>IFERROR(INDEX('Báo giá'!$G$4:$G$203,MATCH($C103,'Báo giá'!$A$4:$A$203,0)),"")</f>
        <v/>
      </c>
      <c r="X103" s="55" t="n"/>
      <c r="Y103" s="55" t="n"/>
      <c r="Z103" s="62" t="n"/>
    </row>
    <row r="104" ht="15" customHeight="1" s="30">
      <c r="A104" s="48" t="n"/>
      <c r="B104" s="52" t="n"/>
      <c r="C104" s="48" t="n"/>
      <c r="D104" s="35">
        <f>IFERROR(INDEX('Báo giá'!$C$4:$C$203,MATCH($C104,'Báo giá'!$A$4:$A$203,0)),"")</f>
        <v/>
      </c>
      <c r="E104" s="35">
        <f>IFERROR(INDEX('Khách hàng'!$B$4:$B$103,MATCH($D104,'Khách hàng'!$A$4:$A$103,0)),"")</f>
        <v/>
      </c>
      <c r="F104" s="48" t="n"/>
      <c r="G104" s="52" t="n"/>
      <c r="H104" s="50" t="n"/>
      <c r="I104" s="41">
        <f>IFERROR(INDEX('Báo giá'!$H$4:$H$203,MATCH($C104,'Báo giá'!$A$4:$A$203,0)),"")</f>
        <v/>
      </c>
      <c r="J104" s="52" t="n"/>
      <c r="K104" s="52" t="n"/>
      <c r="L104" s="35">
        <f>IF($A104="","",IF($K104="",IF($J104="","Chưa có kế hoạch",IF(TODAY()&gt;$J104,"Trễ hạn","Đang thực hiện")),IF($K104&lt;=$J104,"Đúng hạn","Giao trễ")))</f>
        <v/>
      </c>
      <c r="M104" s="41">
        <f>IF($A104="","",IF($K104="",IF($J104="",0,MAX(0,TODAY()-$J104)),MAX(0,$K104-$J104)))</f>
        <v/>
      </c>
      <c r="N104" s="48" t="n"/>
      <c r="O104" s="53" t="n"/>
      <c r="P104" s="57">
        <f>IF($A104="","",IF(IF($Y104="",$K104,$Y104)="","",IF($Y104="",$K104,$Y104)+IF($Z104="",0,$Z104)))</f>
        <v/>
      </c>
      <c r="Q104" s="54">
        <f>IFERROR(MONTH($G104),"")</f>
        <v/>
      </c>
      <c r="R104" s="54">
        <f>IFERROR(YEAR($G104),"")</f>
        <v/>
      </c>
      <c r="S104" s="48" t="n"/>
      <c r="T104" s="58">
        <f>IFERROR(INDEX('Báo giá'!$E$4:$E$203,MATCH($C104,'Báo giá'!$A$4:$A$203,0)),"")</f>
        <v/>
      </c>
      <c r="U104" s="59" t="n"/>
      <c r="V104" s="60" t="n"/>
      <c r="W104" s="61">
        <f>IFERROR(INDEX('Báo giá'!$G$4:$G$203,MATCH($C104,'Báo giá'!$A$4:$A$203,0)),"")</f>
        <v/>
      </c>
      <c r="X104" s="55" t="n"/>
      <c r="Y104" s="55" t="n"/>
      <c r="Z104" s="62" t="n"/>
    </row>
    <row r="105" ht="15" customHeight="1" s="30">
      <c r="A105" s="48" t="n"/>
      <c r="B105" s="52" t="n"/>
      <c r="C105" s="48" t="n"/>
      <c r="D105" s="35">
        <f>IFERROR(INDEX('Báo giá'!$C$4:$C$203,MATCH($C105,'Báo giá'!$A$4:$A$203,0)),"")</f>
        <v/>
      </c>
      <c r="E105" s="35">
        <f>IFERROR(INDEX('Khách hàng'!$B$4:$B$103,MATCH($D105,'Khách hàng'!$A$4:$A$103,0)),"")</f>
        <v/>
      </c>
      <c r="F105" s="48" t="n"/>
      <c r="G105" s="52" t="n"/>
      <c r="H105" s="50" t="n"/>
      <c r="I105" s="41">
        <f>IFERROR(INDEX('Báo giá'!$H$4:$H$203,MATCH($C105,'Báo giá'!$A$4:$A$203,0)),"")</f>
        <v/>
      </c>
      <c r="J105" s="52" t="n"/>
      <c r="K105" s="52" t="n"/>
      <c r="L105" s="35">
        <f>IF($A105="","",IF($K105="",IF($J105="","Chưa có kế hoạch",IF(TODAY()&gt;$J105,"Trễ hạn","Đang thực hiện")),IF($K105&lt;=$J105,"Đúng hạn","Giao trễ")))</f>
        <v/>
      </c>
      <c r="M105" s="41">
        <f>IF($A105="","",IF($K105="",IF($J105="",0,MAX(0,TODAY()-$J105)),MAX(0,$K105-$J105)))</f>
        <v/>
      </c>
      <c r="N105" s="48" t="n"/>
      <c r="O105" s="53" t="n"/>
      <c r="P105" s="57">
        <f>IF($A105="","",IF(IF($Y105="",$K105,$Y105)="","",IF($Y105="",$K105,$Y105)+IF($Z105="",0,$Z105)))</f>
        <v/>
      </c>
      <c r="Q105" s="54">
        <f>IFERROR(MONTH($G105),"")</f>
        <v/>
      </c>
      <c r="R105" s="54">
        <f>IFERROR(YEAR($G105),"")</f>
        <v/>
      </c>
      <c r="S105" s="48" t="n"/>
      <c r="T105" s="58">
        <f>IFERROR(INDEX('Báo giá'!$E$4:$E$203,MATCH($C105,'Báo giá'!$A$4:$A$203,0)),"")</f>
        <v/>
      </c>
      <c r="U105" s="59" t="n"/>
      <c r="V105" s="60" t="n"/>
      <c r="W105" s="61">
        <f>IFERROR(INDEX('Báo giá'!$G$4:$G$203,MATCH($C105,'Báo giá'!$A$4:$A$203,0)),"")</f>
        <v/>
      </c>
      <c r="X105" s="55" t="n"/>
      <c r="Y105" s="55" t="n"/>
      <c r="Z105" s="62" t="n"/>
    </row>
    <row r="106" ht="15" customHeight="1" s="30">
      <c r="A106" s="48" t="n"/>
      <c r="B106" s="52" t="n"/>
      <c r="C106" s="48" t="n"/>
      <c r="D106" s="35">
        <f>IFERROR(INDEX('Báo giá'!$C$4:$C$203,MATCH($C106,'Báo giá'!$A$4:$A$203,0)),"")</f>
        <v/>
      </c>
      <c r="E106" s="35">
        <f>IFERROR(INDEX('Khách hàng'!$B$4:$B$103,MATCH($D106,'Khách hàng'!$A$4:$A$103,0)),"")</f>
        <v/>
      </c>
      <c r="F106" s="48" t="n"/>
      <c r="G106" s="52" t="n"/>
      <c r="H106" s="50" t="n"/>
      <c r="I106" s="41">
        <f>IFERROR(INDEX('Báo giá'!$H$4:$H$203,MATCH($C106,'Báo giá'!$A$4:$A$203,0)),"")</f>
        <v/>
      </c>
      <c r="J106" s="52" t="n"/>
      <c r="K106" s="52" t="n"/>
      <c r="L106" s="35">
        <f>IF($A106="","",IF($K106="",IF($J106="","Chưa có kế hoạch",IF(TODAY()&gt;$J106,"Trễ hạn","Đang thực hiện")),IF($K106&lt;=$J106,"Đúng hạn","Giao trễ")))</f>
        <v/>
      </c>
      <c r="M106" s="41">
        <f>IF($A106="","",IF($K106="",IF($J106="",0,MAX(0,TODAY()-$J106)),MAX(0,$K106-$J106)))</f>
        <v/>
      </c>
      <c r="N106" s="48" t="n"/>
      <c r="O106" s="53" t="n"/>
      <c r="P106" s="57">
        <f>IF($A106="","",IF(IF($Y106="",$K106,$Y106)="","",IF($Y106="",$K106,$Y106)+IF($Z106="",0,$Z106)))</f>
        <v/>
      </c>
      <c r="Q106" s="54">
        <f>IFERROR(MONTH($G106),"")</f>
        <v/>
      </c>
      <c r="R106" s="54">
        <f>IFERROR(YEAR($G106),"")</f>
        <v/>
      </c>
      <c r="S106" s="48" t="n"/>
      <c r="T106" s="58">
        <f>IFERROR(INDEX('Báo giá'!$E$4:$E$203,MATCH($C106,'Báo giá'!$A$4:$A$203,0)),"")</f>
        <v/>
      </c>
      <c r="U106" s="59" t="n"/>
      <c r="V106" s="60" t="n"/>
      <c r="W106" s="61">
        <f>IFERROR(INDEX('Báo giá'!$G$4:$G$203,MATCH($C106,'Báo giá'!$A$4:$A$203,0)),"")</f>
        <v/>
      </c>
      <c r="X106" s="55" t="n"/>
      <c r="Y106" s="55" t="n"/>
      <c r="Z106" s="62" t="n"/>
    </row>
    <row r="107" ht="15" customHeight="1" s="30">
      <c r="A107" s="48" t="n"/>
      <c r="B107" s="52" t="n"/>
      <c r="C107" s="48" t="n"/>
      <c r="D107" s="35">
        <f>IFERROR(INDEX('Báo giá'!$C$4:$C$203,MATCH($C107,'Báo giá'!$A$4:$A$203,0)),"")</f>
        <v/>
      </c>
      <c r="E107" s="35">
        <f>IFERROR(INDEX('Khách hàng'!$B$4:$B$103,MATCH($D107,'Khách hàng'!$A$4:$A$103,0)),"")</f>
        <v/>
      </c>
      <c r="F107" s="48" t="n"/>
      <c r="G107" s="52" t="n"/>
      <c r="H107" s="50" t="n"/>
      <c r="I107" s="41">
        <f>IFERROR(INDEX('Báo giá'!$H$4:$H$203,MATCH($C107,'Báo giá'!$A$4:$A$203,0)),"")</f>
        <v/>
      </c>
      <c r="J107" s="52" t="n"/>
      <c r="K107" s="52" t="n"/>
      <c r="L107" s="35">
        <f>IF($A107="","",IF($K107="",IF($J107="","Chưa có kế hoạch",IF(TODAY()&gt;$J107,"Trễ hạn","Đang thực hiện")),IF($K107&lt;=$J107,"Đúng hạn","Giao trễ")))</f>
        <v/>
      </c>
      <c r="M107" s="41">
        <f>IF($A107="","",IF($K107="",IF($J107="",0,MAX(0,TODAY()-$J107)),MAX(0,$K107-$J107)))</f>
        <v/>
      </c>
      <c r="N107" s="48" t="n"/>
      <c r="O107" s="53" t="n"/>
      <c r="P107" s="57">
        <f>IF($A107="","",IF(IF($Y107="",$K107,$Y107)="","",IF($Y107="",$K107,$Y107)+IF($Z107="",0,$Z107)))</f>
        <v/>
      </c>
      <c r="Q107" s="54">
        <f>IFERROR(MONTH($G107),"")</f>
        <v/>
      </c>
      <c r="R107" s="54">
        <f>IFERROR(YEAR($G107),"")</f>
        <v/>
      </c>
      <c r="S107" s="48" t="n"/>
      <c r="T107" s="58">
        <f>IFERROR(INDEX('Báo giá'!$E$4:$E$203,MATCH($C107,'Báo giá'!$A$4:$A$203,0)),"")</f>
        <v/>
      </c>
      <c r="U107" s="59" t="n"/>
      <c r="V107" s="60" t="n"/>
      <c r="W107" s="61">
        <f>IFERROR(INDEX('Báo giá'!$G$4:$G$203,MATCH($C107,'Báo giá'!$A$4:$A$203,0)),"")</f>
        <v/>
      </c>
      <c r="X107" s="55" t="n"/>
      <c r="Y107" s="55" t="n"/>
      <c r="Z107" s="62" t="n"/>
    </row>
    <row r="108" ht="15" customHeight="1" s="30">
      <c r="A108" s="48" t="n"/>
      <c r="B108" s="52" t="n"/>
      <c r="C108" s="48" t="n"/>
      <c r="D108" s="35">
        <f>IFERROR(INDEX('Báo giá'!$C$4:$C$203,MATCH($C108,'Báo giá'!$A$4:$A$203,0)),"")</f>
        <v/>
      </c>
      <c r="E108" s="35">
        <f>IFERROR(INDEX('Khách hàng'!$B$4:$B$103,MATCH($D108,'Khách hàng'!$A$4:$A$103,0)),"")</f>
        <v/>
      </c>
      <c r="F108" s="48" t="n"/>
      <c r="G108" s="52" t="n"/>
      <c r="H108" s="50" t="n"/>
      <c r="I108" s="41">
        <f>IFERROR(INDEX('Báo giá'!$H$4:$H$203,MATCH($C108,'Báo giá'!$A$4:$A$203,0)),"")</f>
        <v/>
      </c>
      <c r="J108" s="52" t="n"/>
      <c r="K108" s="52" t="n"/>
      <c r="L108" s="35">
        <f>IF($A108="","",IF($K108="",IF($J108="","Chưa có kế hoạch",IF(TODAY()&gt;$J108,"Trễ hạn","Đang thực hiện")),IF($K108&lt;=$J108,"Đúng hạn","Giao trễ")))</f>
        <v/>
      </c>
      <c r="M108" s="41">
        <f>IF($A108="","",IF($K108="",IF($J108="",0,MAX(0,TODAY()-$J108)),MAX(0,$K108-$J108)))</f>
        <v/>
      </c>
      <c r="N108" s="48" t="n"/>
      <c r="O108" s="53" t="n"/>
      <c r="P108" s="57">
        <f>IF($A108="","",IF(IF($Y108="",$K108,$Y108)="","",IF($Y108="",$K108,$Y108)+IF($Z108="",0,$Z108)))</f>
        <v/>
      </c>
      <c r="Q108" s="54">
        <f>IFERROR(MONTH($G108),"")</f>
        <v/>
      </c>
      <c r="R108" s="54">
        <f>IFERROR(YEAR($G108),"")</f>
        <v/>
      </c>
      <c r="S108" s="48" t="n"/>
      <c r="T108" s="58">
        <f>IFERROR(INDEX('Báo giá'!$E$4:$E$203,MATCH($C108,'Báo giá'!$A$4:$A$203,0)),"")</f>
        <v/>
      </c>
      <c r="U108" s="59" t="n"/>
      <c r="V108" s="60" t="n"/>
      <c r="W108" s="61">
        <f>IFERROR(INDEX('Báo giá'!$G$4:$G$203,MATCH($C108,'Báo giá'!$A$4:$A$203,0)),"")</f>
        <v/>
      </c>
      <c r="X108" s="55" t="n"/>
      <c r="Y108" s="55" t="n"/>
      <c r="Z108" s="62" t="n"/>
    </row>
    <row r="109" ht="15" customHeight="1" s="30">
      <c r="A109" s="48" t="n"/>
      <c r="B109" s="52" t="n"/>
      <c r="C109" s="48" t="n"/>
      <c r="D109" s="35">
        <f>IFERROR(INDEX('Báo giá'!$C$4:$C$203,MATCH($C109,'Báo giá'!$A$4:$A$203,0)),"")</f>
        <v/>
      </c>
      <c r="E109" s="35">
        <f>IFERROR(INDEX('Khách hàng'!$B$4:$B$103,MATCH($D109,'Khách hàng'!$A$4:$A$103,0)),"")</f>
        <v/>
      </c>
      <c r="F109" s="48" t="n"/>
      <c r="G109" s="52" t="n"/>
      <c r="H109" s="50" t="n"/>
      <c r="I109" s="41">
        <f>IFERROR(INDEX('Báo giá'!$H$4:$H$203,MATCH($C109,'Báo giá'!$A$4:$A$203,0)),"")</f>
        <v/>
      </c>
      <c r="J109" s="52" t="n"/>
      <c r="K109" s="52" t="n"/>
      <c r="L109" s="35">
        <f>IF($A109="","",IF($K109="",IF($J109="","Chưa có kế hoạch",IF(TODAY()&gt;$J109,"Trễ hạn","Đang thực hiện")),IF($K109&lt;=$J109,"Đúng hạn","Giao trễ")))</f>
        <v/>
      </c>
      <c r="M109" s="41">
        <f>IF($A109="","",IF($K109="",IF($J109="",0,MAX(0,TODAY()-$J109)),MAX(0,$K109-$J109)))</f>
        <v/>
      </c>
      <c r="N109" s="48" t="n"/>
      <c r="O109" s="53" t="n"/>
      <c r="P109" s="57">
        <f>IF($A109="","",IF(IF($Y109="",$K109,$Y109)="","",IF($Y109="",$K109,$Y109)+IF($Z109="",0,$Z109)))</f>
        <v/>
      </c>
      <c r="Q109" s="54">
        <f>IFERROR(MONTH($G109),"")</f>
        <v/>
      </c>
      <c r="R109" s="54">
        <f>IFERROR(YEAR($G109),"")</f>
        <v/>
      </c>
      <c r="S109" s="48" t="n"/>
      <c r="T109" s="58">
        <f>IFERROR(INDEX('Báo giá'!$E$4:$E$203,MATCH($C109,'Báo giá'!$A$4:$A$203,0)),"")</f>
        <v/>
      </c>
      <c r="U109" s="59" t="n"/>
      <c r="V109" s="60" t="n"/>
      <c r="W109" s="61">
        <f>IFERROR(INDEX('Báo giá'!$G$4:$G$203,MATCH($C109,'Báo giá'!$A$4:$A$203,0)),"")</f>
        <v/>
      </c>
      <c r="X109" s="55" t="n"/>
      <c r="Y109" s="55" t="n"/>
      <c r="Z109" s="62" t="n"/>
    </row>
    <row r="110" ht="15" customHeight="1" s="30">
      <c r="A110" s="48" t="n"/>
      <c r="B110" s="52" t="n"/>
      <c r="C110" s="48" t="n"/>
      <c r="D110" s="35">
        <f>IFERROR(INDEX('Báo giá'!$C$4:$C$203,MATCH($C110,'Báo giá'!$A$4:$A$203,0)),"")</f>
        <v/>
      </c>
      <c r="E110" s="35">
        <f>IFERROR(INDEX('Khách hàng'!$B$4:$B$103,MATCH($D110,'Khách hàng'!$A$4:$A$103,0)),"")</f>
        <v/>
      </c>
      <c r="F110" s="48" t="n"/>
      <c r="G110" s="52" t="n"/>
      <c r="H110" s="50" t="n"/>
      <c r="I110" s="41">
        <f>IFERROR(INDEX('Báo giá'!$H$4:$H$203,MATCH($C110,'Báo giá'!$A$4:$A$203,0)),"")</f>
        <v/>
      </c>
      <c r="J110" s="52" t="n"/>
      <c r="K110" s="52" t="n"/>
      <c r="L110" s="35">
        <f>IF($A110="","",IF($K110="",IF($J110="","Chưa có kế hoạch",IF(TODAY()&gt;$J110,"Trễ hạn","Đang thực hiện")),IF($K110&lt;=$J110,"Đúng hạn","Giao trễ")))</f>
        <v/>
      </c>
      <c r="M110" s="41">
        <f>IF($A110="","",IF($K110="",IF($J110="",0,MAX(0,TODAY()-$J110)),MAX(0,$K110-$J110)))</f>
        <v/>
      </c>
      <c r="N110" s="48" t="n"/>
      <c r="O110" s="53" t="n"/>
      <c r="P110" s="57">
        <f>IF($A110="","",IF(IF($Y110="",$K110,$Y110)="","",IF($Y110="",$K110,$Y110)+IF($Z110="",0,$Z110)))</f>
        <v/>
      </c>
      <c r="Q110" s="54">
        <f>IFERROR(MONTH($G110),"")</f>
        <v/>
      </c>
      <c r="R110" s="54">
        <f>IFERROR(YEAR($G110),"")</f>
        <v/>
      </c>
      <c r="S110" s="48" t="n"/>
      <c r="T110" s="58">
        <f>IFERROR(INDEX('Báo giá'!$E$4:$E$203,MATCH($C110,'Báo giá'!$A$4:$A$203,0)),"")</f>
        <v/>
      </c>
      <c r="U110" s="59" t="n"/>
      <c r="V110" s="60" t="n"/>
      <c r="W110" s="61">
        <f>IFERROR(INDEX('Báo giá'!$G$4:$G$203,MATCH($C110,'Báo giá'!$A$4:$A$203,0)),"")</f>
        <v/>
      </c>
      <c r="X110" s="55" t="n"/>
      <c r="Y110" s="55" t="n"/>
      <c r="Z110" s="62" t="n"/>
    </row>
    <row r="111" ht="15" customHeight="1" s="30">
      <c r="A111" s="48" t="n"/>
      <c r="B111" s="52" t="n"/>
      <c r="C111" s="48" t="n"/>
      <c r="D111" s="35">
        <f>IFERROR(INDEX('Báo giá'!$C$4:$C$203,MATCH($C111,'Báo giá'!$A$4:$A$203,0)),"")</f>
        <v/>
      </c>
      <c r="E111" s="35">
        <f>IFERROR(INDEX('Khách hàng'!$B$4:$B$103,MATCH($D111,'Khách hàng'!$A$4:$A$103,0)),"")</f>
        <v/>
      </c>
      <c r="F111" s="48" t="n"/>
      <c r="G111" s="52" t="n"/>
      <c r="H111" s="50" t="n"/>
      <c r="I111" s="41">
        <f>IFERROR(INDEX('Báo giá'!$H$4:$H$203,MATCH($C111,'Báo giá'!$A$4:$A$203,0)),"")</f>
        <v/>
      </c>
      <c r="J111" s="52" t="n"/>
      <c r="K111" s="52" t="n"/>
      <c r="L111" s="35">
        <f>IF($A111="","",IF($K111="",IF($J111="","Chưa có kế hoạch",IF(TODAY()&gt;$J111,"Trễ hạn","Đang thực hiện")),IF($K111&lt;=$J111,"Đúng hạn","Giao trễ")))</f>
        <v/>
      </c>
      <c r="M111" s="41">
        <f>IF($A111="","",IF($K111="",IF($J111="",0,MAX(0,TODAY()-$J111)),MAX(0,$K111-$J111)))</f>
        <v/>
      </c>
      <c r="N111" s="48" t="n"/>
      <c r="O111" s="53" t="n"/>
      <c r="P111" s="57">
        <f>IF($A111="","",IF(IF($Y111="",$K111,$Y111)="","",IF($Y111="",$K111,$Y111)+IF($Z111="",0,$Z111)))</f>
        <v/>
      </c>
      <c r="Q111" s="54">
        <f>IFERROR(MONTH($G111),"")</f>
        <v/>
      </c>
      <c r="R111" s="54">
        <f>IFERROR(YEAR($G111),"")</f>
        <v/>
      </c>
      <c r="S111" s="48" t="n"/>
      <c r="T111" s="58">
        <f>IFERROR(INDEX('Báo giá'!$E$4:$E$203,MATCH($C111,'Báo giá'!$A$4:$A$203,0)),"")</f>
        <v/>
      </c>
      <c r="U111" s="59" t="n"/>
      <c r="V111" s="60" t="n"/>
      <c r="W111" s="61">
        <f>IFERROR(INDEX('Báo giá'!$G$4:$G$203,MATCH($C111,'Báo giá'!$A$4:$A$203,0)),"")</f>
        <v/>
      </c>
      <c r="X111" s="55" t="n"/>
      <c r="Y111" s="55" t="n"/>
      <c r="Z111" s="62" t="n"/>
    </row>
    <row r="112" ht="15" customHeight="1" s="30">
      <c r="A112" s="48" t="n"/>
      <c r="B112" s="52" t="n"/>
      <c r="C112" s="48" t="n"/>
      <c r="D112" s="35">
        <f>IFERROR(INDEX('Báo giá'!$C$4:$C$203,MATCH($C112,'Báo giá'!$A$4:$A$203,0)),"")</f>
        <v/>
      </c>
      <c r="E112" s="35">
        <f>IFERROR(INDEX('Khách hàng'!$B$4:$B$103,MATCH($D112,'Khách hàng'!$A$4:$A$103,0)),"")</f>
        <v/>
      </c>
      <c r="F112" s="48" t="n"/>
      <c r="G112" s="52" t="n"/>
      <c r="H112" s="50" t="n"/>
      <c r="I112" s="41">
        <f>IFERROR(INDEX('Báo giá'!$H$4:$H$203,MATCH($C112,'Báo giá'!$A$4:$A$203,0)),"")</f>
        <v/>
      </c>
      <c r="J112" s="52" t="n"/>
      <c r="K112" s="52" t="n"/>
      <c r="L112" s="35">
        <f>IF($A112="","",IF($K112="",IF($J112="","Chưa có kế hoạch",IF(TODAY()&gt;$J112,"Trễ hạn","Đang thực hiện")),IF($K112&lt;=$J112,"Đúng hạn","Giao trễ")))</f>
        <v/>
      </c>
      <c r="M112" s="41">
        <f>IF($A112="","",IF($K112="",IF($J112="",0,MAX(0,TODAY()-$J112)),MAX(0,$K112-$J112)))</f>
        <v/>
      </c>
      <c r="N112" s="48" t="n"/>
      <c r="O112" s="53" t="n"/>
      <c r="P112" s="57">
        <f>IF($A112="","",IF(IF($Y112="",$K112,$Y112)="","",IF($Y112="",$K112,$Y112)+IF($Z112="",0,$Z112)))</f>
        <v/>
      </c>
      <c r="Q112" s="54">
        <f>IFERROR(MONTH($G112),"")</f>
        <v/>
      </c>
      <c r="R112" s="54">
        <f>IFERROR(YEAR($G112),"")</f>
        <v/>
      </c>
      <c r="S112" s="48" t="n"/>
      <c r="T112" s="58">
        <f>IFERROR(INDEX('Báo giá'!$E$4:$E$203,MATCH($C112,'Báo giá'!$A$4:$A$203,0)),"")</f>
        <v/>
      </c>
      <c r="U112" s="59" t="n"/>
      <c r="V112" s="60" t="n"/>
      <c r="W112" s="61">
        <f>IFERROR(INDEX('Báo giá'!$G$4:$G$203,MATCH($C112,'Báo giá'!$A$4:$A$203,0)),"")</f>
        <v/>
      </c>
      <c r="X112" s="55" t="n"/>
      <c r="Y112" s="55" t="n"/>
      <c r="Z112" s="62" t="n"/>
    </row>
    <row r="113" ht="15" customHeight="1" s="30">
      <c r="A113" s="48" t="n"/>
      <c r="B113" s="52" t="n"/>
      <c r="C113" s="48" t="n"/>
      <c r="D113" s="35">
        <f>IFERROR(INDEX('Báo giá'!$C$4:$C$203,MATCH($C113,'Báo giá'!$A$4:$A$203,0)),"")</f>
        <v/>
      </c>
      <c r="E113" s="35">
        <f>IFERROR(INDEX('Khách hàng'!$B$4:$B$103,MATCH($D113,'Khách hàng'!$A$4:$A$103,0)),"")</f>
        <v/>
      </c>
      <c r="F113" s="48" t="n"/>
      <c r="G113" s="52" t="n"/>
      <c r="H113" s="50" t="n"/>
      <c r="I113" s="41">
        <f>IFERROR(INDEX('Báo giá'!$H$4:$H$203,MATCH($C113,'Báo giá'!$A$4:$A$203,0)),"")</f>
        <v/>
      </c>
      <c r="J113" s="52" t="n"/>
      <c r="K113" s="52" t="n"/>
      <c r="L113" s="35">
        <f>IF($A113="","",IF($K113="",IF($J113="","Chưa có kế hoạch",IF(TODAY()&gt;$J113,"Trễ hạn","Đang thực hiện")),IF($K113&lt;=$J113,"Đúng hạn","Giao trễ")))</f>
        <v/>
      </c>
      <c r="M113" s="41">
        <f>IF($A113="","",IF($K113="",IF($J113="",0,MAX(0,TODAY()-$J113)),MAX(0,$K113-$J113)))</f>
        <v/>
      </c>
      <c r="N113" s="48" t="n"/>
      <c r="O113" s="53" t="n"/>
      <c r="P113" s="57">
        <f>IF($A113="","",IF(IF($Y113="",$K113,$Y113)="","",IF($Y113="",$K113,$Y113)+IF($Z113="",0,$Z113)))</f>
        <v/>
      </c>
      <c r="Q113" s="54">
        <f>IFERROR(MONTH($G113),"")</f>
        <v/>
      </c>
      <c r="R113" s="54">
        <f>IFERROR(YEAR($G113),"")</f>
        <v/>
      </c>
      <c r="S113" s="48" t="n"/>
      <c r="T113" s="58">
        <f>IFERROR(INDEX('Báo giá'!$E$4:$E$203,MATCH($C113,'Báo giá'!$A$4:$A$203,0)),"")</f>
        <v/>
      </c>
      <c r="U113" s="59" t="n"/>
      <c r="V113" s="60" t="n"/>
      <c r="W113" s="61">
        <f>IFERROR(INDEX('Báo giá'!$G$4:$G$203,MATCH($C113,'Báo giá'!$A$4:$A$203,0)),"")</f>
        <v/>
      </c>
      <c r="X113" s="55" t="n"/>
      <c r="Y113" s="55" t="n"/>
      <c r="Z113" s="62" t="n"/>
    </row>
    <row r="114" ht="15" customHeight="1" s="30">
      <c r="A114" s="48" t="n"/>
      <c r="B114" s="52" t="n"/>
      <c r="C114" s="48" t="n"/>
      <c r="D114" s="35">
        <f>IFERROR(INDEX('Báo giá'!$C$4:$C$203,MATCH($C114,'Báo giá'!$A$4:$A$203,0)),"")</f>
        <v/>
      </c>
      <c r="E114" s="35">
        <f>IFERROR(INDEX('Khách hàng'!$B$4:$B$103,MATCH($D114,'Khách hàng'!$A$4:$A$103,0)),"")</f>
        <v/>
      </c>
      <c r="F114" s="48" t="n"/>
      <c r="G114" s="52" t="n"/>
      <c r="H114" s="50" t="n"/>
      <c r="I114" s="41">
        <f>IFERROR(INDEX('Báo giá'!$H$4:$H$203,MATCH($C114,'Báo giá'!$A$4:$A$203,0)),"")</f>
        <v/>
      </c>
      <c r="J114" s="52" t="n"/>
      <c r="K114" s="52" t="n"/>
      <c r="L114" s="35">
        <f>IF($A114="","",IF($K114="",IF($J114="","Chưa có kế hoạch",IF(TODAY()&gt;$J114,"Trễ hạn","Đang thực hiện")),IF($K114&lt;=$J114,"Đúng hạn","Giao trễ")))</f>
        <v/>
      </c>
      <c r="M114" s="41">
        <f>IF($A114="","",IF($K114="",IF($J114="",0,MAX(0,TODAY()-$J114)),MAX(0,$K114-$J114)))</f>
        <v/>
      </c>
      <c r="N114" s="48" t="n"/>
      <c r="O114" s="53" t="n"/>
      <c r="P114" s="57">
        <f>IF($A114="","",IF(IF($Y114="",$K114,$Y114)="","",IF($Y114="",$K114,$Y114)+IF($Z114="",0,$Z114)))</f>
        <v/>
      </c>
      <c r="Q114" s="54">
        <f>IFERROR(MONTH($G114),"")</f>
        <v/>
      </c>
      <c r="R114" s="54">
        <f>IFERROR(YEAR($G114),"")</f>
        <v/>
      </c>
      <c r="S114" s="48" t="n"/>
      <c r="T114" s="58">
        <f>IFERROR(INDEX('Báo giá'!$E$4:$E$203,MATCH($C114,'Báo giá'!$A$4:$A$203,0)),"")</f>
        <v/>
      </c>
      <c r="U114" s="59" t="n"/>
      <c r="V114" s="60" t="n"/>
      <c r="W114" s="61">
        <f>IFERROR(INDEX('Báo giá'!$G$4:$G$203,MATCH($C114,'Báo giá'!$A$4:$A$203,0)),"")</f>
        <v/>
      </c>
      <c r="X114" s="55" t="n"/>
      <c r="Y114" s="55" t="n"/>
      <c r="Z114" s="62" t="n"/>
    </row>
    <row r="115" ht="15" customHeight="1" s="30">
      <c r="A115" s="48" t="n"/>
      <c r="B115" s="52" t="n"/>
      <c r="C115" s="48" t="n"/>
      <c r="D115" s="35">
        <f>IFERROR(INDEX('Báo giá'!$C$4:$C$203,MATCH($C115,'Báo giá'!$A$4:$A$203,0)),"")</f>
        <v/>
      </c>
      <c r="E115" s="35">
        <f>IFERROR(INDEX('Khách hàng'!$B$4:$B$103,MATCH($D115,'Khách hàng'!$A$4:$A$103,0)),"")</f>
        <v/>
      </c>
      <c r="F115" s="48" t="n"/>
      <c r="G115" s="52" t="n"/>
      <c r="H115" s="50" t="n"/>
      <c r="I115" s="41">
        <f>IFERROR(INDEX('Báo giá'!$H$4:$H$203,MATCH($C115,'Báo giá'!$A$4:$A$203,0)),"")</f>
        <v/>
      </c>
      <c r="J115" s="52" t="n"/>
      <c r="K115" s="52" t="n"/>
      <c r="L115" s="35">
        <f>IF($A115="","",IF($K115="",IF($J115="","Chưa có kế hoạch",IF(TODAY()&gt;$J115,"Trễ hạn","Đang thực hiện")),IF($K115&lt;=$J115,"Đúng hạn","Giao trễ")))</f>
        <v/>
      </c>
      <c r="M115" s="41">
        <f>IF($A115="","",IF($K115="",IF($J115="",0,MAX(0,TODAY()-$J115)),MAX(0,$K115-$J115)))</f>
        <v/>
      </c>
      <c r="N115" s="48" t="n"/>
      <c r="O115" s="53" t="n"/>
      <c r="P115" s="57">
        <f>IF($A115="","",IF(IF($Y115="",$K115,$Y115)="","",IF($Y115="",$K115,$Y115)+IF($Z115="",0,$Z115)))</f>
        <v/>
      </c>
      <c r="Q115" s="54">
        <f>IFERROR(MONTH($G115),"")</f>
        <v/>
      </c>
      <c r="R115" s="54">
        <f>IFERROR(YEAR($G115),"")</f>
        <v/>
      </c>
      <c r="S115" s="48" t="n"/>
      <c r="T115" s="58">
        <f>IFERROR(INDEX('Báo giá'!$E$4:$E$203,MATCH($C115,'Báo giá'!$A$4:$A$203,0)),"")</f>
        <v/>
      </c>
      <c r="U115" s="59" t="n"/>
      <c r="V115" s="60" t="n"/>
      <c r="W115" s="61">
        <f>IFERROR(INDEX('Báo giá'!$G$4:$G$203,MATCH($C115,'Báo giá'!$A$4:$A$203,0)),"")</f>
        <v/>
      </c>
      <c r="X115" s="55" t="n"/>
      <c r="Y115" s="55" t="n"/>
      <c r="Z115" s="62" t="n"/>
    </row>
    <row r="116" ht="15" customHeight="1" s="30">
      <c r="A116" s="48" t="n"/>
      <c r="B116" s="52" t="n"/>
      <c r="C116" s="48" t="n"/>
      <c r="D116" s="35">
        <f>IFERROR(INDEX('Báo giá'!$C$4:$C$203,MATCH($C116,'Báo giá'!$A$4:$A$203,0)),"")</f>
        <v/>
      </c>
      <c r="E116" s="35">
        <f>IFERROR(INDEX('Khách hàng'!$B$4:$B$103,MATCH($D116,'Khách hàng'!$A$4:$A$103,0)),"")</f>
        <v/>
      </c>
      <c r="F116" s="48" t="n"/>
      <c r="G116" s="52" t="n"/>
      <c r="H116" s="50" t="n"/>
      <c r="I116" s="41">
        <f>IFERROR(INDEX('Báo giá'!$H$4:$H$203,MATCH($C116,'Báo giá'!$A$4:$A$203,0)),"")</f>
        <v/>
      </c>
      <c r="J116" s="52" t="n"/>
      <c r="K116" s="52" t="n"/>
      <c r="L116" s="35">
        <f>IF($A116="","",IF($K116="",IF($J116="","Chưa có kế hoạch",IF(TODAY()&gt;$J116,"Trễ hạn","Đang thực hiện")),IF($K116&lt;=$J116,"Đúng hạn","Giao trễ")))</f>
        <v/>
      </c>
      <c r="M116" s="41">
        <f>IF($A116="","",IF($K116="",IF($J116="",0,MAX(0,TODAY()-$J116)),MAX(0,$K116-$J116)))</f>
        <v/>
      </c>
      <c r="N116" s="48" t="n"/>
      <c r="O116" s="53" t="n"/>
      <c r="P116" s="57">
        <f>IF($A116="","",IF(IF($Y116="",$K116,$Y116)="","",IF($Y116="",$K116,$Y116)+IF($Z116="",0,$Z116)))</f>
        <v/>
      </c>
      <c r="Q116" s="54">
        <f>IFERROR(MONTH($G116),"")</f>
        <v/>
      </c>
      <c r="R116" s="54">
        <f>IFERROR(YEAR($G116),"")</f>
        <v/>
      </c>
      <c r="S116" s="48" t="n"/>
      <c r="T116" s="58">
        <f>IFERROR(INDEX('Báo giá'!$E$4:$E$203,MATCH($C116,'Báo giá'!$A$4:$A$203,0)),"")</f>
        <v/>
      </c>
      <c r="U116" s="59" t="n"/>
      <c r="V116" s="60" t="n"/>
      <c r="W116" s="61">
        <f>IFERROR(INDEX('Báo giá'!$G$4:$G$203,MATCH($C116,'Báo giá'!$A$4:$A$203,0)),"")</f>
        <v/>
      </c>
      <c r="X116" s="55" t="n"/>
      <c r="Y116" s="55" t="n"/>
      <c r="Z116" s="62" t="n"/>
    </row>
    <row r="117" ht="15" customHeight="1" s="30">
      <c r="A117" s="48" t="n"/>
      <c r="B117" s="52" t="n"/>
      <c r="C117" s="48" t="n"/>
      <c r="D117" s="35">
        <f>IFERROR(INDEX('Báo giá'!$C$4:$C$203,MATCH($C117,'Báo giá'!$A$4:$A$203,0)),"")</f>
        <v/>
      </c>
      <c r="E117" s="35">
        <f>IFERROR(INDEX('Khách hàng'!$B$4:$B$103,MATCH($D117,'Khách hàng'!$A$4:$A$103,0)),"")</f>
        <v/>
      </c>
      <c r="F117" s="48" t="n"/>
      <c r="G117" s="52" t="n"/>
      <c r="H117" s="50" t="n"/>
      <c r="I117" s="41">
        <f>IFERROR(INDEX('Báo giá'!$H$4:$H$203,MATCH($C117,'Báo giá'!$A$4:$A$203,0)),"")</f>
        <v/>
      </c>
      <c r="J117" s="52" t="n"/>
      <c r="K117" s="52" t="n"/>
      <c r="L117" s="35">
        <f>IF($A117="","",IF($K117="",IF($J117="","Chưa có kế hoạch",IF(TODAY()&gt;$J117,"Trễ hạn","Đang thực hiện")),IF($K117&lt;=$J117,"Đúng hạn","Giao trễ")))</f>
        <v/>
      </c>
      <c r="M117" s="41">
        <f>IF($A117="","",IF($K117="",IF($J117="",0,MAX(0,TODAY()-$J117)),MAX(0,$K117-$J117)))</f>
        <v/>
      </c>
      <c r="N117" s="48" t="n"/>
      <c r="O117" s="53" t="n"/>
      <c r="P117" s="57">
        <f>IF($A117="","",IF(IF($Y117="",$K117,$Y117)="","",IF($Y117="",$K117,$Y117)+IF($Z117="",0,$Z117)))</f>
        <v/>
      </c>
      <c r="Q117" s="54">
        <f>IFERROR(MONTH($G117),"")</f>
        <v/>
      </c>
      <c r="R117" s="54">
        <f>IFERROR(YEAR($G117),"")</f>
        <v/>
      </c>
      <c r="S117" s="48" t="n"/>
      <c r="T117" s="58">
        <f>IFERROR(INDEX('Báo giá'!$E$4:$E$203,MATCH($C117,'Báo giá'!$A$4:$A$203,0)),"")</f>
        <v/>
      </c>
      <c r="U117" s="59" t="n"/>
      <c r="V117" s="60" t="n"/>
      <c r="W117" s="61">
        <f>IFERROR(INDEX('Báo giá'!$G$4:$G$203,MATCH($C117,'Báo giá'!$A$4:$A$203,0)),"")</f>
        <v/>
      </c>
      <c r="X117" s="55" t="n"/>
      <c r="Y117" s="55" t="n"/>
      <c r="Z117" s="62" t="n"/>
    </row>
    <row r="118" ht="15" customHeight="1" s="30">
      <c r="A118" s="48" t="n"/>
      <c r="B118" s="52" t="n"/>
      <c r="C118" s="48" t="n"/>
      <c r="D118" s="35">
        <f>IFERROR(INDEX('Báo giá'!$C$4:$C$203,MATCH($C118,'Báo giá'!$A$4:$A$203,0)),"")</f>
        <v/>
      </c>
      <c r="E118" s="35">
        <f>IFERROR(INDEX('Khách hàng'!$B$4:$B$103,MATCH($D118,'Khách hàng'!$A$4:$A$103,0)),"")</f>
        <v/>
      </c>
      <c r="F118" s="48" t="n"/>
      <c r="G118" s="52" t="n"/>
      <c r="H118" s="50" t="n"/>
      <c r="I118" s="41">
        <f>IFERROR(INDEX('Báo giá'!$H$4:$H$203,MATCH($C118,'Báo giá'!$A$4:$A$203,0)),"")</f>
        <v/>
      </c>
      <c r="J118" s="52" t="n"/>
      <c r="K118" s="52" t="n"/>
      <c r="L118" s="35">
        <f>IF($A118="","",IF($K118="",IF($J118="","Chưa có kế hoạch",IF(TODAY()&gt;$J118,"Trễ hạn","Đang thực hiện")),IF($K118&lt;=$J118,"Đúng hạn","Giao trễ")))</f>
        <v/>
      </c>
      <c r="M118" s="41">
        <f>IF($A118="","",IF($K118="",IF($J118="",0,MAX(0,TODAY()-$J118)),MAX(0,$K118-$J118)))</f>
        <v/>
      </c>
      <c r="N118" s="48" t="n"/>
      <c r="O118" s="53" t="n"/>
      <c r="P118" s="57">
        <f>IF($A118="","",IF(IF($Y118="",$K118,$Y118)="","",IF($Y118="",$K118,$Y118)+IF($Z118="",0,$Z118)))</f>
        <v/>
      </c>
      <c r="Q118" s="54">
        <f>IFERROR(MONTH($G118),"")</f>
        <v/>
      </c>
      <c r="R118" s="54">
        <f>IFERROR(YEAR($G118),"")</f>
        <v/>
      </c>
      <c r="S118" s="48" t="n"/>
      <c r="T118" s="58">
        <f>IFERROR(INDEX('Báo giá'!$E$4:$E$203,MATCH($C118,'Báo giá'!$A$4:$A$203,0)),"")</f>
        <v/>
      </c>
      <c r="U118" s="59" t="n"/>
      <c r="V118" s="60" t="n"/>
      <c r="W118" s="61">
        <f>IFERROR(INDEX('Báo giá'!$G$4:$G$203,MATCH($C118,'Báo giá'!$A$4:$A$203,0)),"")</f>
        <v/>
      </c>
      <c r="X118" s="55" t="n"/>
      <c r="Y118" s="55" t="n"/>
      <c r="Z118" s="62" t="n"/>
    </row>
    <row r="119" ht="15" customHeight="1" s="30">
      <c r="A119" s="48" t="n"/>
      <c r="B119" s="52" t="n"/>
      <c r="C119" s="48" t="n"/>
      <c r="D119" s="35">
        <f>IFERROR(INDEX('Báo giá'!$C$4:$C$203,MATCH($C119,'Báo giá'!$A$4:$A$203,0)),"")</f>
        <v/>
      </c>
      <c r="E119" s="35">
        <f>IFERROR(INDEX('Khách hàng'!$B$4:$B$103,MATCH($D119,'Khách hàng'!$A$4:$A$103,0)),"")</f>
        <v/>
      </c>
      <c r="F119" s="48" t="n"/>
      <c r="G119" s="52" t="n"/>
      <c r="H119" s="50" t="n"/>
      <c r="I119" s="41">
        <f>IFERROR(INDEX('Báo giá'!$H$4:$H$203,MATCH($C119,'Báo giá'!$A$4:$A$203,0)),"")</f>
        <v/>
      </c>
      <c r="J119" s="52" t="n"/>
      <c r="K119" s="52" t="n"/>
      <c r="L119" s="35">
        <f>IF($A119="","",IF($K119="",IF($J119="","Chưa có kế hoạch",IF(TODAY()&gt;$J119,"Trễ hạn","Đang thực hiện")),IF($K119&lt;=$J119,"Đúng hạn","Giao trễ")))</f>
        <v/>
      </c>
      <c r="M119" s="41">
        <f>IF($A119="","",IF($K119="",IF($J119="",0,MAX(0,TODAY()-$J119)),MAX(0,$K119-$J119)))</f>
        <v/>
      </c>
      <c r="N119" s="48" t="n"/>
      <c r="O119" s="53" t="n"/>
      <c r="P119" s="57">
        <f>IF($A119="","",IF(IF($Y119="",$K119,$Y119)="","",IF($Y119="",$K119,$Y119)+IF($Z119="",0,$Z119)))</f>
        <v/>
      </c>
      <c r="Q119" s="54">
        <f>IFERROR(MONTH($G119),"")</f>
        <v/>
      </c>
      <c r="R119" s="54">
        <f>IFERROR(YEAR($G119),"")</f>
        <v/>
      </c>
      <c r="S119" s="48" t="n"/>
      <c r="T119" s="58">
        <f>IFERROR(INDEX('Báo giá'!$E$4:$E$203,MATCH($C119,'Báo giá'!$A$4:$A$203,0)),"")</f>
        <v/>
      </c>
      <c r="U119" s="59" t="n"/>
      <c r="V119" s="60" t="n"/>
      <c r="W119" s="61">
        <f>IFERROR(INDEX('Báo giá'!$G$4:$G$203,MATCH($C119,'Báo giá'!$A$4:$A$203,0)),"")</f>
        <v/>
      </c>
      <c r="X119" s="55" t="n"/>
      <c r="Y119" s="55" t="n"/>
      <c r="Z119" s="62" t="n"/>
    </row>
    <row r="120" ht="15" customHeight="1" s="30">
      <c r="A120" s="48" t="n"/>
      <c r="B120" s="52" t="n"/>
      <c r="C120" s="48" t="n"/>
      <c r="D120" s="35">
        <f>IFERROR(INDEX('Báo giá'!$C$4:$C$203,MATCH($C120,'Báo giá'!$A$4:$A$203,0)),"")</f>
        <v/>
      </c>
      <c r="E120" s="35">
        <f>IFERROR(INDEX('Khách hàng'!$B$4:$B$103,MATCH($D120,'Khách hàng'!$A$4:$A$103,0)),"")</f>
        <v/>
      </c>
      <c r="F120" s="48" t="n"/>
      <c r="G120" s="52" t="n"/>
      <c r="H120" s="50" t="n"/>
      <c r="I120" s="41">
        <f>IFERROR(INDEX('Báo giá'!$H$4:$H$203,MATCH($C120,'Báo giá'!$A$4:$A$203,0)),"")</f>
        <v/>
      </c>
      <c r="J120" s="52" t="n"/>
      <c r="K120" s="52" t="n"/>
      <c r="L120" s="35">
        <f>IF($A120="","",IF($K120="",IF($J120="","Chưa có kế hoạch",IF(TODAY()&gt;$J120,"Trễ hạn","Đang thực hiện")),IF($K120&lt;=$J120,"Đúng hạn","Giao trễ")))</f>
        <v/>
      </c>
      <c r="M120" s="41">
        <f>IF($A120="","",IF($K120="",IF($J120="",0,MAX(0,TODAY()-$J120)),MAX(0,$K120-$J120)))</f>
        <v/>
      </c>
      <c r="N120" s="48" t="n"/>
      <c r="O120" s="53" t="n"/>
      <c r="P120" s="57">
        <f>IF($A120="","",IF(IF($Y120="",$K120,$Y120)="","",IF($Y120="",$K120,$Y120)+IF($Z120="",0,$Z120)))</f>
        <v/>
      </c>
      <c r="Q120" s="54">
        <f>IFERROR(MONTH($G120),"")</f>
        <v/>
      </c>
      <c r="R120" s="54">
        <f>IFERROR(YEAR($G120),"")</f>
        <v/>
      </c>
      <c r="S120" s="48" t="n"/>
      <c r="T120" s="58">
        <f>IFERROR(INDEX('Báo giá'!$E$4:$E$203,MATCH($C120,'Báo giá'!$A$4:$A$203,0)),"")</f>
        <v/>
      </c>
      <c r="U120" s="59" t="n"/>
      <c r="V120" s="60" t="n"/>
      <c r="W120" s="61">
        <f>IFERROR(INDEX('Báo giá'!$G$4:$G$203,MATCH($C120,'Báo giá'!$A$4:$A$203,0)),"")</f>
        <v/>
      </c>
      <c r="X120" s="55" t="n"/>
      <c r="Y120" s="55" t="n"/>
      <c r="Z120" s="62" t="n"/>
    </row>
    <row r="121" ht="15" customHeight="1" s="30">
      <c r="A121" s="48" t="n"/>
      <c r="B121" s="52" t="n"/>
      <c r="C121" s="48" t="n"/>
      <c r="D121" s="35">
        <f>IFERROR(INDEX('Báo giá'!$C$4:$C$203,MATCH($C121,'Báo giá'!$A$4:$A$203,0)),"")</f>
        <v/>
      </c>
      <c r="E121" s="35">
        <f>IFERROR(INDEX('Khách hàng'!$B$4:$B$103,MATCH($D121,'Khách hàng'!$A$4:$A$103,0)),"")</f>
        <v/>
      </c>
      <c r="F121" s="48" t="n"/>
      <c r="G121" s="52" t="n"/>
      <c r="H121" s="50" t="n"/>
      <c r="I121" s="41">
        <f>IFERROR(INDEX('Báo giá'!$H$4:$H$203,MATCH($C121,'Báo giá'!$A$4:$A$203,0)),"")</f>
        <v/>
      </c>
      <c r="J121" s="52" t="n"/>
      <c r="K121" s="52" t="n"/>
      <c r="L121" s="35">
        <f>IF($A121="","",IF($K121="",IF($J121="","Chưa có kế hoạch",IF(TODAY()&gt;$J121,"Trễ hạn","Đang thực hiện")),IF($K121&lt;=$J121,"Đúng hạn","Giao trễ")))</f>
        <v/>
      </c>
      <c r="M121" s="41">
        <f>IF($A121="","",IF($K121="",IF($J121="",0,MAX(0,TODAY()-$J121)),MAX(0,$K121-$J121)))</f>
        <v/>
      </c>
      <c r="N121" s="48" t="n"/>
      <c r="O121" s="53" t="n"/>
      <c r="P121" s="57">
        <f>IF($A121="","",IF(IF($Y121="",$K121,$Y121)="","",IF($Y121="",$K121,$Y121)+IF($Z121="",0,$Z121)))</f>
        <v/>
      </c>
      <c r="Q121" s="54">
        <f>IFERROR(MONTH($G121),"")</f>
        <v/>
      </c>
      <c r="R121" s="54">
        <f>IFERROR(YEAR($G121),"")</f>
        <v/>
      </c>
      <c r="S121" s="48" t="n"/>
      <c r="T121" s="58">
        <f>IFERROR(INDEX('Báo giá'!$E$4:$E$203,MATCH($C121,'Báo giá'!$A$4:$A$203,0)),"")</f>
        <v/>
      </c>
      <c r="U121" s="59" t="n"/>
      <c r="V121" s="60" t="n"/>
      <c r="W121" s="61">
        <f>IFERROR(INDEX('Báo giá'!$G$4:$G$203,MATCH($C121,'Báo giá'!$A$4:$A$203,0)),"")</f>
        <v/>
      </c>
      <c r="X121" s="55" t="n"/>
      <c r="Y121" s="55" t="n"/>
      <c r="Z121" s="62" t="n"/>
    </row>
    <row r="122" ht="15" customHeight="1" s="30">
      <c r="A122" s="48" t="n"/>
      <c r="B122" s="52" t="n"/>
      <c r="C122" s="48" t="n"/>
      <c r="D122" s="35">
        <f>IFERROR(INDEX('Báo giá'!$C$4:$C$203,MATCH($C122,'Báo giá'!$A$4:$A$203,0)),"")</f>
        <v/>
      </c>
      <c r="E122" s="35">
        <f>IFERROR(INDEX('Khách hàng'!$B$4:$B$103,MATCH($D122,'Khách hàng'!$A$4:$A$103,0)),"")</f>
        <v/>
      </c>
      <c r="F122" s="48" t="n"/>
      <c r="G122" s="52" t="n"/>
      <c r="H122" s="50" t="n"/>
      <c r="I122" s="41">
        <f>IFERROR(INDEX('Báo giá'!$H$4:$H$203,MATCH($C122,'Báo giá'!$A$4:$A$203,0)),"")</f>
        <v/>
      </c>
      <c r="J122" s="52" t="n"/>
      <c r="K122" s="52" t="n"/>
      <c r="L122" s="35">
        <f>IF($A122="","",IF($K122="",IF($J122="","Chưa có kế hoạch",IF(TODAY()&gt;$J122,"Trễ hạn","Đang thực hiện")),IF($K122&lt;=$J122,"Đúng hạn","Giao trễ")))</f>
        <v/>
      </c>
      <c r="M122" s="41">
        <f>IF($A122="","",IF($K122="",IF($J122="",0,MAX(0,TODAY()-$J122)),MAX(0,$K122-$J122)))</f>
        <v/>
      </c>
      <c r="N122" s="48" t="n"/>
      <c r="O122" s="53" t="n"/>
      <c r="P122" s="57">
        <f>IF($A122="","",IF(IF($Y122="",$K122,$Y122)="","",IF($Y122="",$K122,$Y122)+IF($Z122="",0,$Z122)))</f>
        <v/>
      </c>
      <c r="Q122" s="54">
        <f>IFERROR(MONTH($G122),"")</f>
        <v/>
      </c>
      <c r="R122" s="54">
        <f>IFERROR(YEAR($G122),"")</f>
        <v/>
      </c>
      <c r="S122" s="48" t="n"/>
      <c r="T122" s="58">
        <f>IFERROR(INDEX('Báo giá'!$E$4:$E$203,MATCH($C122,'Báo giá'!$A$4:$A$203,0)),"")</f>
        <v/>
      </c>
      <c r="U122" s="59" t="n"/>
      <c r="V122" s="60" t="n"/>
      <c r="W122" s="61">
        <f>IFERROR(INDEX('Báo giá'!$G$4:$G$203,MATCH($C122,'Báo giá'!$A$4:$A$203,0)),"")</f>
        <v/>
      </c>
      <c r="X122" s="55" t="n"/>
      <c r="Y122" s="55" t="n"/>
      <c r="Z122" s="62" t="n"/>
    </row>
    <row r="123" ht="15" customHeight="1" s="30">
      <c r="A123" s="48" t="n"/>
      <c r="B123" s="52" t="n"/>
      <c r="C123" s="48" t="n"/>
      <c r="D123" s="35">
        <f>IFERROR(INDEX('Báo giá'!$C$4:$C$203,MATCH($C123,'Báo giá'!$A$4:$A$203,0)),"")</f>
        <v/>
      </c>
      <c r="E123" s="35">
        <f>IFERROR(INDEX('Khách hàng'!$B$4:$B$103,MATCH($D123,'Khách hàng'!$A$4:$A$103,0)),"")</f>
        <v/>
      </c>
      <c r="F123" s="48" t="n"/>
      <c r="G123" s="52" t="n"/>
      <c r="H123" s="50" t="n"/>
      <c r="I123" s="41">
        <f>IFERROR(INDEX('Báo giá'!$H$4:$H$203,MATCH($C123,'Báo giá'!$A$4:$A$203,0)),"")</f>
        <v/>
      </c>
      <c r="J123" s="52" t="n"/>
      <c r="K123" s="52" t="n"/>
      <c r="L123" s="35">
        <f>IF($A123="","",IF($K123="",IF($J123="","Chưa có kế hoạch",IF(TODAY()&gt;$J123,"Trễ hạn","Đang thực hiện")),IF($K123&lt;=$J123,"Đúng hạn","Giao trễ")))</f>
        <v/>
      </c>
      <c r="M123" s="41">
        <f>IF($A123="","",IF($K123="",IF($J123="",0,MAX(0,TODAY()-$J123)),MAX(0,$K123-$J123)))</f>
        <v/>
      </c>
      <c r="N123" s="48" t="n"/>
      <c r="O123" s="53" t="n"/>
      <c r="P123" s="57">
        <f>IF($A123="","",IF(IF($Y123="",$K123,$Y123)="","",IF($Y123="",$K123,$Y123)+IF($Z123="",0,$Z123)))</f>
        <v/>
      </c>
      <c r="Q123" s="54">
        <f>IFERROR(MONTH($G123),"")</f>
        <v/>
      </c>
      <c r="R123" s="54">
        <f>IFERROR(YEAR($G123),"")</f>
        <v/>
      </c>
      <c r="S123" s="48" t="n"/>
      <c r="T123" s="58">
        <f>IFERROR(INDEX('Báo giá'!$E$4:$E$203,MATCH($C123,'Báo giá'!$A$4:$A$203,0)),"")</f>
        <v/>
      </c>
      <c r="U123" s="59" t="n"/>
      <c r="V123" s="60" t="n"/>
      <c r="W123" s="61">
        <f>IFERROR(INDEX('Báo giá'!$G$4:$G$203,MATCH($C123,'Báo giá'!$A$4:$A$203,0)),"")</f>
        <v/>
      </c>
      <c r="X123" s="55" t="n"/>
      <c r="Y123" s="55" t="n"/>
      <c r="Z123" s="62" t="n"/>
    </row>
    <row r="124" ht="15" customHeight="1" s="30">
      <c r="A124" s="48" t="n"/>
      <c r="B124" s="52" t="n"/>
      <c r="C124" s="48" t="n"/>
      <c r="D124" s="35">
        <f>IFERROR(INDEX('Báo giá'!$C$4:$C$203,MATCH($C124,'Báo giá'!$A$4:$A$203,0)),"")</f>
        <v/>
      </c>
      <c r="E124" s="35">
        <f>IFERROR(INDEX('Khách hàng'!$B$4:$B$103,MATCH($D124,'Khách hàng'!$A$4:$A$103,0)),"")</f>
        <v/>
      </c>
      <c r="F124" s="48" t="n"/>
      <c r="G124" s="52" t="n"/>
      <c r="H124" s="50" t="n"/>
      <c r="I124" s="41">
        <f>IFERROR(INDEX('Báo giá'!$H$4:$H$203,MATCH($C124,'Báo giá'!$A$4:$A$203,0)),"")</f>
        <v/>
      </c>
      <c r="J124" s="52" t="n"/>
      <c r="K124" s="52" t="n"/>
      <c r="L124" s="35">
        <f>IF($A124="","",IF($K124="",IF($J124="","Chưa có kế hoạch",IF(TODAY()&gt;$J124,"Trễ hạn","Đang thực hiện")),IF($K124&lt;=$J124,"Đúng hạn","Giao trễ")))</f>
        <v/>
      </c>
      <c r="M124" s="41">
        <f>IF($A124="","",IF($K124="",IF($J124="",0,MAX(0,TODAY()-$J124)),MAX(0,$K124-$J124)))</f>
        <v/>
      </c>
      <c r="N124" s="48" t="n"/>
      <c r="O124" s="53" t="n"/>
      <c r="P124" s="57">
        <f>IF($A124="","",IF(IF($Y124="",$K124,$Y124)="","",IF($Y124="",$K124,$Y124)+IF($Z124="",0,$Z124)))</f>
        <v/>
      </c>
      <c r="Q124" s="54">
        <f>IFERROR(MONTH($G124),"")</f>
        <v/>
      </c>
      <c r="R124" s="54">
        <f>IFERROR(YEAR($G124),"")</f>
        <v/>
      </c>
      <c r="S124" s="48" t="n"/>
      <c r="T124" s="58">
        <f>IFERROR(INDEX('Báo giá'!$E$4:$E$203,MATCH($C124,'Báo giá'!$A$4:$A$203,0)),"")</f>
        <v/>
      </c>
      <c r="U124" s="59" t="n"/>
      <c r="V124" s="60" t="n"/>
      <c r="W124" s="61">
        <f>IFERROR(INDEX('Báo giá'!$G$4:$G$203,MATCH($C124,'Báo giá'!$A$4:$A$203,0)),"")</f>
        <v/>
      </c>
      <c r="X124" s="55" t="n"/>
      <c r="Y124" s="55" t="n"/>
      <c r="Z124" s="62" t="n"/>
    </row>
    <row r="125" ht="15" customHeight="1" s="30">
      <c r="A125" s="48" t="n"/>
      <c r="B125" s="52" t="n"/>
      <c r="C125" s="48" t="n"/>
      <c r="D125" s="35">
        <f>IFERROR(INDEX('Báo giá'!$C$4:$C$203,MATCH($C125,'Báo giá'!$A$4:$A$203,0)),"")</f>
        <v/>
      </c>
      <c r="E125" s="35">
        <f>IFERROR(INDEX('Khách hàng'!$B$4:$B$103,MATCH($D125,'Khách hàng'!$A$4:$A$103,0)),"")</f>
        <v/>
      </c>
      <c r="F125" s="48" t="n"/>
      <c r="G125" s="52" t="n"/>
      <c r="H125" s="50" t="n"/>
      <c r="I125" s="41">
        <f>IFERROR(INDEX('Báo giá'!$H$4:$H$203,MATCH($C125,'Báo giá'!$A$4:$A$203,0)),"")</f>
        <v/>
      </c>
      <c r="J125" s="52" t="n"/>
      <c r="K125" s="52" t="n"/>
      <c r="L125" s="35">
        <f>IF($A125="","",IF($K125="",IF($J125="","Chưa có kế hoạch",IF(TODAY()&gt;$J125,"Trễ hạn","Đang thực hiện")),IF($K125&lt;=$J125,"Đúng hạn","Giao trễ")))</f>
        <v/>
      </c>
      <c r="M125" s="41">
        <f>IF($A125="","",IF($K125="",IF($J125="",0,MAX(0,TODAY()-$J125)),MAX(0,$K125-$J125)))</f>
        <v/>
      </c>
      <c r="N125" s="48" t="n"/>
      <c r="O125" s="53" t="n"/>
      <c r="P125" s="57">
        <f>IF($A125="","",IF(IF($Y125="",$K125,$Y125)="","",IF($Y125="",$K125,$Y125)+IF($Z125="",0,$Z125)))</f>
        <v/>
      </c>
      <c r="Q125" s="54">
        <f>IFERROR(MONTH($G125),"")</f>
        <v/>
      </c>
      <c r="R125" s="54">
        <f>IFERROR(YEAR($G125),"")</f>
        <v/>
      </c>
      <c r="S125" s="48" t="n"/>
      <c r="T125" s="58">
        <f>IFERROR(INDEX('Báo giá'!$E$4:$E$203,MATCH($C125,'Báo giá'!$A$4:$A$203,0)),"")</f>
        <v/>
      </c>
      <c r="U125" s="59" t="n"/>
      <c r="V125" s="60" t="n"/>
      <c r="W125" s="61">
        <f>IFERROR(INDEX('Báo giá'!$G$4:$G$203,MATCH($C125,'Báo giá'!$A$4:$A$203,0)),"")</f>
        <v/>
      </c>
      <c r="X125" s="55" t="n"/>
      <c r="Y125" s="55" t="n"/>
      <c r="Z125" s="62" t="n"/>
    </row>
    <row r="126" ht="15" customHeight="1" s="30">
      <c r="A126" s="48" t="n"/>
      <c r="B126" s="52" t="n"/>
      <c r="C126" s="48" t="n"/>
      <c r="D126" s="35">
        <f>IFERROR(INDEX('Báo giá'!$C$4:$C$203,MATCH($C126,'Báo giá'!$A$4:$A$203,0)),"")</f>
        <v/>
      </c>
      <c r="E126" s="35">
        <f>IFERROR(INDEX('Khách hàng'!$B$4:$B$103,MATCH($D126,'Khách hàng'!$A$4:$A$103,0)),"")</f>
        <v/>
      </c>
      <c r="F126" s="48" t="n"/>
      <c r="G126" s="52" t="n"/>
      <c r="H126" s="50" t="n"/>
      <c r="I126" s="41">
        <f>IFERROR(INDEX('Báo giá'!$H$4:$H$203,MATCH($C126,'Báo giá'!$A$4:$A$203,0)),"")</f>
        <v/>
      </c>
      <c r="J126" s="52" t="n"/>
      <c r="K126" s="52" t="n"/>
      <c r="L126" s="35">
        <f>IF($A126="","",IF($K126="",IF($J126="","Chưa có kế hoạch",IF(TODAY()&gt;$J126,"Trễ hạn","Đang thực hiện")),IF($K126&lt;=$J126,"Đúng hạn","Giao trễ")))</f>
        <v/>
      </c>
      <c r="M126" s="41">
        <f>IF($A126="","",IF($K126="",IF($J126="",0,MAX(0,TODAY()-$J126)),MAX(0,$K126-$J126)))</f>
        <v/>
      </c>
      <c r="N126" s="48" t="n"/>
      <c r="O126" s="53" t="n"/>
      <c r="P126" s="57">
        <f>IF($A126="","",IF(IF($Y126="",$K126,$Y126)="","",IF($Y126="",$K126,$Y126)+IF($Z126="",0,$Z126)))</f>
        <v/>
      </c>
      <c r="Q126" s="54">
        <f>IFERROR(MONTH($G126),"")</f>
        <v/>
      </c>
      <c r="R126" s="54">
        <f>IFERROR(YEAR($G126),"")</f>
        <v/>
      </c>
      <c r="S126" s="48" t="n"/>
      <c r="T126" s="58">
        <f>IFERROR(INDEX('Báo giá'!$E$4:$E$203,MATCH($C126,'Báo giá'!$A$4:$A$203,0)),"")</f>
        <v/>
      </c>
      <c r="U126" s="59" t="n"/>
      <c r="V126" s="60" t="n"/>
      <c r="W126" s="61">
        <f>IFERROR(INDEX('Báo giá'!$G$4:$G$203,MATCH($C126,'Báo giá'!$A$4:$A$203,0)),"")</f>
        <v/>
      </c>
      <c r="X126" s="55" t="n"/>
      <c r="Y126" s="55" t="n"/>
      <c r="Z126" s="62" t="n"/>
    </row>
    <row r="127" ht="15" customHeight="1" s="30">
      <c r="A127" s="48" t="n"/>
      <c r="B127" s="52" t="n"/>
      <c r="C127" s="48" t="n"/>
      <c r="D127" s="35">
        <f>IFERROR(INDEX('Báo giá'!$C$4:$C$203,MATCH($C127,'Báo giá'!$A$4:$A$203,0)),"")</f>
        <v/>
      </c>
      <c r="E127" s="35">
        <f>IFERROR(INDEX('Khách hàng'!$B$4:$B$103,MATCH($D127,'Khách hàng'!$A$4:$A$103,0)),"")</f>
        <v/>
      </c>
      <c r="F127" s="48" t="n"/>
      <c r="G127" s="52" t="n"/>
      <c r="H127" s="50" t="n"/>
      <c r="I127" s="41">
        <f>IFERROR(INDEX('Báo giá'!$H$4:$H$203,MATCH($C127,'Báo giá'!$A$4:$A$203,0)),"")</f>
        <v/>
      </c>
      <c r="J127" s="52" t="n"/>
      <c r="K127" s="52" t="n"/>
      <c r="L127" s="35">
        <f>IF($A127="","",IF($K127="",IF($J127="","Chưa có kế hoạch",IF(TODAY()&gt;$J127,"Trễ hạn","Đang thực hiện")),IF($K127&lt;=$J127,"Đúng hạn","Giao trễ")))</f>
        <v/>
      </c>
      <c r="M127" s="41">
        <f>IF($A127="","",IF($K127="",IF($J127="",0,MAX(0,TODAY()-$J127)),MAX(0,$K127-$J127)))</f>
        <v/>
      </c>
      <c r="N127" s="48" t="n"/>
      <c r="O127" s="53" t="n"/>
      <c r="P127" s="57">
        <f>IF($A127="","",IF(IF($Y127="",$K127,$Y127)="","",IF($Y127="",$K127,$Y127)+IF($Z127="",0,$Z127)))</f>
        <v/>
      </c>
      <c r="Q127" s="54">
        <f>IFERROR(MONTH($G127),"")</f>
        <v/>
      </c>
      <c r="R127" s="54">
        <f>IFERROR(YEAR($G127),"")</f>
        <v/>
      </c>
      <c r="S127" s="48" t="n"/>
      <c r="T127" s="58">
        <f>IFERROR(INDEX('Báo giá'!$E$4:$E$203,MATCH($C127,'Báo giá'!$A$4:$A$203,0)),"")</f>
        <v/>
      </c>
      <c r="U127" s="59" t="n"/>
      <c r="V127" s="60" t="n"/>
      <c r="W127" s="61">
        <f>IFERROR(INDEX('Báo giá'!$G$4:$G$203,MATCH($C127,'Báo giá'!$A$4:$A$203,0)),"")</f>
        <v/>
      </c>
      <c r="X127" s="55" t="n"/>
      <c r="Y127" s="55" t="n"/>
      <c r="Z127" s="62" t="n"/>
    </row>
    <row r="128" ht="15" customHeight="1" s="30">
      <c r="A128" s="48" t="n"/>
      <c r="B128" s="52" t="n"/>
      <c r="C128" s="48" t="n"/>
      <c r="D128" s="35">
        <f>IFERROR(INDEX('Báo giá'!$C$4:$C$203,MATCH($C128,'Báo giá'!$A$4:$A$203,0)),"")</f>
        <v/>
      </c>
      <c r="E128" s="35">
        <f>IFERROR(INDEX('Khách hàng'!$B$4:$B$103,MATCH($D128,'Khách hàng'!$A$4:$A$103,0)),"")</f>
        <v/>
      </c>
      <c r="F128" s="48" t="n"/>
      <c r="G128" s="52" t="n"/>
      <c r="H128" s="50" t="n"/>
      <c r="I128" s="41">
        <f>IFERROR(INDEX('Báo giá'!$H$4:$H$203,MATCH($C128,'Báo giá'!$A$4:$A$203,0)),"")</f>
        <v/>
      </c>
      <c r="J128" s="52" t="n"/>
      <c r="K128" s="52" t="n"/>
      <c r="L128" s="35">
        <f>IF($A128="","",IF($K128="",IF($J128="","Chưa có kế hoạch",IF(TODAY()&gt;$J128,"Trễ hạn","Đang thực hiện")),IF($K128&lt;=$J128,"Đúng hạn","Giao trễ")))</f>
        <v/>
      </c>
      <c r="M128" s="41">
        <f>IF($A128="","",IF($K128="",IF($J128="",0,MAX(0,TODAY()-$J128)),MAX(0,$K128-$J128)))</f>
        <v/>
      </c>
      <c r="N128" s="48" t="n"/>
      <c r="O128" s="53" t="n"/>
      <c r="P128" s="57">
        <f>IF($A128="","",IF(IF($Y128="",$K128,$Y128)="","",IF($Y128="",$K128,$Y128)+IF($Z128="",0,$Z128)))</f>
        <v/>
      </c>
      <c r="Q128" s="54">
        <f>IFERROR(MONTH($G128),"")</f>
        <v/>
      </c>
      <c r="R128" s="54">
        <f>IFERROR(YEAR($G128),"")</f>
        <v/>
      </c>
      <c r="S128" s="48" t="n"/>
      <c r="T128" s="58">
        <f>IFERROR(INDEX('Báo giá'!$E$4:$E$203,MATCH($C128,'Báo giá'!$A$4:$A$203,0)),"")</f>
        <v/>
      </c>
      <c r="U128" s="59" t="n"/>
      <c r="V128" s="60" t="n"/>
      <c r="W128" s="61">
        <f>IFERROR(INDEX('Báo giá'!$G$4:$G$203,MATCH($C128,'Báo giá'!$A$4:$A$203,0)),"")</f>
        <v/>
      </c>
      <c r="X128" s="55" t="n"/>
      <c r="Y128" s="55" t="n"/>
      <c r="Z128" s="62" t="n"/>
    </row>
    <row r="129" ht="15" customHeight="1" s="30">
      <c r="A129" s="48" t="n"/>
      <c r="B129" s="52" t="n"/>
      <c r="C129" s="48" t="n"/>
      <c r="D129" s="35">
        <f>IFERROR(INDEX('Báo giá'!$C$4:$C$203,MATCH($C129,'Báo giá'!$A$4:$A$203,0)),"")</f>
        <v/>
      </c>
      <c r="E129" s="35">
        <f>IFERROR(INDEX('Khách hàng'!$B$4:$B$103,MATCH($D129,'Khách hàng'!$A$4:$A$103,0)),"")</f>
        <v/>
      </c>
      <c r="F129" s="48" t="n"/>
      <c r="G129" s="52" t="n"/>
      <c r="H129" s="50" t="n"/>
      <c r="I129" s="41">
        <f>IFERROR(INDEX('Báo giá'!$H$4:$H$203,MATCH($C129,'Báo giá'!$A$4:$A$203,0)),"")</f>
        <v/>
      </c>
      <c r="J129" s="52" t="n"/>
      <c r="K129" s="52" t="n"/>
      <c r="L129" s="35">
        <f>IF($A129="","",IF($K129="",IF($J129="","Chưa có kế hoạch",IF(TODAY()&gt;$J129,"Trễ hạn","Đang thực hiện")),IF($K129&lt;=$J129,"Đúng hạn","Giao trễ")))</f>
        <v/>
      </c>
      <c r="M129" s="41">
        <f>IF($A129="","",IF($K129="",IF($J129="",0,MAX(0,TODAY()-$J129)),MAX(0,$K129-$J129)))</f>
        <v/>
      </c>
      <c r="N129" s="48" t="n"/>
      <c r="O129" s="53" t="n"/>
      <c r="P129" s="57">
        <f>IF($A129="","",IF(IF($Y129="",$K129,$Y129)="","",IF($Y129="",$K129,$Y129)+IF($Z129="",0,$Z129)))</f>
        <v/>
      </c>
      <c r="Q129" s="54">
        <f>IFERROR(MONTH($G129),"")</f>
        <v/>
      </c>
      <c r="R129" s="54">
        <f>IFERROR(YEAR($G129),"")</f>
        <v/>
      </c>
      <c r="S129" s="48" t="n"/>
      <c r="T129" s="58">
        <f>IFERROR(INDEX('Báo giá'!$E$4:$E$203,MATCH($C129,'Báo giá'!$A$4:$A$203,0)),"")</f>
        <v/>
      </c>
      <c r="U129" s="59" t="n"/>
      <c r="V129" s="60" t="n"/>
      <c r="W129" s="61">
        <f>IFERROR(INDEX('Báo giá'!$G$4:$G$203,MATCH($C129,'Báo giá'!$A$4:$A$203,0)),"")</f>
        <v/>
      </c>
      <c r="X129" s="55" t="n"/>
      <c r="Y129" s="55" t="n"/>
      <c r="Z129" s="62" t="n"/>
    </row>
    <row r="130" ht="15" customHeight="1" s="30">
      <c r="A130" s="48" t="n"/>
      <c r="B130" s="52" t="n"/>
      <c r="C130" s="48" t="n"/>
      <c r="D130" s="35">
        <f>IFERROR(INDEX('Báo giá'!$C$4:$C$203,MATCH($C130,'Báo giá'!$A$4:$A$203,0)),"")</f>
        <v/>
      </c>
      <c r="E130" s="35">
        <f>IFERROR(INDEX('Khách hàng'!$B$4:$B$103,MATCH($D130,'Khách hàng'!$A$4:$A$103,0)),"")</f>
        <v/>
      </c>
      <c r="F130" s="48" t="n"/>
      <c r="G130" s="52" t="n"/>
      <c r="H130" s="50" t="n"/>
      <c r="I130" s="41">
        <f>IFERROR(INDEX('Báo giá'!$H$4:$H$203,MATCH($C130,'Báo giá'!$A$4:$A$203,0)),"")</f>
        <v/>
      </c>
      <c r="J130" s="52" t="n"/>
      <c r="K130" s="52" t="n"/>
      <c r="L130" s="35">
        <f>IF($A130="","",IF($K130="",IF($J130="","Chưa có kế hoạch",IF(TODAY()&gt;$J130,"Trễ hạn","Đang thực hiện")),IF($K130&lt;=$J130,"Đúng hạn","Giao trễ")))</f>
        <v/>
      </c>
      <c r="M130" s="41">
        <f>IF($A130="","",IF($K130="",IF($J130="",0,MAX(0,TODAY()-$J130)),MAX(0,$K130-$J130)))</f>
        <v/>
      </c>
      <c r="N130" s="48" t="n"/>
      <c r="O130" s="53" t="n"/>
      <c r="P130" s="57">
        <f>IF($A130="","",IF(IF($Y130="",$K130,$Y130)="","",IF($Y130="",$K130,$Y130)+IF($Z130="",0,$Z130)))</f>
        <v/>
      </c>
      <c r="Q130" s="54">
        <f>IFERROR(MONTH($G130),"")</f>
        <v/>
      </c>
      <c r="R130" s="54">
        <f>IFERROR(YEAR($G130),"")</f>
        <v/>
      </c>
      <c r="S130" s="48" t="n"/>
      <c r="T130" s="58">
        <f>IFERROR(INDEX('Báo giá'!$E$4:$E$203,MATCH($C130,'Báo giá'!$A$4:$A$203,0)),"")</f>
        <v/>
      </c>
      <c r="U130" s="59" t="n"/>
      <c r="V130" s="60" t="n"/>
      <c r="W130" s="61">
        <f>IFERROR(INDEX('Báo giá'!$G$4:$G$203,MATCH($C130,'Báo giá'!$A$4:$A$203,0)),"")</f>
        <v/>
      </c>
      <c r="X130" s="55" t="n"/>
      <c r="Y130" s="55" t="n"/>
      <c r="Z130" s="62" t="n"/>
    </row>
    <row r="131" ht="15" customHeight="1" s="30">
      <c r="A131" s="48" t="n"/>
      <c r="B131" s="52" t="n"/>
      <c r="C131" s="48" t="n"/>
      <c r="D131" s="35">
        <f>IFERROR(INDEX('Báo giá'!$C$4:$C$203,MATCH($C131,'Báo giá'!$A$4:$A$203,0)),"")</f>
        <v/>
      </c>
      <c r="E131" s="35">
        <f>IFERROR(INDEX('Khách hàng'!$B$4:$B$103,MATCH($D131,'Khách hàng'!$A$4:$A$103,0)),"")</f>
        <v/>
      </c>
      <c r="F131" s="48" t="n"/>
      <c r="G131" s="52" t="n"/>
      <c r="H131" s="50" t="n"/>
      <c r="I131" s="41">
        <f>IFERROR(INDEX('Báo giá'!$H$4:$H$203,MATCH($C131,'Báo giá'!$A$4:$A$203,0)),"")</f>
        <v/>
      </c>
      <c r="J131" s="52" t="n"/>
      <c r="K131" s="52" t="n"/>
      <c r="L131" s="35">
        <f>IF($A131="","",IF($K131="",IF($J131="","Chưa có kế hoạch",IF(TODAY()&gt;$J131,"Trễ hạn","Đang thực hiện")),IF($K131&lt;=$J131,"Đúng hạn","Giao trễ")))</f>
        <v/>
      </c>
      <c r="M131" s="41">
        <f>IF($A131="","",IF($K131="",IF($J131="",0,MAX(0,TODAY()-$J131)),MAX(0,$K131-$J131)))</f>
        <v/>
      </c>
      <c r="N131" s="48" t="n"/>
      <c r="O131" s="53" t="n"/>
      <c r="P131" s="57">
        <f>IF($A131="","",IF(IF($Y131="",$K131,$Y131)="","",IF($Y131="",$K131,$Y131)+IF($Z131="",0,$Z131)))</f>
        <v/>
      </c>
      <c r="Q131" s="54">
        <f>IFERROR(MONTH($G131),"")</f>
        <v/>
      </c>
      <c r="R131" s="54">
        <f>IFERROR(YEAR($G131),"")</f>
        <v/>
      </c>
      <c r="S131" s="48" t="n"/>
      <c r="T131" s="58">
        <f>IFERROR(INDEX('Báo giá'!$E$4:$E$203,MATCH($C131,'Báo giá'!$A$4:$A$203,0)),"")</f>
        <v/>
      </c>
      <c r="U131" s="59" t="n"/>
      <c r="V131" s="60" t="n"/>
      <c r="W131" s="61">
        <f>IFERROR(INDEX('Báo giá'!$G$4:$G$203,MATCH($C131,'Báo giá'!$A$4:$A$203,0)),"")</f>
        <v/>
      </c>
      <c r="X131" s="55" t="n"/>
      <c r="Y131" s="55" t="n"/>
      <c r="Z131" s="62" t="n"/>
    </row>
    <row r="132" ht="15" customHeight="1" s="30">
      <c r="A132" s="48" t="n"/>
      <c r="B132" s="52" t="n"/>
      <c r="C132" s="48" t="n"/>
      <c r="D132" s="35">
        <f>IFERROR(INDEX('Báo giá'!$C$4:$C$203,MATCH($C132,'Báo giá'!$A$4:$A$203,0)),"")</f>
        <v/>
      </c>
      <c r="E132" s="35">
        <f>IFERROR(INDEX('Khách hàng'!$B$4:$B$103,MATCH($D132,'Khách hàng'!$A$4:$A$103,0)),"")</f>
        <v/>
      </c>
      <c r="F132" s="48" t="n"/>
      <c r="G132" s="52" t="n"/>
      <c r="H132" s="50" t="n"/>
      <c r="I132" s="41">
        <f>IFERROR(INDEX('Báo giá'!$H$4:$H$203,MATCH($C132,'Báo giá'!$A$4:$A$203,0)),"")</f>
        <v/>
      </c>
      <c r="J132" s="52" t="n"/>
      <c r="K132" s="52" t="n"/>
      <c r="L132" s="35">
        <f>IF($A132="","",IF($K132="",IF($J132="","Chưa có kế hoạch",IF(TODAY()&gt;$J132,"Trễ hạn","Đang thực hiện")),IF($K132&lt;=$J132,"Đúng hạn","Giao trễ")))</f>
        <v/>
      </c>
      <c r="M132" s="41">
        <f>IF($A132="","",IF($K132="",IF($J132="",0,MAX(0,TODAY()-$J132)),MAX(0,$K132-$J132)))</f>
        <v/>
      </c>
      <c r="N132" s="48" t="n"/>
      <c r="O132" s="53" t="n"/>
      <c r="P132" s="57">
        <f>IF($A132="","",IF(IF($Y132="",$K132,$Y132)="","",IF($Y132="",$K132,$Y132)+IF($Z132="",0,$Z132)))</f>
        <v/>
      </c>
      <c r="Q132" s="54">
        <f>IFERROR(MONTH($G132),"")</f>
        <v/>
      </c>
      <c r="R132" s="54">
        <f>IFERROR(YEAR($G132),"")</f>
        <v/>
      </c>
      <c r="S132" s="48" t="n"/>
      <c r="T132" s="58">
        <f>IFERROR(INDEX('Báo giá'!$E$4:$E$203,MATCH($C132,'Báo giá'!$A$4:$A$203,0)),"")</f>
        <v/>
      </c>
      <c r="U132" s="59" t="n"/>
      <c r="V132" s="60" t="n"/>
      <c r="W132" s="61">
        <f>IFERROR(INDEX('Báo giá'!$G$4:$G$203,MATCH($C132,'Báo giá'!$A$4:$A$203,0)),"")</f>
        <v/>
      </c>
      <c r="X132" s="55" t="n"/>
      <c r="Y132" s="55" t="n"/>
      <c r="Z132" s="62" t="n"/>
    </row>
    <row r="133" ht="15" customHeight="1" s="30">
      <c r="A133" s="48" t="n"/>
      <c r="B133" s="52" t="n"/>
      <c r="C133" s="48" t="n"/>
      <c r="D133" s="35">
        <f>IFERROR(INDEX('Báo giá'!$C$4:$C$203,MATCH($C133,'Báo giá'!$A$4:$A$203,0)),"")</f>
        <v/>
      </c>
      <c r="E133" s="35">
        <f>IFERROR(INDEX('Khách hàng'!$B$4:$B$103,MATCH($D133,'Khách hàng'!$A$4:$A$103,0)),"")</f>
        <v/>
      </c>
      <c r="F133" s="48" t="n"/>
      <c r="G133" s="52" t="n"/>
      <c r="H133" s="50" t="n"/>
      <c r="I133" s="41">
        <f>IFERROR(INDEX('Báo giá'!$H$4:$H$203,MATCH($C133,'Báo giá'!$A$4:$A$203,0)),"")</f>
        <v/>
      </c>
      <c r="J133" s="52" t="n"/>
      <c r="K133" s="52" t="n"/>
      <c r="L133" s="35">
        <f>IF($A133="","",IF($K133="",IF($J133="","Chưa có kế hoạch",IF(TODAY()&gt;$J133,"Trễ hạn","Đang thực hiện")),IF($K133&lt;=$J133,"Đúng hạn","Giao trễ")))</f>
        <v/>
      </c>
      <c r="M133" s="41">
        <f>IF($A133="","",IF($K133="",IF($J133="",0,MAX(0,TODAY()-$J133)),MAX(0,$K133-$J133)))</f>
        <v/>
      </c>
      <c r="N133" s="48" t="n"/>
      <c r="O133" s="53" t="n"/>
      <c r="P133" s="57">
        <f>IF($A133="","",IF(IF($Y133="",$K133,$Y133)="","",IF($Y133="",$K133,$Y133)+IF($Z133="",0,$Z133)))</f>
        <v/>
      </c>
      <c r="Q133" s="54">
        <f>IFERROR(MONTH($G133),"")</f>
        <v/>
      </c>
      <c r="R133" s="54">
        <f>IFERROR(YEAR($G133),"")</f>
        <v/>
      </c>
      <c r="S133" s="48" t="n"/>
      <c r="T133" s="58">
        <f>IFERROR(INDEX('Báo giá'!$E$4:$E$203,MATCH($C133,'Báo giá'!$A$4:$A$203,0)),"")</f>
        <v/>
      </c>
      <c r="U133" s="59" t="n"/>
      <c r="V133" s="60" t="n"/>
      <c r="W133" s="61">
        <f>IFERROR(INDEX('Báo giá'!$G$4:$G$203,MATCH($C133,'Báo giá'!$A$4:$A$203,0)),"")</f>
        <v/>
      </c>
      <c r="X133" s="55" t="n"/>
      <c r="Y133" s="55" t="n"/>
      <c r="Z133" s="62" t="n"/>
    </row>
    <row r="134" ht="15" customHeight="1" s="30">
      <c r="A134" s="48" t="n"/>
      <c r="B134" s="52" t="n"/>
      <c r="C134" s="48" t="n"/>
      <c r="D134" s="35">
        <f>IFERROR(INDEX('Báo giá'!$C$4:$C$203,MATCH($C134,'Báo giá'!$A$4:$A$203,0)),"")</f>
        <v/>
      </c>
      <c r="E134" s="35">
        <f>IFERROR(INDEX('Khách hàng'!$B$4:$B$103,MATCH($D134,'Khách hàng'!$A$4:$A$103,0)),"")</f>
        <v/>
      </c>
      <c r="F134" s="48" t="n"/>
      <c r="G134" s="52" t="n"/>
      <c r="H134" s="50" t="n"/>
      <c r="I134" s="41">
        <f>IFERROR(INDEX('Báo giá'!$H$4:$H$203,MATCH($C134,'Báo giá'!$A$4:$A$203,0)),"")</f>
        <v/>
      </c>
      <c r="J134" s="52" t="n"/>
      <c r="K134" s="52" t="n"/>
      <c r="L134" s="35">
        <f>IF($A134="","",IF($K134="",IF($J134="","Chưa có kế hoạch",IF(TODAY()&gt;$J134,"Trễ hạn","Đang thực hiện")),IF($K134&lt;=$J134,"Đúng hạn","Giao trễ")))</f>
        <v/>
      </c>
      <c r="M134" s="41">
        <f>IF($A134="","",IF($K134="",IF($J134="",0,MAX(0,TODAY()-$J134)),MAX(0,$K134-$J134)))</f>
        <v/>
      </c>
      <c r="N134" s="48" t="n"/>
      <c r="O134" s="53" t="n"/>
      <c r="P134" s="57">
        <f>IF($A134="","",IF(IF($Y134="",$K134,$Y134)="","",IF($Y134="",$K134,$Y134)+IF($Z134="",0,$Z134)))</f>
        <v/>
      </c>
      <c r="Q134" s="54">
        <f>IFERROR(MONTH($G134),"")</f>
        <v/>
      </c>
      <c r="R134" s="54">
        <f>IFERROR(YEAR($G134),"")</f>
        <v/>
      </c>
      <c r="S134" s="48" t="n"/>
      <c r="T134" s="58">
        <f>IFERROR(INDEX('Báo giá'!$E$4:$E$203,MATCH($C134,'Báo giá'!$A$4:$A$203,0)),"")</f>
        <v/>
      </c>
      <c r="U134" s="59" t="n"/>
      <c r="V134" s="60" t="n"/>
      <c r="W134" s="61">
        <f>IFERROR(INDEX('Báo giá'!$G$4:$G$203,MATCH($C134,'Báo giá'!$A$4:$A$203,0)),"")</f>
        <v/>
      </c>
      <c r="X134" s="55" t="n"/>
      <c r="Y134" s="55" t="n"/>
      <c r="Z134" s="62" t="n"/>
    </row>
    <row r="135" ht="15" customHeight="1" s="30">
      <c r="A135" s="48" t="n"/>
      <c r="B135" s="52" t="n"/>
      <c r="C135" s="48" t="n"/>
      <c r="D135" s="35">
        <f>IFERROR(INDEX('Báo giá'!$C$4:$C$203,MATCH($C135,'Báo giá'!$A$4:$A$203,0)),"")</f>
        <v/>
      </c>
      <c r="E135" s="35">
        <f>IFERROR(INDEX('Khách hàng'!$B$4:$B$103,MATCH($D135,'Khách hàng'!$A$4:$A$103,0)),"")</f>
        <v/>
      </c>
      <c r="F135" s="48" t="n"/>
      <c r="G135" s="52" t="n"/>
      <c r="H135" s="50" t="n"/>
      <c r="I135" s="41">
        <f>IFERROR(INDEX('Báo giá'!$H$4:$H$203,MATCH($C135,'Báo giá'!$A$4:$A$203,0)),"")</f>
        <v/>
      </c>
      <c r="J135" s="52" t="n"/>
      <c r="K135" s="52" t="n"/>
      <c r="L135" s="35">
        <f>IF($A135="","",IF($K135="",IF($J135="","Chưa có kế hoạch",IF(TODAY()&gt;$J135,"Trễ hạn","Đang thực hiện")),IF($K135&lt;=$J135,"Đúng hạn","Giao trễ")))</f>
        <v/>
      </c>
      <c r="M135" s="41">
        <f>IF($A135="","",IF($K135="",IF($J135="",0,MAX(0,TODAY()-$J135)),MAX(0,$K135-$J135)))</f>
        <v/>
      </c>
      <c r="N135" s="48" t="n"/>
      <c r="O135" s="53" t="n"/>
      <c r="P135" s="57">
        <f>IF($A135="","",IF(IF($Y135="",$K135,$Y135)="","",IF($Y135="",$K135,$Y135)+IF($Z135="",0,$Z135)))</f>
        <v/>
      </c>
      <c r="Q135" s="54">
        <f>IFERROR(MONTH($G135),"")</f>
        <v/>
      </c>
      <c r="R135" s="54">
        <f>IFERROR(YEAR($G135),"")</f>
        <v/>
      </c>
      <c r="S135" s="48" t="n"/>
      <c r="T135" s="58">
        <f>IFERROR(INDEX('Báo giá'!$E$4:$E$203,MATCH($C135,'Báo giá'!$A$4:$A$203,0)),"")</f>
        <v/>
      </c>
      <c r="U135" s="59" t="n"/>
      <c r="V135" s="60" t="n"/>
      <c r="W135" s="61">
        <f>IFERROR(INDEX('Báo giá'!$G$4:$G$203,MATCH($C135,'Báo giá'!$A$4:$A$203,0)),"")</f>
        <v/>
      </c>
      <c r="X135" s="55" t="n"/>
      <c r="Y135" s="55" t="n"/>
      <c r="Z135" s="62" t="n"/>
    </row>
    <row r="136" ht="15" customHeight="1" s="30">
      <c r="A136" s="48" t="n"/>
      <c r="B136" s="52" t="n"/>
      <c r="C136" s="48" t="n"/>
      <c r="D136" s="35">
        <f>IFERROR(INDEX('Báo giá'!$C$4:$C$203,MATCH($C136,'Báo giá'!$A$4:$A$203,0)),"")</f>
        <v/>
      </c>
      <c r="E136" s="35">
        <f>IFERROR(INDEX('Khách hàng'!$B$4:$B$103,MATCH($D136,'Khách hàng'!$A$4:$A$103,0)),"")</f>
        <v/>
      </c>
      <c r="F136" s="48" t="n"/>
      <c r="G136" s="52" t="n"/>
      <c r="H136" s="50" t="n"/>
      <c r="I136" s="41">
        <f>IFERROR(INDEX('Báo giá'!$H$4:$H$203,MATCH($C136,'Báo giá'!$A$4:$A$203,0)),"")</f>
        <v/>
      </c>
      <c r="J136" s="52" t="n"/>
      <c r="K136" s="52" t="n"/>
      <c r="L136" s="35">
        <f>IF($A136="","",IF($K136="",IF($J136="","Chưa có kế hoạch",IF(TODAY()&gt;$J136,"Trễ hạn","Đang thực hiện")),IF($K136&lt;=$J136,"Đúng hạn","Giao trễ")))</f>
        <v/>
      </c>
      <c r="M136" s="41">
        <f>IF($A136="","",IF($K136="",IF($J136="",0,MAX(0,TODAY()-$J136)),MAX(0,$K136-$J136)))</f>
        <v/>
      </c>
      <c r="N136" s="48" t="n"/>
      <c r="O136" s="53" t="n"/>
      <c r="P136" s="57">
        <f>IF($A136="","",IF(IF($Y136="",$K136,$Y136)="","",IF($Y136="",$K136,$Y136)+IF($Z136="",0,$Z136)))</f>
        <v/>
      </c>
      <c r="Q136" s="54">
        <f>IFERROR(MONTH($G136),"")</f>
        <v/>
      </c>
      <c r="R136" s="54">
        <f>IFERROR(YEAR($G136),"")</f>
        <v/>
      </c>
      <c r="S136" s="48" t="n"/>
      <c r="T136" s="58">
        <f>IFERROR(INDEX('Báo giá'!$E$4:$E$203,MATCH($C136,'Báo giá'!$A$4:$A$203,0)),"")</f>
        <v/>
      </c>
      <c r="U136" s="59" t="n"/>
      <c r="V136" s="60" t="n"/>
      <c r="W136" s="61">
        <f>IFERROR(INDEX('Báo giá'!$G$4:$G$203,MATCH($C136,'Báo giá'!$A$4:$A$203,0)),"")</f>
        <v/>
      </c>
      <c r="X136" s="55" t="n"/>
      <c r="Y136" s="55" t="n"/>
      <c r="Z136" s="62" t="n"/>
    </row>
    <row r="137" ht="15" customHeight="1" s="30">
      <c r="A137" s="48" t="n"/>
      <c r="B137" s="52" t="n"/>
      <c r="C137" s="48" t="n"/>
      <c r="D137" s="35">
        <f>IFERROR(INDEX('Báo giá'!$C$4:$C$203,MATCH($C137,'Báo giá'!$A$4:$A$203,0)),"")</f>
        <v/>
      </c>
      <c r="E137" s="35">
        <f>IFERROR(INDEX('Khách hàng'!$B$4:$B$103,MATCH($D137,'Khách hàng'!$A$4:$A$103,0)),"")</f>
        <v/>
      </c>
      <c r="F137" s="48" t="n"/>
      <c r="G137" s="52" t="n"/>
      <c r="H137" s="50" t="n"/>
      <c r="I137" s="41">
        <f>IFERROR(INDEX('Báo giá'!$H$4:$H$203,MATCH($C137,'Báo giá'!$A$4:$A$203,0)),"")</f>
        <v/>
      </c>
      <c r="J137" s="52" t="n"/>
      <c r="K137" s="52" t="n"/>
      <c r="L137" s="35">
        <f>IF($A137="","",IF($K137="",IF($J137="","Chưa có kế hoạch",IF(TODAY()&gt;$J137,"Trễ hạn","Đang thực hiện")),IF($K137&lt;=$J137,"Đúng hạn","Giao trễ")))</f>
        <v/>
      </c>
      <c r="M137" s="41">
        <f>IF($A137="","",IF($K137="",IF($J137="",0,MAX(0,TODAY()-$J137)),MAX(0,$K137-$J137)))</f>
        <v/>
      </c>
      <c r="N137" s="48" t="n"/>
      <c r="O137" s="53" t="n"/>
      <c r="P137" s="57">
        <f>IF($A137="","",IF(IF($Y137="",$K137,$Y137)="","",IF($Y137="",$K137,$Y137)+IF($Z137="",0,$Z137)))</f>
        <v/>
      </c>
      <c r="Q137" s="54">
        <f>IFERROR(MONTH($G137),"")</f>
        <v/>
      </c>
      <c r="R137" s="54">
        <f>IFERROR(YEAR($G137),"")</f>
        <v/>
      </c>
      <c r="S137" s="48" t="n"/>
      <c r="T137" s="58">
        <f>IFERROR(INDEX('Báo giá'!$E$4:$E$203,MATCH($C137,'Báo giá'!$A$4:$A$203,0)),"")</f>
        <v/>
      </c>
      <c r="U137" s="59" t="n"/>
      <c r="V137" s="60" t="n"/>
      <c r="W137" s="61">
        <f>IFERROR(INDEX('Báo giá'!$G$4:$G$203,MATCH($C137,'Báo giá'!$A$4:$A$203,0)),"")</f>
        <v/>
      </c>
      <c r="X137" s="55" t="n"/>
      <c r="Y137" s="55" t="n"/>
      <c r="Z137" s="62" t="n"/>
    </row>
    <row r="138" ht="15" customHeight="1" s="30">
      <c r="A138" s="48" t="n"/>
      <c r="B138" s="52" t="n"/>
      <c r="C138" s="48" t="n"/>
      <c r="D138" s="35">
        <f>IFERROR(INDEX('Báo giá'!$C$4:$C$203,MATCH($C138,'Báo giá'!$A$4:$A$203,0)),"")</f>
        <v/>
      </c>
      <c r="E138" s="35">
        <f>IFERROR(INDEX('Khách hàng'!$B$4:$B$103,MATCH($D138,'Khách hàng'!$A$4:$A$103,0)),"")</f>
        <v/>
      </c>
      <c r="F138" s="48" t="n"/>
      <c r="G138" s="52" t="n"/>
      <c r="H138" s="50" t="n"/>
      <c r="I138" s="41">
        <f>IFERROR(INDEX('Báo giá'!$H$4:$H$203,MATCH($C138,'Báo giá'!$A$4:$A$203,0)),"")</f>
        <v/>
      </c>
      <c r="J138" s="52" t="n"/>
      <c r="K138" s="52" t="n"/>
      <c r="L138" s="35">
        <f>IF($A138="","",IF($K138="",IF($J138="","Chưa có kế hoạch",IF(TODAY()&gt;$J138,"Trễ hạn","Đang thực hiện")),IF($K138&lt;=$J138,"Đúng hạn","Giao trễ")))</f>
        <v/>
      </c>
      <c r="M138" s="41">
        <f>IF($A138="","",IF($K138="",IF($J138="",0,MAX(0,TODAY()-$J138)),MAX(0,$K138-$J138)))</f>
        <v/>
      </c>
      <c r="N138" s="48" t="n"/>
      <c r="O138" s="53" t="n"/>
      <c r="P138" s="57">
        <f>IF($A138="","",IF(IF($Y138="",$K138,$Y138)="","",IF($Y138="",$K138,$Y138)+IF($Z138="",0,$Z138)))</f>
        <v/>
      </c>
      <c r="Q138" s="54">
        <f>IFERROR(MONTH($G138),"")</f>
        <v/>
      </c>
      <c r="R138" s="54">
        <f>IFERROR(YEAR($G138),"")</f>
        <v/>
      </c>
      <c r="S138" s="48" t="n"/>
      <c r="T138" s="58">
        <f>IFERROR(INDEX('Báo giá'!$E$4:$E$203,MATCH($C138,'Báo giá'!$A$4:$A$203,0)),"")</f>
        <v/>
      </c>
      <c r="U138" s="59" t="n"/>
      <c r="V138" s="60" t="n"/>
      <c r="W138" s="61">
        <f>IFERROR(INDEX('Báo giá'!$G$4:$G$203,MATCH($C138,'Báo giá'!$A$4:$A$203,0)),"")</f>
        <v/>
      </c>
      <c r="X138" s="55" t="n"/>
      <c r="Y138" s="55" t="n"/>
      <c r="Z138" s="62" t="n"/>
    </row>
    <row r="139" ht="15" customHeight="1" s="30">
      <c r="A139" s="48" t="n"/>
      <c r="B139" s="52" t="n"/>
      <c r="C139" s="48" t="n"/>
      <c r="D139" s="35">
        <f>IFERROR(INDEX('Báo giá'!$C$4:$C$203,MATCH($C139,'Báo giá'!$A$4:$A$203,0)),"")</f>
        <v/>
      </c>
      <c r="E139" s="35">
        <f>IFERROR(INDEX('Khách hàng'!$B$4:$B$103,MATCH($D139,'Khách hàng'!$A$4:$A$103,0)),"")</f>
        <v/>
      </c>
      <c r="F139" s="48" t="n"/>
      <c r="G139" s="52" t="n"/>
      <c r="H139" s="50" t="n"/>
      <c r="I139" s="41">
        <f>IFERROR(INDEX('Báo giá'!$H$4:$H$203,MATCH($C139,'Báo giá'!$A$4:$A$203,0)),"")</f>
        <v/>
      </c>
      <c r="J139" s="52" t="n"/>
      <c r="K139" s="52" t="n"/>
      <c r="L139" s="35">
        <f>IF($A139="","",IF($K139="",IF($J139="","Chưa có kế hoạch",IF(TODAY()&gt;$J139,"Trễ hạn","Đang thực hiện")),IF($K139&lt;=$J139,"Đúng hạn","Giao trễ")))</f>
        <v/>
      </c>
      <c r="M139" s="41">
        <f>IF($A139="","",IF($K139="",IF($J139="",0,MAX(0,TODAY()-$J139)),MAX(0,$K139-$J139)))</f>
        <v/>
      </c>
      <c r="N139" s="48" t="n"/>
      <c r="O139" s="53" t="n"/>
      <c r="P139" s="57">
        <f>IF($A139="","",IF(IF($Y139="",$K139,$Y139)="","",IF($Y139="",$K139,$Y139)+IF($Z139="",0,$Z139)))</f>
        <v/>
      </c>
      <c r="Q139" s="54">
        <f>IFERROR(MONTH($G139),"")</f>
        <v/>
      </c>
      <c r="R139" s="54">
        <f>IFERROR(YEAR($G139),"")</f>
        <v/>
      </c>
      <c r="S139" s="48" t="n"/>
      <c r="T139" s="58">
        <f>IFERROR(INDEX('Báo giá'!$E$4:$E$203,MATCH($C139,'Báo giá'!$A$4:$A$203,0)),"")</f>
        <v/>
      </c>
      <c r="U139" s="59" t="n"/>
      <c r="V139" s="60" t="n"/>
      <c r="W139" s="61">
        <f>IFERROR(INDEX('Báo giá'!$G$4:$G$203,MATCH($C139,'Báo giá'!$A$4:$A$203,0)),"")</f>
        <v/>
      </c>
      <c r="X139" s="55" t="n"/>
      <c r="Y139" s="55" t="n"/>
      <c r="Z139" s="62" t="n"/>
    </row>
    <row r="140" ht="15" customHeight="1" s="30">
      <c r="A140" s="48" t="n"/>
      <c r="B140" s="52" t="n"/>
      <c r="C140" s="48" t="n"/>
      <c r="D140" s="35">
        <f>IFERROR(INDEX('Báo giá'!$C$4:$C$203,MATCH($C140,'Báo giá'!$A$4:$A$203,0)),"")</f>
        <v/>
      </c>
      <c r="E140" s="35">
        <f>IFERROR(INDEX('Khách hàng'!$B$4:$B$103,MATCH($D140,'Khách hàng'!$A$4:$A$103,0)),"")</f>
        <v/>
      </c>
      <c r="F140" s="48" t="n"/>
      <c r="G140" s="52" t="n"/>
      <c r="H140" s="50" t="n"/>
      <c r="I140" s="41">
        <f>IFERROR(INDEX('Báo giá'!$H$4:$H$203,MATCH($C140,'Báo giá'!$A$4:$A$203,0)),"")</f>
        <v/>
      </c>
      <c r="J140" s="52" t="n"/>
      <c r="K140" s="52" t="n"/>
      <c r="L140" s="35">
        <f>IF($A140="","",IF($K140="",IF($J140="","Chưa có kế hoạch",IF(TODAY()&gt;$J140,"Trễ hạn","Đang thực hiện")),IF($K140&lt;=$J140,"Đúng hạn","Giao trễ")))</f>
        <v/>
      </c>
      <c r="M140" s="41">
        <f>IF($A140="","",IF($K140="",IF($J140="",0,MAX(0,TODAY()-$J140)),MAX(0,$K140-$J140)))</f>
        <v/>
      </c>
      <c r="N140" s="48" t="n"/>
      <c r="O140" s="53" t="n"/>
      <c r="P140" s="57">
        <f>IF($A140="","",IF(IF($Y140="",$K140,$Y140)="","",IF($Y140="",$K140,$Y140)+IF($Z140="",0,$Z140)))</f>
        <v/>
      </c>
      <c r="Q140" s="54">
        <f>IFERROR(MONTH($G140),"")</f>
        <v/>
      </c>
      <c r="R140" s="54">
        <f>IFERROR(YEAR($G140),"")</f>
        <v/>
      </c>
      <c r="S140" s="48" t="n"/>
      <c r="T140" s="58">
        <f>IFERROR(INDEX('Báo giá'!$E$4:$E$203,MATCH($C140,'Báo giá'!$A$4:$A$203,0)),"")</f>
        <v/>
      </c>
      <c r="U140" s="59" t="n"/>
      <c r="V140" s="60" t="n"/>
      <c r="W140" s="61">
        <f>IFERROR(INDEX('Báo giá'!$G$4:$G$203,MATCH($C140,'Báo giá'!$A$4:$A$203,0)),"")</f>
        <v/>
      </c>
      <c r="X140" s="55" t="n"/>
      <c r="Y140" s="55" t="n"/>
      <c r="Z140" s="62" t="n"/>
    </row>
    <row r="141" ht="15" customHeight="1" s="30">
      <c r="A141" s="48" t="n"/>
      <c r="B141" s="52" t="n"/>
      <c r="C141" s="48" t="n"/>
      <c r="D141" s="35">
        <f>IFERROR(INDEX('Báo giá'!$C$4:$C$203,MATCH($C141,'Báo giá'!$A$4:$A$203,0)),"")</f>
        <v/>
      </c>
      <c r="E141" s="35">
        <f>IFERROR(INDEX('Khách hàng'!$B$4:$B$103,MATCH($D141,'Khách hàng'!$A$4:$A$103,0)),"")</f>
        <v/>
      </c>
      <c r="F141" s="48" t="n"/>
      <c r="G141" s="52" t="n"/>
      <c r="H141" s="50" t="n"/>
      <c r="I141" s="41">
        <f>IFERROR(INDEX('Báo giá'!$H$4:$H$203,MATCH($C141,'Báo giá'!$A$4:$A$203,0)),"")</f>
        <v/>
      </c>
      <c r="J141" s="52" t="n"/>
      <c r="K141" s="52" t="n"/>
      <c r="L141" s="35">
        <f>IF($A141="","",IF($K141="",IF($J141="","Chưa có kế hoạch",IF(TODAY()&gt;$J141,"Trễ hạn","Đang thực hiện")),IF($K141&lt;=$J141,"Đúng hạn","Giao trễ")))</f>
        <v/>
      </c>
      <c r="M141" s="41">
        <f>IF($A141="","",IF($K141="",IF($J141="",0,MAX(0,TODAY()-$J141)),MAX(0,$K141-$J141)))</f>
        <v/>
      </c>
      <c r="N141" s="48" t="n"/>
      <c r="O141" s="53" t="n"/>
      <c r="P141" s="57">
        <f>IF($A141="","",IF(IF($Y141="",$K141,$Y141)="","",IF($Y141="",$K141,$Y141)+IF($Z141="",0,$Z141)))</f>
        <v/>
      </c>
      <c r="Q141" s="54">
        <f>IFERROR(MONTH($G141),"")</f>
        <v/>
      </c>
      <c r="R141" s="54">
        <f>IFERROR(YEAR($G141),"")</f>
        <v/>
      </c>
      <c r="S141" s="48" t="n"/>
      <c r="T141" s="58">
        <f>IFERROR(INDEX('Báo giá'!$E$4:$E$203,MATCH($C141,'Báo giá'!$A$4:$A$203,0)),"")</f>
        <v/>
      </c>
      <c r="U141" s="59" t="n"/>
      <c r="V141" s="60" t="n"/>
      <c r="W141" s="61">
        <f>IFERROR(INDEX('Báo giá'!$G$4:$G$203,MATCH($C141,'Báo giá'!$A$4:$A$203,0)),"")</f>
        <v/>
      </c>
      <c r="X141" s="55" t="n"/>
      <c r="Y141" s="55" t="n"/>
      <c r="Z141" s="62" t="n"/>
    </row>
    <row r="142" ht="15" customHeight="1" s="30">
      <c r="A142" s="48" t="n"/>
      <c r="B142" s="52" t="n"/>
      <c r="C142" s="48" t="n"/>
      <c r="D142" s="35">
        <f>IFERROR(INDEX('Báo giá'!$C$4:$C$203,MATCH($C142,'Báo giá'!$A$4:$A$203,0)),"")</f>
        <v/>
      </c>
      <c r="E142" s="35">
        <f>IFERROR(INDEX('Khách hàng'!$B$4:$B$103,MATCH($D142,'Khách hàng'!$A$4:$A$103,0)),"")</f>
        <v/>
      </c>
      <c r="F142" s="48" t="n"/>
      <c r="G142" s="52" t="n"/>
      <c r="H142" s="50" t="n"/>
      <c r="I142" s="41">
        <f>IFERROR(INDEX('Báo giá'!$H$4:$H$203,MATCH($C142,'Báo giá'!$A$4:$A$203,0)),"")</f>
        <v/>
      </c>
      <c r="J142" s="52" t="n"/>
      <c r="K142" s="52" t="n"/>
      <c r="L142" s="35">
        <f>IF($A142="","",IF($K142="",IF($J142="","Chưa có kế hoạch",IF(TODAY()&gt;$J142,"Trễ hạn","Đang thực hiện")),IF($K142&lt;=$J142,"Đúng hạn","Giao trễ")))</f>
        <v/>
      </c>
      <c r="M142" s="41">
        <f>IF($A142="","",IF($K142="",IF($J142="",0,MAX(0,TODAY()-$J142)),MAX(0,$K142-$J142)))</f>
        <v/>
      </c>
      <c r="N142" s="48" t="n"/>
      <c r="O142" s="53" t="n"/>
      <c r="P142" s="57">
        <f>IF($A142="","",IF(IF($Y142="",$K142,$Y142)="","",IF($Y142="",$K142,$Y142)+IF($Z142="",0,$Z142)))</f>
        <v/>
      </c>
      <c r="Q142" s="54">
        <f>IFERROR(MONTH($G142),"")</f>
        <v/>
      </c>
      <c r="R142" s="54">
        <f>IFERROR(YEAR($G142),"")</f>
        <v/>
      </c>
      <c r="S142" s="48" t="n"/>
      <c r="T142" s="58">
        <f>IFERROR(INDEX('Báo giá'!$E$4:$E$203,MATCH($C142,'Báo giá'!$A$4:$A$203,0)),"")</f>
        <v/>
      </c>
      <c r="U142" s="59" t="n"/>
      <c r="V142" s="60" t="n"/>
      <c r="W142" s="61">
        <f>IFERROR(INDEX('Báo giá'!$G$4:$G$203,MATCH($C142,'Báo giá'!$A$4:$A$203,0)),"")</f>
        <v/>
      </c>
      <c r="X142" s="55" t="n"/>
      <c r="Y142" s="55" t="n"/>
      <c r="Z142" s="62" t="n"/>
    </row>
    <row r="143" ht="15" customHeight="1" s="30">
      <c r="A143" s="48" t="n"/>
      <c r="B143" s="52" t="n"/>
      <c r="C143" s="48" t="n"/>
      <c r="D143" s="35">
        <f>IFERROR(INDEX('Báo giá'!$C$4:$C$203,MATCH($C143,'Báo giá'!$A$4:$A$203,0)),"")</f>
        <v/>
      </c>
      <c r="E143" s="35">
        <f>IFERROR(INDEX('Khách hàng'!$B$4:$B$103,MATCH($D143,'Khách hàng'!$A$4:$A$103,0)),"")</f>
        <v/>
      </c>
      <c r="F143" s="48" t="n"/>
      <c r="G143" s="52" t="n"/>
      <c r="H143" s="50" t="n"/>
      <c r="I143" s="41">
        <f>IFERROR(INDEX('Báo giá'!$H$4:$H$203,MATCH($C143,'Báo giá'!$A$4:$A$203,0)),"")</f>
        <v/>
      </c>
      <c r="J143" s="52" t="n"/>
      <c r="K143" s="52" t="n"/>
      <c r="L143" s="35">
        <f>IF($A143="","",IF($K143="",IF($J143="","Chưa có kế hoạch",IF(TODAY()&gt;$J143,"Trễ hạn","Đang thực hiện")),IF($K143&lt;=$J143,"Đúng hạn","Giao trễ")))</f>
        <v/>
      </c>
      <c r="M143" s="41">
        <f>IF($A143="","",IF($K143="",IF($J143="",0,MAX(0,TODAY()-$J143)),MAX(0,$K143-$J143)))</f>
        <v/>
      </c>
      <c r="N143" s="48" t="n"/>
      <c r="O143" s="53" t="n"/>
      <c r="P143" s="57">
        <f>IF($A143="","",IF(IF($Y143="",$K143,$Y143)="","",IF($Y143="",$K143,$Y143)+IF($Z143="",0,$Z143)))</f>
        <v/>
      </c>
      <c r="Q143" s="54">
        <f>IFERROR(MONTH($G143),"")</f>
        <v/>
      </c>
      <c r="R143" s="54">
        <f>IFERROR(YEAR($G143),"")</f>
        <v/>
      </c>
      <c r="S143" s="48" t="n"/>
      <c r="T143" s="58">
        <f>IFERROR(INDEX('Báo giá'!$E$4:$E$203,MATCH($C143,'Báo giá'!$A$4:$A$203,0)),"")</f>
        <v/>
      </c>
      <c r="U143" s="59" t="n"/>
      <c r="V143" s="60" t="n"/>
      <c r="W143" s="61">
        <f>IFERROR(INDEX('Báo giá'!$G$4:$G$203,MATCH($C143,'Báo giá'!$A$4:$A$203,0)),"")</f>
        <v/>
      </c>
      <c r="X143" s="55" t="n"/>
      <c r="Y143" s="55" t="n"/>
      <c r="Z143" s="62" t="n"/>
    </row>
    <row r="144" ht="15" customHeight="1" s="30">
      <c r="A144" s="48" t="n"/>
      <c r="B144" s="52" t="n"/>
      <c r="C144" s="48" t="n"/>
      <c r="D144" s="35">
        <f>IFERROR(INDEX('Báo giá'!$C$4:$C$203,MATCH($C144,'Báo giá'!$A$4:$A$203,0)),"")</f>
        <v/>
      </c>
      <c r="E144" s="35">
        <f>IFERROR(INDEX('Khách hàng'!$B$4:$B$103,MATCH($D144,'Khách hàng'!$A$4:$A$103,0)),"")</f>
        <v/>
      </c>
      <c r="F144" s="48" t="n"/>
      <c r="G144" s="52" t="n"/>
      <c r="H144" s="50" t="n"/>
      <c r="I144" s="41">
        <f>IFERROR(INDEX('Báo giá'!$H$4:$H$203,MATCH($C144,'Báo giá'!$A$4:$A$203,0)),"")</f>
        <v/>
      </c>
      <c r="J144" s="52" t="n"/>
      <c r="K144" s="52" t="n"/>
      <c r="L144" s="35">
        <f>IF($A144="","",IF($K144="",IF($J144="","Chưa có kế hoạch",IF(TODAY()&gt;$J144,"Trễ hạn","Đang thực hiện")),IF($K144&lt;=$J144,"Đúng hạn","Giao trễ")))</f>
        <v/>
      </c>
      <c r="M144" s="41">
        <f>IF($A144="","",IF($K144="",IF($J144="",0,MAX(0,TODAY()-$J144)),MAX(0,$K144-$J144)))</f>
        <v/>
      </c>
      <c r="N144" s="48" t="n"/>
      <c r="O144" s="53" t="n"/>
      <c r="P144" s="57">
        <f>IF($A144="","",IF(IF($Y144="",$K144,$Y144)="","",IF($Y144="",$K144,$Y144)+IF($Z144="",0,$Z144)))</f>
        <v/>
      </c>
      <c r="Q144" s="54">
        <f>IFERROR(MONTH($G144),"")</f>
        <v/>
      </c>
      <c r="R144" s="54">
        <f>IFERROR(YEAR($G144),"")</f>
        <v/>
      </c>
      <c r="S144" s="48" t="n"/>
      <c r="T144" s="58">
        <f>IFERROR(INDEX('Báo giá'!$E$4:$E$203,MATCH($C144,'Báo giá'!$A$4:$A$203,0)),"")</f>
        <v/>
      </c>
      <c r="U144" s="59" t="n"/>
      <c r="V144" s="60" t="n"/>
      <c r="W144" s="61">
        <f>IFERROR(INDEX('Báo giá'!$G$4:$G$203,MATCH($C144,'Báo giá'!$A$4:$A$203,0)),"")</f>
        <v/>
      </c>
      <c r="X144" s="55" t="n"/>
      <c r="Y144" s="55" t="n"/>
      <c r="Z144" s="62" t="n"/>
    </row>
    <row r="145" ht="15" customHeight="1" s="30">
      <c r="A145" s="48" t="n"/>
      <c r="B145" s="52" t="n"/>
      <c r="C145" s="48" t="n"/>
      <c r="D145" s="35">
        <f>IFERROR(INDEX('Báo giá'!$C$4:$C$203,MATCH($C145,'Báo giá'!$A$4:$A$203,0)),"")</f>
        <v/>
      </c>
      <c r="E145" s="35">
        <f>IFERROR(INDEX('Khách hàng'!$B$4:$B$103,MATCH($D145,'Khách hàng'!$A$4:$A$103,0)),"")</f>
        <v/>
      </c>
      <c r="F145" s="48" t="n"/>
      <c r="G145" s="52" t="n"/>
      <c r="H145" s="50" t="n"/>
      <c r="I145" s="41">
        <f>IFERROR(INDEX('Báo giá'!$H$4:$H$203,MATCH($C145,'Báo giá'!$A$4:$A$203,0)),"")</f>
        <v/>
      </c>
      <c r="J145" s="52" t="n"/>
      <c r="K145" s="52" t="n"/>
      <c r="L145" s="35">
        <f>IF($A145="","",IF($K145="",IF($J145="","Chưa có kế hoạch",IF(TODAY()&gt;$J145,"Trễ hạn","Đang thực hiện")),IF($K145&lt;=$J145,"Đúng hạn","Giao trễ")))</f>
        <v/>
      </c>
      <c r="M145" s="41">
        <f>IF($A145="","",IF($K145="",IF($J145="",0,MAX(0,TODAY()-$J145)),MAX(0,$K145-$J145)))</f>
        <v/>
      </c>
      <c r="N145" s="48" t="n"/>
      <c r="O145" s="53" t="n"/>
      <c r="P145" s="57">
        <f>IF($A145="","",IF(IF($Y145="",$K145,$Y145)="","",IF($Y145="",$K145,$Y145)+IF($Z145="",0,$Z145)))</f>
        <v/>
      </c>
      <c r="Q145" s="54">
        <f>IFERROR(MONTH($G145),"")</f>
        <v/>
      </c>
      <c r="R145" s="54">
        <f>IFERROR(YEAR($G145),"")</f>
        <v/>
      </c>
      <c r="S145" s="48" t="n"/>
      <c r="T145" s="58">
        <f>IFERROR(INDEX('Báo giá'!$E$4:$E$203,MATCH($C145,'Báo giá'!$A$4:$A$203,0)),"")</f>
        <v/>
      </c>
      <c r="U145" s="59" t="n"/>
      <c r="V145" s="60" t="n"/>
      <c r="W145" s="61">
        <f>IFERROR(INDEX('Báo giá'!$G$4:$G$203,MATCH($C145,'Báo giá'!$A$4:$A$203,0)),"")</f>
        <v/>
      </c>
      <c r="X145" s="55" t="n"/>
      <c r="Y145" s="55" t="n"/>
      <c r="Z145" s="62" t="n"/>
    </row>
    <row r="146" ht="15" customHeight="1" s="30">
      <c r="A146" s="48" t="n"/>
      <c r="B146" s="52" t="n"/>
      <c r="C146" s="48" t="n"/>
      <c r="D146" s="35">
        <f>IFERROR(INDEX('Báo giá'!$C$4:$C$203,MATCH($C146,'Báo giá'!$A$4:$A$203,0)),"")</f>
        <v/>
      </c>
      <c r="E146" s="35">
        <f>IFERROR(INDEX('Khách hàng'!$B$4:$B$103,MATCH($D146,'Khách hàng'!$A$4:$A$103,0)),"")</f>
        <v/>
      </c>
      <c r="F146" s="48" t="n"/>
      <c r="G146" s="52" t="n"/>
      <c r="H146" s="50" t="n"/>
      <c r="I146" s="41">
        <f>IFERROR(INDEX('Báo giá'!$H$4:$H$203,MATCH($C146,'Báo giá'!$A$4:$A$203,0)),"")</f>
        <v/>
      </c>
      <c r="J146" s="52" t="n"/>
      <c r="K146" s="52" t="n"/>
      <c r="L146" s="35">
        <f>IF($A146="","",IF($K146="",IF($J146="","Chưa có kế hoạch",IF(TODAY()&gt;$J146,"Trễ hạn","Đang thực hiện")),IF($K146&lt;=$J146,"Đúng hạn","Giao trễ")))</f>
        <v/>
      </c>
      <c r="M146" s="41">
        <f>IF($A146="","",IF($K146="",IF($J146="",0,MAX(0,TODAY()-$J146)),MAX(0,$K146-$J146)))</f>
        <v/>
      </c>
      <c r="N146" s="48" t="n"/>
      <c r="O146" s="53" t="n"/>
      <c r="P146" s="57">
        <f>IF($A146="","",IF(IF($Y146="",$K146,$Y146)="","",IF($Y146="",$K146,$Y146)+IF($Z146="",0,$Z146)))</f>
        <v/>
      </c>
      <c r="Q146" s="54">
        <f>IFERROR(MONTH($G146),"")</f>
        <v/>
      </c>
      <c r="R146" s="54">
        <f>IFERROR(YEAR($G146),"")</f>
        <v/>
      </c>
      <c r="S146" s="48" t="n"/>
      <c r="T146" s="58">
        <f>IFERROR(INDEX('Báo giá'!$E$4:$E$203,MATCH($C146,'Báo giá'!$A$4:$A$203,0)),"")</f>
        <v/>
      </c>
      <c r="U146" s="59" t="n"/>
      <c r="V146" s="60" t="n"/>
      <c r="W146" s="61">
        <f>IFERROR(INDEX('Báo giá'!$G$4:$G$203,MATCH($C146,'Báo giá'!$A$4:$A$203,0)),"")</f>
        <v/>
      </c>
      <c r="X146" s="55" t="n"/>
      <c r="Y146" s="55" t="n"/>
      <c r="Z146" s="62" t="n"/>
    </row>
    <row r="147" ht="15" customHeight="1" s="30">
      <c r="A147" s="48" t="n"/>
      <c r="B147" s="52" t="n"/>
      <c r="C147" s="48" t="n"/>
      <c r="D147" s="35">
        <f>IFERROR(INDEX('Báo giá'!$C$4:$C$203,MATCH($C147,'Báo giá'!$A$4:$A$203,0)),"")</f>
        <v/>
      </c>
      <c r="E147" s="35">
        <f>IFERROR(INDEX('Khách hàng'!$B$4:$B$103,MATCH($D147,'Khách hàng'!$A$4:$A$103,0)),"")</f>
        <v/>
      </c>
      <c r="F147" s="48" t="n"/>
      <c r="G147" s="52" t="n"/>
      <c r="H147" s="50" t="n"/>
      <c r="I147" s="41">
        <f>IFERROR(INDEX('Báo giá'!$H$4:$H$203,MATCH($C147,'Báo giá'!$A$4:$A$203,0)),"")</f>
        <v/>
      </c>
      <c r="J147" s="52" t="n"/>
      <c r="K147" s="52" t="n"/>
      <c r="L147" s="35">
        <f>IF($A147="","",IF($K147="",IF($J147="","Chưa có kế hoạch",IF(TODAY()&gt;$J147,"Trễ hạn","Đang thực hiện")),IF($K147&lt;=$J147,"Đúng hạn","Giao trễ")))</f>
        <v/>
      </c>
      <c r="M147" s="41">
        <f>IF($A147="","",IF($K147="",IF($J147="",0,MAX(0,TODAY()-$J147)),MAX(0,$K147-$J147)))</f>
        <v/>
      </c>
      <c r="N147" s="48" t="n"/>
      <c r="O147" s="53" t="n"/>
      <c r="P147" s="57">
        <f>IF($A147="","",IF(IF($Y147="",$K147,$Y147)="","",IF($Y147="",$K147,$Y147)+IF($Z147="",0,$Z147)))</f>
        <v/>
      </c>
      <c r="Q147" s="54">
        <f>IFERROR(MONTH($G147),"")</f>
        <v/>
      </c>
      <c r="R147" s="54">
        <f>IFERROR(YEAR($G147),"")</f>
        <v/>
      </c>
      <c r="S147" s="48" t="n"/>
      <c r="T147" s="58">
        <f>IFERROR(INDEX('Báo giá'!$E$4:$E$203,MATCH($C147,'Báo giá'!$A$4:$A$203,0)),"")</f>
        <v/>
      </c>
      <c r="U147" s="59" t="n"/>
      <c r="V147" s="60" t="n"/>
      <c r="W147" s="61">
        <f>IFERROR(INDEX('Báo giá'!$G$4:$G$203,MATCH($C147,'Báo giá'!$A$4:$A$203,0)),"")</f>
        <v/>
      </c>
      <c r="X147" s="55" t="n"/>
      <c r="Y147" s="55" t="n"/>
      <c r="Z147" s="62" t="n"/>
    </row>
    <row r="148" ht="15" customHeight="1" s="30">
      <c r="A148" s="48" t="n"/>
      <c r="B148" s="52" t="n"/>
      <c r="C148" s="48" t="n"/>
      <c r="D148" s="35">
        <f>IFERROR(INDEX('Báo giá'!$C$4:$C$203,MATCH($C148,'Báo giá'!$A$4:$A$203,0)),"")</f>
        <v/>
      </c>
      <c r="E148" s="35">
        <f>IFERROR(INDEX('Khách hàng'!$B$4:$B$103,MATCH($D148,'Khách hàng'!$A$4:$A$103,0)),"")</f>
        <v/>
      </c>
      <c r="F148" s="48" t="n"/>
      <c r="G148" s="52" t="n"/>
      <c r="H148" s="50" t="n"/>
      <c r="I148" s="41">
        <f>IFERROR(INDEX('Báo giá'!$H$4:$H$203,MATCH($C148,'Báo giá'!$A$4:$A$203,0)),"")</f>
        <v/>
      </c>
      <c r="J148" s="52" t="n"/>
      <c r="K148" s="52" t="n"/>
      <c r="L148" s="35">
        <f>IF($A148="","",IF($K148="",IF($J148="","Chưa có kế hoạch",IF(TODAY()&gt;$J148,"Trễ hạn","Đang thực hiện")),IF($K148&lt;=$J148,"Đúng hạn","Giao trễ")))</f>
        <v/>
      </c>
      <c r="M148" s="41">
        <f>IF($A148="","",IF($K148="",IF($J148="",0,MAX(0,TODAY()-$J148)),MAX(0,$K148-$J148)))</f>
        <v/>
      </c>
      <c r="N148" s="48" t="n"/>
      <c r="O148" s="53" t="n"/>
      <c r="P148" s="57">
        <f>IF($A148="","",IF(IF($Y148="",$K148,$Y148)="","",IF($Y148="",$K148,$Y148)+IF($Z148="",0,$Z148)))</f>
        <v/>
      </c>
      <c r="Q148" s="54">
        <f>IFERROR(MONTH($G148),"")</f>
        <v/>
      </c>
      <c r="R148" s="54">
        <f>IFERROR(YEAR($G148),"")</f>
        <v/>
      </c>
      <c r="S148" s="48" t="n"/>
      <c r="T148" s="58">
        <f>IFERROR(INDEX('Báo giá'!$E$4:$E$203,MATCH($C148,'Báo giá'!$A$4:$A$203,0)),"")</f>
        <v/>
      </c>
      <c r="U148" s="59" t="n"/>
      <c r="V148" s="60" t="n"/>
      <c r="W148" s="61">
        <f>IFERROR(INDEX('Báo giá'!$G$4:$G$203,MATCH($C148,'Báo giá'!$A$4:$A$203,0)),"")</f>
        <v/>
      </c>
      <c r="X148" s="55" t="n"/>
      <c r="Y148" s="55" t="n"/>
      <c r="Z148" s="62" t="n"/>
    </row>
    <row r="149" ht="15" customHeight="1" s="30">
      <c r="A149" s="48" t="n"/>
      <c r="B149" s="52" t="n"/>
      <c r="C149" s="48" t="n"/>
      <c r="D149" s="35">
        <f>IFERROR(INDEX('Báo giá'!$C$4:$C$203,MATCH($C149,'Báo giá'!$A$4:$A$203,0)),"")</f>
        <v/>
      </c>
      <c r="E149" s="35">
        <f>IFERROR(INDEX('Khách hàng'!$B$4:$B$103,MATCH($D149,'Khách hàng'!$A$4:$A$103,0)),"")</f>
        <v/>
      </c>
      <c r="F149" s="48" t="n"/>
      <c r="G149" s="52" t="n"/>
      <c r="H149" s="50" t="n"/>
      <c r="I149" s="41">
        <f>IFERROR(INDEX('Báo giá'!$H$4:$H$203,MATCH($C149,'Báo giá'!$A$4:$A$203,0)),"")</f>
        <v/>
      </c>
      <c r="J149" s="52" t="n"/>
      <c r="K149" s="52" t="n"/>
      <c r="L149" s="35">
        <f>IF($A149="","",IF($K149="",IF($J149="","Chưa có kế hoạch",IF(TODAY()&gt;$J149,"Trễ hạn","Đang thực hiện")),IF($K149&lt;=$J149,"Đúng hạn","Giao trễ")))</f>
        <v/>
      </c>
      <c r="M149" s="41">
        <f>IF($A149="","",IF($K149="",IF($J149="",0,MAX(0,TODAY()-$J149)),MAX(0,$K149-$J149)))</f>
        <v/>
      </c>
      <c r="N149" s="48" t="n"/>
      <c r="O149" s="53" t="n"/>
      <c r="P149" s="57">
        <f>IF($A149="","",IF(IF($Y149="",$K149,$Y149)="","",IF($Y149="",$K149,$Y149)+IF($Z149="",0,$Z149)))</f>
        <v/>
      </c>
      <c r="Q149" s="54">
        <f>IFERROR(MONTH($G149),"")</f>
        <v/>
      </c>
      <c r="R149" s="54">
        <f>IFERROR(YEAR($G149),"")</f>
        <v/>
      </c>
      <c r="S149" s="48" t="n"/>
      <c r="T149" s="58">
        <f>IFERROR(INDEX('Báo giá'!$E$4:$E$203,MATCH($C149,'Báo giá'!$A$4:$A$203,0)),"")</f>
        <v/>
      </c>
      <c r="U149" s="59" t="n"/>
      <c r="V149" s="60" t="n"/>
      <c r="W149" s="61">
        <f>IFERROR(INDEX('Báo giá'!$G$4:$G$203,MATCH($C149,'Báo giá'!$A$4:$A$203,0)),"")</f>
        <v/>
      </c>
      <c r="X149" s="55" t="n"/>
      <c r="Y149" s="55" t="n"/>
      <c r="Z149" s="62" t="n"/>
    </row>
    <row r="150" ht="15" customHeight="1" s="30">
      <c r="A150" s="48" t="n"/>
      <c r="B150" s="52" t="n"/>
      <c r="C150" s="48" t="n"/>
      <c r="D150" s="35">
        <f>IFERROR(INDEX('Báo giá'!$C$4:$C$203,MATCH($C150,'Báo giá'!$A$4:$A$203,0)),"")</f>
        <v/>
      </c>
      <c r="E150" s="35">
        <f>IFERROR(INDEX('Khách hàng'!$B$4:$B$103,MATCH($D150,'Khách hàng'!$A$4:$A$103,0)),"")</f>
        <v/>
      </c>
      <c r="F150" s="48" t="n"/>
      <c r="G150" s="52" t="n"/>
      <c r="H150" s="50" t="n"/>
      <c r="I150" s="41">
        <f>IFERROR(INDEX('Báo giá'!$H$4:$H$203,MATCH($C150,'Báo giá'!$A$4:$A$203,0)),"")</f>
        <v/>
      </c>
      <c r="J150" s="52" t="n"/>
      <c r="K150" s="52" t="n"/>
      <c r="L150" s="35">
        <f>IF($A150="","",IF($K150="",IF($J150="","Chưa có kế hoạch",IF(TODAY()&gt;$J150,"Trễ hạn","Đang thực hiện")),IF($K150&lt;=$J150,"Đúng hạn","Giao trễ")))</f>
        <v/>
      </c>
      <c r="M150" s="41">
        <f>IF($A150="","",IF($K150="",IF($J150="",0,MAX(0,TODAY()-$J150)),MAX(0,$K150-$J150)))</f>
        <v/>
      </c>
      <c r="N150" s="48" t="n"/>
      <c r="O150" s="53" t="n"/>
      <c r="P150" s="57">
        <f>IF($A150="","",IF(IF($Y150="",$K150,$Y150)="","",IF($Y150="",$K150,$Y150)+IF($Z150="",0,$Z150)))</f>
        <v/>
      </c>
      <c r="Q150" s="54">
        <f>IFERROR(MONTH($G150),"")</f>
        <v/>
      </c>
      <c r="R150" s="54">
        <f>IFERROR(YEAR($G150),"")</f>
        <v/>
      </c>
      <c r="S150" s="48" t="n"/>
      <c r="T150" s="58">
        <f>IFERROR(INDEX('Báo giá'!$E$4:$E$203,MATCH($C150,'Báo giá'!$A$4:$A$203,0)),"")</f>
        <v/>
      </c>
      <c r="U150" s="59" t="n"/>
      <c r="V150" s="60" t="n"/>
      <c r="W150" s="61">
        <f>IFERROR(INDEX('Báo giá'!$G$4:$G$203,MATCH($C150,'Báo giá'!$A$4:$A$203,0)),"")</f>
        <v/>
      </c>
      <c r="X150" s="55" t="n"/>
      <c r="Y150" s="55" t="n"/>
      <c r="Z150" s="62" t="n"/>
    </row>
    <row r="151" ht="15" customHeight="1" s="30">
      <c r="A151" s="48" t="n"/>
      <c r="B151" s="52" t="n"/>
      <c r="C151" s="48" t="n"/>
      <c r="D151" s="35">
        <f>IFERROR(INDEX('Báo giá'!$C$4:$C$203,MATCH($C151,'Báo giá'!$A$4:$A$203,0)),"")</f>
        <v/>
      </c>
      <c r="E151" s="35">
        <f>IFERROR(INDEX('Khách hàng'!$B$4:$B$103,MATCH($D151,'Khách hàng'!$A$4:$A$103,0)),"")</f>
        <v/>
      </c>
      <c r="F151" s="48" t="n"/>
      <c r="G151" s="52" t="n"/>
      <c r="H151" s="50" t="n"/>
      <c r="I151" s="41">
        <f>IFERROR(INDEX('Báo giá'!$H$4:$H$203,MATCH($C151,'Báo giá'!$A$4:$A$203,0)),"")</f>
        <v/>
      </c>
      <c r="J151" s="52" t="n"/>
      <c r="K151" s="52" t="n"/>
      <c r="L151" s="35">
        <f>IF($A151="","",IF($K151="",IF($J151="","Chưa có kế hoạch",IF(TODAY()&gt;$J151,"Trễ hạn","Đang thực hiện")),IF($K151&lt;=$J151,"Đúng hạn","Giao trễ")))</f>
        <v/>
      </c>
      <c r="M151" s="41">
        <f>IF($A151="","",IF($K151="",IF($J151="",0,MAX(0,TODAY()-$J151)),MAX(0,$K151-$J151)))</f>
        <v/>
      </c>
      <c r="N151" s="48" t="n"/>
      <c r="O151" s="53" t="n"/>
      <c r="P151" s="57">
        <f>IF($A151="","",IF(IF($Y151="",$K151,$Y151)="","",IF($Y151="",$K151,$Y151)+IF($Z151="",0,$Z151)))</f>
        <v/>
      </c>
      <c r="Q151" s="54">
        <f>IFERROR(MONTH($G151),"")</f>
        <v/>
      </c>
      <c r="R151" s="54">
        <f>IFERROR(YEAR($G151),"")</f>
        <v/>
      </c>
      <c r="S151" s="48" t="n"/>
      <c r="T151" s="58">
        <f>IFERROR(INDEX('Báo giá'!$E$4:$E$203,MATCH($C151,'Báo giá'!$A$4:$A$203,0)),"")</f>
        <v/>
      </c>
      <c r="U151" s="59" t="n"/>
      <c r="V151" s="60" t="n"/>
      <c r="W151" s="61">
        <f>IFERROR(INDEX('Báo giá'!$G$4:$G$203,MATCH($C151,'Báo giá'!$A$4:$A$203,0)),"")</f>
        <v/>
      </c>
      <c r="X151" s="55" t="n"/>
      <c r="Y151" s="55" t="n"/>
      <c r="Z151" s="62" t="n"/>
    </row>
    <row r="152" ht="15" customHeight="1" s="30">
      <c r="A152" s="48" t="n"/>
      <c r="B152" s="52" t="n"/>
      <c r="C152" s="48" t="n"/>
      <c r="D152" s="35">
        <f>IFERROR(INDEX('Báo giá'!$C$4:$C$203,MATCH($C152,'Báo giá'!$A$4:$A$203,0)),"")</f>
        <v/>
      </c>
      <c r="E152" s="35">
        <f>IFERROR(INDEX('Khách hàng'!$B$4:$B$103,MATCH($D152,'Khách hàng'!$A$4:$A$103,0)),"")</f>
        <v/>
      </c>
      <c r="F152" s="48" t="n"/>
      <c r="G152" s="52" t="n"/>
      <c r="H152" s="50" t="n"/>
      <c r="I152" s="41">
        <f>IFERROR(INDEX('Báo giá'!$H$4:$H$203,MATCH($C152,'Báo giá'!$A$4:$A$203,0)),"")</f>
        <v/>
      </c>
      <c r="J152" s="52" t="n"/>
      <c r="K152" s="52" t="n"/>
      <c r="L152" s="35">
        <f>IF($A152="","",IF($K152="",IF($J152="","Chưa có kế hoạch",IF(TODAY()&gt;$J152,"Trễ hạn","Đang thực hiện")),IF($K152&lt;=$J152,"Đúng hạn","Giao trễ")))</f>
        <v/>
      </c>
      <c r="M152" s="41">
        <f>IF($A152="","",IF($K152="",IF($J152="",0,MAX(0,TODAY()-$J152)),MAX(0,$K152-$J152)))</f>
        <v/>
      </c>
      <c r="N152" s="48" t="n"/>
      <c r="O152" s="53" t="n"/>
      <c r="P152" s="57">
        <f>IF($A152="","",IF(IF($Y152="",$K152,$Y152)="","",IF($Y152="",$K152,$Y152)+IF($Z152="",0,$Z152)))</f>
        <v/>
      </c>
      <c r="Q152" s="54">
        <f>IFERROR(MONTH($G152),"")</f>
        <v/>
      </c>
      <c r="R152" s="54">
        <f>IFERROR(YEAR($G152),"")</f>
        <v/>
      </c>
      <c r="S152" s="48" t="n"/>
      <c r="T152" s="58">
        <f>IFERROR(INDEX('Báo giá'!$E$4:$E$203,MATCH($C152,'Báo giá'!$A$4:$A$203,0)),"")</f>
        <v/>
      </c>
      <c r="U152" s="59" t="n"/>
      <c r="V152" s="60" t="n"/>
      <c r="W152" s="61">
        <f>IFERROR(INDEX('Báo giá'!$G$4:$G$203,MATCH($C152,'Báo giá'!$A$4:$A$203,0)),"")</f>
        <v/>
      </c>
      <c r="X152" s="55" t="n"/>
      <c r="Y152" s="55" t="n"/>
      <c r="Z152" s="62" t="n"/>
    </row>
    <row r="153" ht="15" customHeight="1" s="30">
      <c r="A153" s="48" t="n"/>
      <c r="B153" s="52" t="n"/>
      <c r="C153" s="48" t="n"/>
      <c r="D153" s="35">
        <f>IFERROR(INDEX('Báo giá'!$C$4:$C$203,MATCH($C153,'Báo giá'!$A$4:$A$203,0)),"")</f>
        <v/>
      </c>
      <c r="E153" s="35">
        <f>IFERROR(INDEX('Khách hàng'!$B$4:$B$103,MATCH($D153,'Khách hàng'!$A$4:$A$103,0)),"")</f>
        <v/>
      </c>
      <c r="F153" s="48" t="n"/>
      <c r="G153" s="52" t="n"/>
      <c r="H153" s="50" t="n"/>
      <c r="I153" s="41">
        <f>IFERROR(INDEX('Báo giá'!$H$4:$H$203,MATCH($C153,'Báo giá'!$A$4:$A$203,0)),"")</f>
        <v/>
      </c>
      <c r="J153" s="52" t="n"/>
      <c r="K153" s="52" t="n"/>
      <c r="L153" s="35">
        <f>IF($A153="","",IF($K153="",IF($J153="","Chưa có kế hoạch",IF(TODAY()&gt;$J153,"Trễ hạn","Đang thực hiện")),IF($K153&lt;=$J153,"Đúng hạn","Giao trễ")))</f>
        <v/>
      </c>
      <c r="M153" s="41">
        <f>IF($A153="","",IF($K153="",IF($J153="",0,MAX(0,TODAY()-$J153)),MAX(0,$K153-$J153)))</f>
        <v/>
      </c>
      <c r="N153" s="48" t="n"/>
      <c r="O153" s="53" t="n"/>
      <c r="P153" s="57">
        <f>IF($A153="","",IF(IF($Y153="",$K153,$Y153)="","",IF($Y153="",$K153,$Y153)+IF($Z153="",0,$Z153)))</f>
        <v/>
      </c>
      <c r="Q153" s="54">
        <f>IFERROR(MONTH($G153),"")</f>
        <v/>
      </c>
      <c r="R153" s="54">
        <f>IFERROR(YEAR($G153),"")</f>
        <v/>
      </c>
      <c r="S153" s="48" t="n"/>
      <c r="T153" s="58">
        <f>IFERROR(INDEX('Báo giá'!$E$4:$E$203,MATCH($C153,'Báo giá'!$A$4:$A$203,0)),"")</f>
        <v/>
      </c>
      <c r="U153" s="59" t="n"/>
      <c r="V153" s="60" t="n"/>
      <c r="W153" s="61">
        <f>IFERROR(INDEX('Báo giá'!$G$4:$G$203,MATCH($C153,'Báo giá'!$A$4:$A$203,0)),"")</f>
        <v/>
      </c>
      <c r="X153" s="55" t="n"/>
      <c r="Y153" s="55" t="n"/>
      <c r="Z153" s="62" t="n"/>
    </row>
    <row r="154" ht="15" customHeight="1" s="30">
      <c r="A154" s="48" t="n"/>
      <c r="B154" s="52" t="n"/>
      <c r="C154" s="48" t="n"/>
      <c r="D154" s="35">
        <f>IFERROR(INDEX('Báo giá'!$C$4:$C$203,MATCH($C154,'Báo giá'!$A$4:$A$203,0)),"")</f>
        <v/>
      </c>
      <c r="E154" s="35">
        <f>IFERROR(INDEX('Khách hàng'!$B$4:$B$103,MATCH($D154,'Khách hàng'!$A$4:$A$103,0)),"")</f>
        <v/>
      </c>
      <c r="F154" s="48" t="n"/>
      <c r="G154" s="52" t="n"/>
      <c r="H154" s="50" t="n"/>
      <c r="I154" s="41">
        <f>IFERROR(INDEX('Báo giá'!$H$4:$H$203,MATCH($C154,'Báo giá'!$A$4:$A$203,0)),"")</f>
        <v/>
      </c>
      <c r="J154" s="52" t="n"/>
      <c r="K154" s="52" t="n"/>
      <c r="L154" s="35">
        <f>IF($A154="","",IF($K154="",IF($J154="","Chưa có kế hoạch",IF(TODAY()&gt;$J154,"Trễ hạn","Đang thực hiện")),IF($K154&lt;=$J154,"Đúng hạn","Giao trễ")))</f>
        <v/>
      </c>
      <c r="M154" s="41">
        <f>IF($A154="","",IF($K154="",IF($J154="",0,MAX(0,TODAY()-$J154)),MAX(0,$K154-$J154)))</f>
        <v/>
      </c>
      <c r="N154" s="48" t="n"/>
      <c r="O154" s="53" t="n"/>
      <c r="P154" s="57">
        <f>IF($A154="","",IF(IF($Y154="",$K154,$Y154)="","",IF($Y154="",$K154,$Y154)+IF($Z154="",0,$Z154)))</f>
        <v/>
      </c>
      <c r="Q154" s="54">
        <f>IFERROR(MONTH($G154),"")</f>
        <v/>
      </c>
      <c r="R154" s="54">
        <f>IFERROR(YEAR($G154),"")</f>
        <v/>
      </c>
      <c r="S154" s="48" t="n"/>
      <c r="T154" s="58">
        <f>IFERROR(INDEX('Báo giá'!$E$4:$E$203,MATCH($C154,'Báo giá'!$A$4:$A$203,0)),"")</f>
        <v/>
      </c>
      <c r="U154" s="59" t="n"/>
      <c r="V154" s="60" t="n"/>
      <c r="W154" s="61">
        <f>IFERROR(INDEX('Báo giá'!$G$4:$G$203,MATCH($C154,'Báo giá'!$A$4:$A$203,0)),"")</f>
        <v/>
      </c>
      <c r="X154" s="55" t="n"/>
      <c r="Y154" s="55" t="n"/>
      <c r="Z154" s="62" t="n"/>
    </row>
    <row r="155" ht="15" customHeight="1" s="30">
      <c r="A155" s="48" t="n"/>
      <c r="B155" s="52" t="n"/>
      <c r="C155" s="48" t="n"/>
      <c r="D155" s="35">
        <f>IFERROR(INDEX('Báo giá'!$C$4:$C$203,MATCH($C155,'Báo giá'!$A$4:$A$203,0)),"")</f>
        <v/>
      </c>
      <c r="E155" s="35">
        <f>IFERROR(INDEX('Khách hàng'!$B$4:$B$103,MATCH($D155,'Khách hàng'!$A$4:$A$103,0)),"")</f>
        <v/>
      </c>
      <c r="F155" s="48" t="n"/>
      <c r="G155" s="52" t="n"/>
      <c r="H155" s="50" t="n"/>
      <c r="I155" s="41">
        <f>IFERROR(INDEX('Báo giá'!$H$4:$H$203,MATCH($C155,'Báo giá'!$A$4:$A$203,0)),"")</f>
        <v/>
      </c>
      <c r="J155" s="52" t="n"/>
      <c r="K155" s="52" t="n"/>
      <c r="L155" s="35">
        <f>IF($A155="","",IF($K155="",IF($J155="","Chưa có kế hoạch",IF(TODAY()&gt;$J155,"Trễ hạn","Đang thực hiện")),IF($K155&lt;=$J155,"Đúng hạn","Giao trễ")))</f>
        <v/>
      </c>
      <c r="M155" s="41">
        <f>IF($A155="","",IF($K155="",IF($J155="",0,MAX(0,TODAY()-$J155)),MAX(0,$K155-$J155)))</f>
        <v/>
      </c>
      <c r="N155" s="48" t="n"/>
      <c r="O155" s="53" t="n"/>
      <c r="P155" s="57">
        <f>IF($A155="","",IF(IF($Y155="",$K155,$Y155)="","",IF($Y155="",$K155,$Y155)+IF($Z155="",0,$Z155)))</f>
        <v/>
      </c>
      <c r="Q155" s="54">
        <f>IFERROR(MONTH($G155),"")</f>
        <v/>
      </c>
      <c r="R155" s="54">
        <f>IFERROR(YEAR($G155),"")</f>
        <v/>
      </c>
      <c r="S155" s="48" t="n"/>
      <c r="T155" s="58">
        <f>IFERROR(INDEX('Báo giá'!$E$4:$E$203,MATCH($C155,'Báo giá'!$A$4:$A$203,0)),"")</f>
        <v/>
      </c>
      <c r="U155" s="59" t="n"/>
      <c r="V155" s="60" t="n"/>
      <c r="W155" s="61">
        <f>IFERROR(INDEX('Báo giá'!$G$4:$G$203,MATCH($C155,'Báo giá'!$A$4:$A$203,0)),"")</f>
        <v/>
      </c>
      <c r="X155" s="55" t="n"/>
      <c r="Y155" s="55" t="n"/>
      <c r="Z155" s="62" t="n"/>
    </row>
    <row r="156" ht="15" customHeight="1" s="30">
      <c r="A156" s="48" t="n"/>
      <c r="B156" s="52" t="n"/>
      <c r="C156" s="48" t="n"/>
      <c r="D156" s="35">
        <f>IFERROR(INDEX('Báo giá'!$C$4:$C$203,MATCH($C156,'Báo giá'!$A$4:$A$203,0)),"")</f>
        <v/>
      </c>
      <c r="E156" s="35">
        <f>IFERROR(INDEX('Khách hàng'!$B$4:$B$103,MATCH($D156,'Khách hàng'!$A$4:$A$103,0)),"")</f>
        <v/>
      </c>
      <c r="F156" s="48" t="n"/>
      <c r="G156" s="52" t="n"/>
      <c r="H156" s="50" t="n"/>
      <c r="I156" s="41">
        <f>IFERROR(INDEX('Báo giá'!$H$4:$H$203,MATCH($C156,'Báo giá'!$A$4:$A$203,0)),"")</f>
        <v/>
      </c>
      <c r="J156" s="52" t="n"/>
      <c r="K156" s="52" t="n"/>
      <c r="L156" s="35">
        <f>IF($A156="","",IF($K156="",IF($J156="","Chưa có kế hoạch",IF(TODAY()&gt;$J156,"Trễ hạn","Đang thực hiện")),IF($K156&lt;=$J156,"Đúng hạn","Giao trễ")))</f>
        <v/>
      </c>
      <c r="M156" s="41">
        <f>IF($A156="","",IF($K156="",IF($J156="",0,MAX(0,TODAY()-$J156)),MAX(0,$K156-$J156)))</f>
        <v/>
      </c>
      <c r="N156" s="48" t="n"/>
      <c r="O156" s="53" t="n"/>
      <c r="P156" s="57">
        <f>IF($A156="","",IF(IF($Y156="",$K156,$Y156)="","",IF($Y156="",$K156,$Y156)+IF($Z156="",0,$Z156)))</f>
        <v/>
      </c>
      <c r="Q156" s="54">
        <f>IFERROR(MONTH($G156),"")</f>
        <v/>
      </c>
      <c r="R156" s="54">
        <f>IFERROR(YEAR($G156),"")</f>
        <v/>
      </c>
      <c r="S156" s="48" t="n"/>
      <c r="T156" s="58">
        <f>IFERROR(INDEX('Báo giá'!$E$4:$E$203,MATCH($C156,'Báo giá'!$A$4:$A$203,0)),"")</f>
        <v/>
      </c>
      <c r="U156" s="59" t="n"/>
      <c r="V156" s="60" t="n"/>
      <c r="W156" s="61">
        <f>IFERROR(INDEX('Báo giá'!$G$4:$G$203,MATCH($C156,'Báo giá'!$A$4:$A$203,0)),"")</f>
        <v/>
      </c>
      <c r="X156" s="55" t="n"/>
      <c r="Y156" s="55" t="n"/>
      <c r="Z156" s="62" t="n"/>
    </row>
    <row r="157" ht="15" customHeight="1" s="30">
      <c r="A157" s="48" t="n"/>
      <c r="B157" s="52" t="n"/>
      <c r="C157" s="48" t="n"/>
      <c r="D157" s="35">
        <f>IFERROR(INDEX('Báo giá'!$C$4:$C$203,MATCH($C157,'Báo giá'!$A$4:$A$203,0)),"")</f>
        <v/>
      </c>
      <c r="E157" s="35">
        <f>IFERROR(INDEX('Khách hàng'!$B$4:$B$103,MATCH($D157,'Khách hàng'!$A$4:$A$103,0)),"")</f>
        <v/>
      </c>
      <c r="F157" s="48" t="n"/>
      <c r="G157" s="52" t="n"/>
      <c r="H157" s="50" t="n"/>
      <c r="I157" s="41">
        <f>IFERROR(INDEX('Báo giá'!$H$4:$H$203,MATCH($C157,'Báo giá'!$A$4:$A$203,0)),"")</f>
        <v/>
      </c>
      <c r="J157" s="52" t="n"/>
      <c r="K157" s="52" t="n"/>
      <c r="L157" s="35">
        <f>IF($A157="","",IF($K157="",IF($J157="","Chưa có kế hoạch",IF(TODAY()&gt;$J157,"Trễ hạn","Đang thực hiện")),IF($K157&lt;=$J157,"Đúng hạn","Giao trễ")))</f>
        <v/>
      </c>
      <c r="M157" s="41">
        <f>IF($A157="","",IF($K157="",IF($J157="",0,MAX(0,TODAY()-$J157)),MAX(0,$K157-$J157)))</f>
        <v/>
      </c>
      <c r="N157" s="48" t="n"/>
      <c r="O157" s="53" t="n"/>
      <c r="P157" s="57">
        <f>IF($A157="","",IF(IF($Y157="",$K157,$Y157)="","",IF($Y157="",$K157,$Y157)+IF($Z157="",0,$Z157)))</f>
        <v/>
      </c>
      <c r="Q157" s="54">
        <f>IFERROR(MONTH($G157),"")</f>
        <v/>
      </c>
      <c r="R157" s="54">
        <f>IFERROR(YEAR($G157),"")</f>
        <v/>
      </c>
      <c r="S157" s="48" t="n"/>
      <c r="T157" s="58">
        <f>IFERROR(INDEX('Báo giá'!$E$4:$E$203,MATCH($C157,'Báo giá'!$A$4:$A$203,0)),"")</f>
        <v/>
      </c>
      <c r="U157" s="59" t="n"/>
      <c r="V157" s="60" t="n"/>
      <c r="W157" s="61">
        <f>IFERROR(INDEX('Báo giá'!$G$4:$G$203,MATCH($C157,'Báo giá'!$A$4:$A$203,0)),"")</f>
        <v/>
      </c>
      <c r="X157" s="55" t="n"/>
      <c r="Y157" s="55" t="n"/>
      <c r="Z157" s="62" t="n"/>
    </row>
    <row r="158" ht="15" customHeight="1" s="30">
      <c r="A158" s="48" t="n"/>
      <c r="B158" s="52" t="n"/>
      <c r="C158" s="48" t="n"/>
      <c r="D158" s="35">
        <f>IFERROR(INDEX('Báo giá'!$C$4:$C$203,MATCH($C158,'Báo giá'!$A$4:$A$203,0)),"")</f>
        <v/>
      </c>
      <c r="E158" s="35">
        <f>IFERROR(INDEX('Khách hàng'!$B$4:$B$103,MATCH($D158,'Khách hàng'!$A$4:$A$103,0)),"")</f>
        <v/>
      </c>
      <c r="F158" s="48" t="n"/>
      <c r="G158" s="52" t="n"/>
      <c r="H158" s="50" t="n"/>
      <c r="I158" s="41">
        <f>IFERROR(INDEX('Báo giá'!$H$4:$H$203,MATCH($C158,'Báo giá'!$A$4:$A$203,0)),"")</f>
        <v/>
      </c>
      <c r="J158" s="52" t="n"/>
      <c r="K158" s="52" t="n"/>
      <c r="L158" s="35">
        <f>IF($A158="","",IF($K158="",IF($J158="","Chưa có kế hoạch",IF(TODAY()&gt;$J158,"Trễ hạn","Đang thực hiện")),IF($K158&lt;=$J158,"Đúng hạn","Giao trễ")))</f>
        <v/>
      </c>
      <c r="M158" s="41">
        <f>IF($A158="","",IF($K158="",IF($J158="",0,MAX(0,TODAY()-$J158)),MAX(0,$K158-$J158)))</f>
        <v/>
      </c>
      <c r="N158" s="48" t="n"/>
      <c r="O158" s="53" t="n"/>
      <c r="P158" s="57">
        <f>IF($A158="","",IF(IF($Y158="",$K158,$Y158)="","",IF($Y158="",$K158,$Y158)+IF($Z158="",0,$Z158)))</f>
        <v/>
      </c>
      <c r="Q158" s="54">
        <f>IFERROR(MONTH($G158),"")</f>
        <v/>
      </c>
      <c r="R158" s="54">
        <f>IFERROR(YEAR($G158),"")</f>
        <v/>
      </c>
      <c r="S158" s="48" t="n"/>
      <c r="T158" s="58">
        <f>IFERROR(INDEX('Báo giá'!$E$4:$E$203,MATCH($C158,'Báo giá'!$A$4:$A$203,0)),"")</f>
        <v/>
      </c>
      <c r="U158" s="59" t="n"/>
      <c r="V158" s="60" t="n"/>
      <c r="W158" s="61">
        <f>IFERROR(INDEX('Báo giá'!$G$4:$G$203,MATCH($C158,'Báo giá'!$A$4:$A$203,0)),"")</f>
        <v/>
      </c>
      <c r="X158" s="55" t="n"/>
      <c r="Y158" s="55" t="n"/>
      <c r="Z158" s="62" t="n"/>
    </row>
    <row r="159" ht="15" customHeight="1" s="30">
      <c r="A159" s="48" t="n"/>
      <c r="B159" s="52" t="n"/>
      <c r="C159" s="48" t="n"/>
      <c r="D159" s="35">
        <f>IFERROR(INDEX('Báo giá'!$C$4:$C$203,MATCH($C159,'Báo giá'!$A$4:$A$203,0)),"")</f>
        <v/>
      </c>
      <c r="E159" s="35">
        <f>IFERROR(INDEX('Khách hàng'!$B$4:$B$103,MATCH($D159,'Khách hàng'!$A$4:$A$103,0)),"")</f>
        <v/>
      </c>
      <c r="F159" s="48" t="n"/>
      <c r="G159" s="52" t="n"/>
      <c r="H159" s="50" t="n"/>
      <c r="I159" s="41">
        <f>IFERROR(INDEX('Báo giá'!$H$4:$H$203,MATCH($C159,'Báo giá'!$A$4:$A$203,0)),"")</f>
        <v/>
      </c>
      <c r="J159" s="52" t="n"/>
      <c r="K159" s="52" t="n"/>
      <c r="L159" s="35">
        <f>IF($A159="","",IF($K159="",IF($J159="","Chưa có kế hoạch",IF(TODAY()&gt;$J159,"Trễ hạn","Đang thực hiện")),IF($K159&lt;=$J159,"Đúng hạn","Giao trễ")))</f>
        <v/>
      </c>
      <c r="M159" s="41">
        <f>IF($A159="","",IF($K159="",IF($J159="",0,MAX(0,TODAY()-$J159)),MAX(0,$K159-$J159)))</f>
        <v/>
      </c>
      <c r="N159" s="48" t="n"/>
      <c r="O159" s="53" t="n"/>
      <c r="P159" s="57">
        <f>IF($A159="","",IF(IF($Y159="",$K159,$Y159)="","",IF($Y159="",$K159,$Y159)+IF($Z159="",0,$Z159)))</f>
        <v/>
      </c>
      <c r="Q159" s="54">
        <f>IFERROR(MONTH($G159),"")</f>
        <v/>
      </c>
      <c r="R159" s="54">
        <f>IFERROR(YEAR($G159),"")</f>
        <v/>
      </c>
      <c r="S159" s="48" t="n"/>
      <c r="T159" s="58">
        <f>IFERROR(INDEX('Báo giá'!$E$4:$E$203,MATCH($C159,'Báo giá'!$A$4:$A$203,0)),"")</f>
        <v/>
      </c>
      <c r="U159" s="59" t="n"/>
      <c r="V159" s="60" t="n"/>
      <c r="W159" s="61">
        <f>IFERROR(INDEX('Báo giá'!$G$4:$G$203,MATCH($C159,'Báo giá'!$A$4:$A$203,0)),"")</f>
        <v/>
      </c>
      <c r="X159" s="55" t="n"/>
      <c r="Y159" s="55" t="n"/>
      <c r="Z159" s="62" t="n"/>
    </row>
    <row r="160" ht="15" customHeight="1" s="30">
      <c r="A160" s="48" t="n"/>
      <c r="B160" s="52" t="n"/>
      <c r="C160" s="48" t="n"/>
      <c r="D160" s="35">
        <f>IFERROR(INDEX('Báo giá'!$C$4:$C$203,MATCH($C160,'Báo giá'!$A$4:$A$203,0)),"")</f>
        <v/>
      </c>
      <c r="E160" s="35">
        <f>IFERROR(INDEX('Khách hàng'!$B$4:$B$103,MATCH($D160,'Khách hàng'!$A$4:$A$103,0)),"")</f>
        <v/>
      </c>
      <c r="F160" s="48" t="n"/>
      <c r="G160" s="52" t="n"/>
      <c r="H160" s="50" t="n"/>
      <c r="I160" s="41">
        <f>IFERROR(INDEX('Báo giá'!$H$4:$H$203,MATCH($C160,'Báo giá'!$A$4:$A$203,0)),"")</f>
        <v/>
      </c>
      <c r="J160" s="52" t="n"/>
      <c r="K160" s="52" t="n"/>
      <c r="L160" s="35">
        <f>IF($A160="","",IF($K160="",IF($J160="","Chưa có kế hoạch",IF(TODAY()&gt;$J160,"Trễ hạn","Đang thực hiện")),IF($K160&lt;=$J160,"Đúng hạn","Giao trễ")))</f>
        <v/>
      </c>
      <c r="M160" s="41">
        <f>IF($A160="","",IF($K160="",IF($J160="",0,MAX(0,TODAY()-$J160)),MAX(0,$K160-$J160)))</f>
        <v/>
      </c>
      <c r="N160" s="48" t="n"/>
      <c r="O160" s="53" t="n"/>
      <c r="P160" s="57">
        <f>IF($A160="","",IF(IF($Y160="",$K160,$Y160)="","",IF($Y160="",$K160,$Y160)+IF($Z160="",0,$Z160)))</f>
        <v/>
      </c>
      <c r="Q160" s="54">
        <f>IFERROR(MONTH($G160),"")</f>
        <v/>
      </c>
      <c r="R160" s="54">
        <f>IFERROR(YEAR($G160),"")</f>
        <v/>
      </c>
      <c r="S160" s="48" t="n"/>
      <c r="T160" s="58">
        <f>IFERROR(INDEX('Báo giá'!$E$4:$E$203,MATCH($C160,'Báo giá'!$A$4:$A$203,0)),"")</f>
        <v/>
      </c>
      <c r="U160" s="59" t="n"/>
      <c r="V160" s="60" t="n"/>
      <c r="W160" s="61">
        <f>IFERROR(INDEX('Báo giá'!$G$4:$G$203,MATCH($C160,'Báo giá'!$A$4:$A$203,0)),"")</f>
        <v/>
      </c>
      <c r="X160" s="55" t="n"/>
      <c r="Y160" s="55" t="n"/>
      <c r="Z160" s="62" t="n"/>
    </row>
    <row r="161" ht="15" customHeight="1" s="30">
      <c r="A161" s="48" t="n"/>
      <c r="B161" s="52" t="n"/>
      <c r="C161" s="48" t="n"/>
      <c r="D161" s="35">
        <f>IFERROR(INDEX('Báo giá'!$C$4:$C$203,MATCH($C161,'Báo giá'!$A$4:$A$203,0)),"")</f>
        <v/>
      </c>
      <c r="E161" s="35">
        <f>IFERROR(INDEX('Khách hàng'!$B$4:$B$103,MATCH($D161,'Khách hàng'!$A$4:$A$103,0)),"")</f>
        <v/>
      </c>
      <c r="F161" s="48" t="n"/>
      <c r="G161" s="52" t="n"/>
      <c r="H161" s="50" t="n"/>
      <c r="I161" s="41">
        <f>IFERROR(INDEX('Báo giá'!$H$4:$H$203,MATCH($C161,'Báo giá'!$A$4:$A$203,0)),"")</f>
        <v/>
      </c>
      <c r="J161" s="52" t="n"/>
      <c r="K161" s="52" t="n"/>
      <c r="L161" s="35">
        <f>IF($A161="","",IF($K161="",IF($J161="","Chưa có kế hoạch",IF(TODAY()&gt;$J161,"Trễ hạn","Đang thực hiện")),IF($K161&lt;=$J161,"Đúng hạn","Giao trễ")))</f>
        <v/>
      </c>
      <c r="M161" s="41">
        <f>IF($A161="","",IF($K161="",IF($J161="",0,MAX(0,TODAY()-$J161)),MAX(0,$K161-$J161)))</f>
        <v/>
      </c>
      <c r="N161" s="48" t="n"/>
      <c r="O161" s="53" t="n"/>
      <c r="P161" s="57">
        <f>IF($A161="","",IF(IF($Y161="",$K161,$Y161)="","",IF($Y161="",$K161,$Y161)+IF($Z161="",0,$Z161)))</f>
        <v/>
      </c>
      <c r="Q161" s="54">
        <f>IFERROR(MONTH($G161),"")</f>
        <v/>
      </c>
      <c r="R161" s="54">
        <f>IFERROR(YEAR($G161),"")</f>
        <v/>
      </c>
      <c r="S161" s="48" t="n"/>
      <c r="T161" s="58">
        <f>IFERROR(INDEX('Báo giá'!$E$4:$E$203,MATCH($C161,'Báo giá'!$A$4:$A$203,0)),"")</f>
        <v/>
      </c>
      <c r="U161" s="59" t="n"/>
      <c r="V161" s="60" t="n"/>
      <c r="W161" s="61">
        <f>IFERROR(INDEX('Báo giá'!$G$4:$G$203,MATCH($C161,'Báo giá'!$A$4:$A$203,0)),"")</f>
        <v/>
      </c>
      <c r="X161" s="55" t="n"/>
      <c r="Y161" s="55" t="n"/>
      <c r="Z161" s="62" t="n"/>
    </row>
    <row r="162" ht="15" customHeight="1" s="30">
      <c r="A162" s="48" t="n"/>
      <c r="B162" s="52" t="n"/>
      <c r="C162" s="48" t="n"/>
      <c r="D162" s="35">
        <f>IFERROR(INDEX('Báo giá'!$C$4:$C$203,MATCH($C162,'Báo giá'!$A$4:$A$203,0)),"")</f>
        <v/>
      </c>
      <c r="E162" s="35">
        <f>IFERROR(INDEX('Khách hàng'!$B$4:$B$103,MATCH($D162,'Khách hàng'!$A$4:$A$103,0)),"")</f>
        <v/>
      </c>
      <c r="F162" s="48" t="n"/>
      <c r="G162" s="52" t="n"/>
      <c r="H162" s="50" t="n"/>
      <c r="I162" s="41">
        <f>IFERROR(INDEX('Báo giá'!$H$4:$H$203,MATCH($C162,'Báo giá'!$A$4:$A$203,0)),"")</f>
        <v/>
      </c>
      <c r="J162" s="52" t="n"/>
      <c r="K162" s="52" t="n"/>
      <c r="L162" s="35">
        <f>IF($A162="","",IF($K162="",IF($J162="","Chưa có kế hoạch",IF(TODAY()&gt;$J162,"Trễ hạn","Đang thực hiện")),IF($K162&lt;=$J162,"Đúng hạn","Giao trễ")))</f>
        <v/>
      </c>
      <c r="M162" s="41">
        <f>IF($A162="","",IF($K162="",IF($J162="",0,MAX(0,TODAY()-$J162)),MAX(0,$K162-$J162)))</f>
        <v/>
      </c>
      <c r="N162" s="48" t="n"/>
      <c r="O162" s="53" t="n"/>
      <c r="P162" s="57">
        <f>IF($A162="","",IF(IF($Y162="",$K162,$Y162)="","",IF($Y162="",$K162,$Y162)+IF($Z162="",0,$Z162)))</f>
        <v/>
      </c>
      <c r="Q162" s="54">
        <f>IFERROR(MONTH($G162),"")</f>
        <v/>
      </c>
      <c r="R162" s="54">
        <f>IFERROR(YEAR($G162),"")</f>
        <v/>
      </c>
      <c r="S162" s="48" t="n"/>
      <c r="T162" s="58">
        <f>IFERROR(INDEX('Báo giá'!$E$4:$E$203,MATCH($C162,'Báo giá'!$A$4:$A$203,0)),"")</f>
        <v/>
      </c>
      <c r="U162" s="59" t="n"/>
      <c r="V162" s="60" t="n"/>
      <c r="W162" s="61">
        <f>IFERROR(INDEX('Báo giá'!$G$4:$G$203,MATCH($C162,'Báo giá'!$A$4:$A$203,0)),"")</f>
        <v/>
      </c>
      <c r="X162" s="55" t="n"/>
      <c r="Y162" s="55" t="n"/>
      <c r="Z162" s="62" t="n"/>
    </row>
    <row r="163" ht="15" customHeight="1" s="30">
      <c r="A163" s="48" t="n"/>
      <c r="B163" s="52" t="n"/>
      <c r="C163" s="48" t="n"/>
      <c r="D163" s="35">
        <f>IFERROR(INDEX('Báo giá'!$C$4:$C$203,MATCH($C163,'Báo giá'!$A$4:$A$203,0)),"")</f>
        <v/>
      </c>
      <c r="E163" s="35">
        <f>IFERROR(INDEX('Khách hàng'!$B$4:$B$103,MATCH($D163,'Khách hàng'!$A$4:$A$103,0)),"")</f>
        <v/>
      </c>
      <c r="F163" s="48" t="n"/>
      <c r="G163" s="52" t="n"/>
      <c r="H163" s="50" t="n"/>
      <c r="I163" s="41">
        <f>IFERROR(INDEX('Báo giá'!$H$4:$H$203,MATCH($C163,'Báo giá'!$A$4:$A$203,0)),"")</f>
        <v/>
      </c>
      <c r="J163" s="52" t="n"/>
      <c r="K163" s="52" t="n"/>
      <c r="L163" s="35">
        <f>IF($A163="","",IF($K163="",IF($J163="","Chưa có kế hoạch",IF(TODAY()&gt;$J163,"Trễ hạn","Đang thực hiện")),IF($K163&lt;=$J163,"Đúng hạn","Giao trễ")))</f>
        <v/>
      </c>
      <c r="M163" s="41">
        <f>IF($A163="","",IF($K163="",IF($J163="",0,MAX(0,TODAY()-$J163)),MAX(0,$K163-$J163)))</f>
        <v/>
      </c>
      <c r="N163" s="48" t="n"/>
      <c r="O163" s="53" t="n"/>
      <c r="P163" s="57">
        <f>IF($A163="","",IF(IF($Y163="",$K163,$Y163)="","",IF($Y163="",$K163,$Y163)+IF($Z163="",0,$Z163)))</f>
        <v/>
      </c>
      <c r="Q163" s="54">
        <f>IFERROR(MONTH($G163),"")</f>
        <v/>
      </c>
      <c r="R163" s="54">
        <f>IFERROR(YEAR($G163),"")</f>
        <v/>
      </c>
      <c r="S163" s="48" t="n"/>
      <c r="T163" s="58">
        <f>IFERROR(INDEX('Báo giá'!$E$4:$E$203,MATCH($C163,'Báo giá'!$A$4:$A$203,0)),"")</f>
        <v/>
      </c>
      <c r="U163" s="59" t="n"/>
      <c r="V163" s="60" t="n"/>
      <c r="W163" s="61">
        <f>IFERROR(INDEX('Báo giá'!$G$4:$G$203,MATCH($C163,'Báo giá'!$A$4:$A$203,0)),"")</f>
        <v/>
      </c>
      <c r="X163" s="55" t="n"/>
      <c r="Y163" s="55" t="n"/>
      <c r="Z163" s="62" t="n"/>
    </row>
    <row r="164" ht="15" customHeight="1" s="30">
      <c r="A164" s="48" t="n"/>
      <c r="B164" s="52" t="n"/>
      <c r="C164" s="48" t="n"/>
      <c r="D164" s="35">
        <f>IFERROR(INDEX('Báo giá'!$C$4:$C$203,MATCH($C164,'Báo giá'!$A$4:$A$203,0)),"")</f>
        <v/>
      </c>
      <c r="E164" s="35">
        <f>IFERROR(INDEX('Khách hàng'!$B$4:$B$103,MATCH($D164,'Khách hàng'!$A$4:$A$103,0)),"")</f>
        <v/>
      </c>
      <c r="F164" s="48" t="n"/>
      <c r="G164" s="52" t="n"/>
      <c r="H164" s="50" t="n"/>
      <c r="I164" s="41">
        <f>IFERROR(INDEX('Báo giá'!$H$4:$H$203,MATCH($C164,'Báo giá'!$A$4:$A$203,0)),"")</f>
        <v/>
      </c>
      <c r="J164" s="52" t="n"/>
      <c r="K164" s="52" t="n"/>
      <c r="L164" s="35">
        <f>IF($A164="","",IF($K164="",IF($J164="","Chưa có kế hoạch",IF(TODAY()&gt;$J164,"Trễ hạn","Đang thực hiện")),IF($K164&lt;=$J164,"Đúng hạn","Giao trễ")))</f>
        <v/>
      </c>
      <c r="M164" s="41">
        <f>IF($A164="","",IF($K164="",IF($J164="",0,MAX(0,TODAY()-$J164)),MAX(0,$K164-$J164)))</f>
        <v/>
      </c>
      <c r="N164" s="48" t="n"/>
      <c r="O164" s="53" t="n"/>
      <c r="P164" s="57">
        <f>IF($A164="","",IF(IF($Y164="",$K164,$Y164)="","",IF($Y164="",$K164,$Y164)+IF($Z164="",0,$Z164)))</f>
        <v/>
      </c>
      <c r="Q164" s="54">
        <f>IFERROR(MONTH($G164),"")</f>
        <v/>
      </c>
      <c r="R164" s="54">
        <f>IFERROR(YEAR($G164),"")</f>
        <v/>
      </c>
      <c r="S164" s="48" t="n"/>
      <c r="T164" s="58">
        <f>IFERROR(INDEX('Báo giá'!$E$4:$E$203,MATCH($C164,'Báo giá'!$A$4:$A$203,0)),"")</f>
        <v/>
      </c>
      <c r="U164" s="59" t="n"/>
      <c r="V164" s="60" t="n"/>
      <c r="W164" s="61">
        <f>IFERROR(INDEX('Báo giá'!$G$4:$G$203,MATCH($C164,'Báo giá'!$A$4:$A$203,0)),"")</f>
        <v/>
      </c>
      <c r="X164" s="55" t="n"/>
      <c r="Y164" s="55" t="n"/>
      <c r="Z164" s="62" t="n"/>
    </row>
    <row r="165" ht="15" customHeight="1" s="30">
      <c r="A165" s="48" t="n"/>
      <c r="B165" s="52" t="n"/>
      <c r="C165" s="48" t="n"/>
      <c r="D165" s="35">
        <f>IFERROR(INDEX('Báo giá'!$C$4:$C$203,MATCH($C165,'Báo giá'!$A$4:$A$203,0)),"")</f>
        <v/>
      </c>
      <c r="E165" s="35">
        <f>IFERROR(INDEX('Khách hàng'!$B$4:$B$103,MATCH($D165,'Khách hàng'!$A$4:$A$103,0)),"")</f>
        <v/>
      </c>
      <c r="F165" s="48" t="n"/>
      <c r="G165" s="52" t="n"/>
      <c r="H165" s="50" t="n"/>
      <c r="I165" s="41">
        <f>IFERROR(INDEX('Báo giá'!$H$4:$H$203,MATCH($C165,'Báo giá'!$A$4:$A$203,0)),"")</f>
        <v/>
      </c>
      <c r="J165" s="52" t="n"/>
      <c r="K165" s="52" t="n"/>
      <c r="L165" s="35">
        <f>IF($A165="","",IF($K165="",IF($J165="","Chưa có kế hoạch",IF(TODAY()&gt;$J165,"Trễ hạn","Đang thực hiện")),IF($K165&lt;=$J165,"Đúng hạn","Giao trễ")))</f>
        <v/>
      </c>
      <c r="M165" s="41">
        <f>IF($A165="","",IF($K165="",IF($J165="",0,MAX(0,TODAY()-$J165)),MAX(0,$K165-$J165)))</f>
        <v/>
      </c>
      <c r="N165" s="48" t="n"/>
      <c r="O165" s="53" t="n"/>
      <c r="P165" s="57">
        <f>IF($A165="","",IF(IF($Y165="",$K165,$Y165)="","",IF($Y165="",$K165,$Y165)+IF($Z165="",0,$Z165)))</f>
        <v/>
      </c>
      <c r="Q165" s="54">
        <f>IFERROR(MONTH($G165),"")</f>
        <v/>
      </c>
      <c r="R165" s="54">
        <f>IFERROR(YEAR($G165),"")</f>
        <v/>
      </c>
      <c r="S165" s="48" t="n"/>
      <c r="T165" s="58">
        <f>IFERROR(INDEX('Báo giá'!$E$4:$E$203,MATCH($C165,'Báo giá'!$A$4:$A$203,0)),"")</f>
        <v/>
      </c>
      <c r="U165" s="59" t="n"/>
      <c r="V165" s="60" t="n"/>
      <c r="W165" s="61">
        <f>IFERROR(INDEX('Báo giá'!$G$4:$G$203,MATCH($C165,'Báo giá'!$A$4:$A$203,0)),"")</f>
        <v/>
      </c>
      <c r="X165" s="55" t="n"/>
      <c r="Y165" s="55" t="n"/>
      <c r="Z165" s="62" t="n"/>
    </row>
    <row r="166" ht="15" customHeight="1" s="30">
      <c r="A166" s="48" t="n"/>
      <c r="B166" s="52" t="n"/>
      <c r="C166" s="48" t="n"/>
      <c r="D166" s="35">
        <f>IFERROR(INDEX('Báo giá'!$C$4:$C$203,MATCH($C166,'Báo giá'!$A$4:$A$203,0)),"")</f>
        <v/>
      </c>
      <c r="E166" s="35">
        <f>IFERROR(INDEX('Khách hàng'!$B$4:$B$103,MATCH($D166,'Khách hàng'!$A$4:$A$103,0)),"")</f>
        <v/>
      </c>
      <c r="F166" s="48" t="n"/>
      <c r="G166" s="52" t="n"/>
      <c r="H166" s="50" t="n"/>
      <c r="I166" s="41">
        <f>IFERROR(INDEX('Báo giá'!$H$4:$H$203,MATCH($C166,'Báo giá'!$A$4:$A$203,0)),"")</f>
        <v/>
      </c>
      <c r="J166" s="52" t="n"/>
      <c r="K166" s="52" t="n"/>
      <c r="L166" s="35">
        <f>IF($A166="","",IF($K166="",IF($J166="","Chưa có kế hoạch",IF(TODAY()&gt;$J166,"Trễ hạn","Đang thực hiện")),IF($K166&lt;=$J166,"Đúng hạn","Giao trễ")))</f>
        <v/>
      </c>
      <c r="M166" s="41">
        <f>IF($A166="","",IF($K166="",IF($J166="",0,MAX(0,TODAY()-$J166)),MAX(0,$K166-$J166)))</f>
        <v/>
      </c>
      <c r="N166" s="48" t="n"/>
      <c r="O166" s="53" t="n"/>
      <c r="P166" s="57">
        <f>IF($A166="","",IF(IF($Y166="",$K166,$Y166)="","",IF($Y166="",$K166,$Y166)+IF($Z166="",0,$Z166)))</f>
        <v/>
      </c>
      <c r="Q166" s="54">
        <f>IFERROR(MONTH($G166),"")</f>
        <v/>
      </c>
      <c r="R166" s="54">
        <f>IFERROR(YEAR($G166),"")</f>
        <v/>
      </c>
      <c r="S166" s="48" t="n"/>
      <c r="T166" s="58">
        <f>IFERROR(INDEX('Báo giá'!$E$4:$E$203,MATCH($C166,'Báo giá'!$A$4:$A$203,0)),"")</f>
        <v/>
      </c>
      <c r="U166" s="59" t="n"/>
      <c r="V166" s="60" t="n"/>
      <c r="W166" s="61">
        <f>IFERROR(INDEX('Báo giá'!$G$4:$G$203,MATCH($C166,'Báo giá'!$A$4:$A$203,0)),"")</f>
        <v/>
      </c>
      <c r="X166" s="55" t="n"/>
      <c r="Y166" s="55" t="n"/>
      <c r="Z166" s="62" t="n"/>
    </row>
    <row r="167" ht="15" customHeight="1" s="30">
      <c r="A167" s="48" t="n"/>
      <c r="B167" s="52" t="n"/>
      <c r="C167" s="48" t="n"/>
      <c r="D167" s="35">
        <f>IFERROR(INDEX('Báo giá'!$C$4:$C$203,MATCH($C167,'Báo giá'!$A$4:$A$203,0)),"")</f>
        <v/>
      </c>
      <c r="E167" s="35">
        <f>IFERROR(INDEX('Khách hàng'!$B$4:$B$103,MATCH($D167,'Khách hàng'!$A$4:$A$103,0)),"")</f>
        <v/>
      </c>
      <c r="F167" s="48" t="n"/>
      <c r="G167" s="52" t="n"/>
      <c r="H167" s="50" t="n"/>
      <c r="I167" s="41">
        <f>IFERROR(INDEX('Báo giá'!$H$4:$H$203,MATCH($C167,'Báo giá'!$A$4:$A$203,0)),"")</f>
        <v/>
      </c>
      <c r="J167" s="52" t="n"/>
      <c r="K167" s="52" t="n"/>
      <c r="L167" s="35">
        <f>IF($A167="","",IF($K167="",IF($J167="","Chưa có kế hoạch",IF(TODAY()&gt;$J167,"Trễ hạn","Đang thực hiện")),IF($K167&lt;=$J167,"Đúng hạn","Giao trễ")))</f>
        <v/>
      </c>
      <c r="M167" s="41">
        <f>IF($A167="","",IF($K167="",IF($J167="",0,MAX(0,TODAY()-$J167)),MAX(0,$K167-$J167)))</f>
        <v/>
      </c>
      <c r="N167" s="48" t="n"/>
      <c r="O167" s="53" t="n"/>
      <c r="P167" s="57">
        <f>IF($A167="","",IF(IF($Y167="",$K167,$Y167)="","",IF($Y167="",$K167,$Y167)+IF($Z167="",0,$Z167)))</f>
        <v/>
      </c>
      <c r="Q167" s="54">
        <f>IFERROR(MONTH($G167),"")</f>
        <v/>
      </c>
      <c r="R167" s="54">
        <f>IFERROR(YEAR($G167),"")</f>
        <v/>
      </c>
      <c r="S167" s="48" t="n"/>
      <c r="T167" s="58">
        <f>IFERROR(INDEX('Báo giá'!$E$4:$E$203,MATCH($C167,'Báo giá'!$A$4:$A$203,0)),"")</f>
        <v/>
      </c>
      <c r="U167" s="59" t="n"/>
      <c r="V167" s="60" t="n"/>
      <c r="W167" s="61">
        <f>IFERROR(INDEX('Báo giá'!$G$4:$G$203,MATCH($C167,'Báo giá'!$A$4:$A$203,0)),"")</f>
        <v/>
      </c>
      <c r="X167" s="55" t="n"/>
      <c r="Y167" s="55" t="n"/>
      <c r="Z167" s="62" t="n"/>
    </row>
    <row r="168" ht="15" customHeight="1" s="30">
      <c r="A168" s="48" t="n"/>
      <c r="B168" s="52" t="n"/>
      <c r="C168" s="48" t="n"/>
      <c r="D168" s="35">
        <f>IFERROR(INDEX('Báo giá'!$C$4:$C$203,MATCH($C168,'Báo giá'!$A$4:$A$203,0)),"")</f>
        <v/>
      </c>
      <c r="E168" s="35">
        <f>IFERROR(INDEX('Khách hàng'!$B$4:$B$103,MATCH($D168,'Khách hàng'!$A$4:$A$103,0)),"")</f>
        <v/>
      </c>
      <c r="F168" s="48" t="n"/>
      <c r="G168" s="52" t="n"/>
      <c r="H168" s="50" t="n"/>
      <c r="I168" s="41">
        <f>IFERROR(INDEX('Báo giá'!$H$4:$H$203,MATCH($C168,'Báo giá'!$A$4:$A$203,0)),"")</f>
        <v/>
      </c>
      <c r="J168" s="52" t="n"/>
      <c r="K168" s="52" t="n"/>
      <c r="L168" s="35">
        <f>IF($A168="","",IF($K168="",IF($J168="","Chưa có kế hoạch",IF(TODAY()&gt;$J168,"Trễ hạn","Đang thực hiện")),IF($K168&lt;=$J168,"Đúng hạn","Giao trễ")))</f>
        <v/>
      </c>
      <c r="M168" s="41">
        <f>IF($A168="","",IF($K168="",IF($J168="",0,MAX(0,TODAY()-$J168)),MAX(0,$K168-$J168)))</f>
        <v/>
      </c>
      <c r="N168" s="48" t="n"/>
      <c r="O168" s="53" t="n"/>
      <c r="P168" s="57">
        <f>IF($A168="","",IF(IF($Y168="",$K168,$Y168)="","",IF($Y168="",$K168,$Y168)+IF($Z168="",0,$Z168)))</f>
        <v/>
      </c>
      <c r="Q168" s="54">
        <f>IFERROR(MONTH($G168),"")</f>
        <v/>
      </c>
      <c r="R168" s="54">
        <f>IFERROR(YEAR($G168),"")</f>
        <v/>
      </c>
      <c r="S168" s="48" t="n"/>
      <c r="T168" s="58">
        <f>IFERROR(INDEX('Báo giá'!$E$4:$E$203,MATCH($C168,'Báo giá'!$A$4:$A$203,0)),"")</f>
        <v/>
      </c>
      <c r="U168" s="59" t="n"/>
      <c r="V168" s="60" t="n"/>
      <c r="W168" s="61">
        <f>IFERROR(INDEX('Báo giá'!$G$4:$G$203,MATCH($C168,'Báo giá'!$A$4:$A$203,0)),"")</f>
        <v/>
      </c>
      <c r="X168" s="55" t="n"/>
      <c r="Y168" s="55" t="n"/>
      <c r="Z168" s="62" t="n"/>
    </row>
    <row r="169" ht="15" customHeight="1" s="30">
      <c r="A169" s="48" t="n"/>
      <c r="B169" s="52" t="n"/>
      <c r="C169" s="48" t="n"/>
      <c r="D169" s="35">
        <f>IFERROR(INDEX('Báo giá'!$C$4:$C$203,MATCH($C169,'Báo giá'!$A$4:$A$203,0)),"")</f>
        <v/>
      </c>
      <c r="E169" s="35">
        <f>IFERROR(INDEX('Khách hàng'!$B$4:$B$103,MATCH($D169,'Khách hàng'!$A$4:$A$103,0)),"")</f>
        <v/>
      </c>
      <c r="F169" s="48" t="n"/>
      <c r="G169" s="52" t="n"/>
      <c r="H169" s="50" t="n"/>
      <c r="I169" s="41">
        <f>IFERROR(INDEX('Báo giá'!$H$4:$H$203,MATCH($C169,'Báo giá'!$A$4:$A$203,0)),"")</f>
        <v/>
      </c>
      <c r="J169" s="52" t="n"/>
      <c r="K169" s="52" t="n"/>
      <c r="L169" s="35">
        <f>IF($A169="","",IF($K169="",IF($J169="","Chưa có kế hoạch",IF(TODAY()&gt;$J169,"Trễ hạn","Đang thực hiện")),IF($K169&lt;=$J169,"Đúng hạn","Giao trễ")))</f>
        <v/>
      </c>
      <c r="M169" s="41">
        <f>IF($A169="","",IF($K169="",IF($J169="",0,MAX(0,TODAY()-$J169)),MAX(0,$K169-$J169)))</f>
        <v/>
      </c>
      <c r="N169" s="48" t="n"/>
      <c r="O169" s="53" t="n"/>
      <c r="P169" s="57">
        <f>IF($A169="","",IF(IF($Y169="",$K169,$Y169)="","",IF($Y169="",$K169,$Y169)+IF($Z169="",0,$Z169)))</f>
        <v/>
      </c>
      <c r="Q169" s="54">
        <f>IFERROR(MONTH($G169),"")</f>
        <v/>
      </c>
      <c r="R169" s="54">
        <f>IFERROR(YEAR($G169),"")</f>
        <v/>
      </c>
      <c r="S169" s="48" t="n"/>
      <c r="T169" s="58">
        <f>IFERROR(INDEX('Báo giá'!$E$4:$E$203,MATCH($C169,'Báo giá'!$A$4:$A$203,0)),"")</f>
        <v/>
      </c>
      <c r="U169" s="59" t="n"/>
      <c r="V169" s="60" t="n"/>
      <c r="W169" s="61">
        <f>IFERROR(INDEX('Báo giá'!$G$4:$G$203,MATCH($C169,'Báo giá'!$A$4:$A$203,0)),"")</f>
        <v/>
      </c>
      <c r="X169" s="55" t="n"/>
      <c r="Y169" s="55" t="n"/>
      <c r="Z169" s="62" t="n"/>
    </row>
    <row r="170" ht="15" customHeight="1" s="30">
      <c r="A170" s="48" t="n"/>
      <c r="B170" s="52" t="n"/>
      <c r="C170" s="48" t="n"/>
      <c r="D170" s="35">
        <f>IFERROR(INDEX('Báo giá'!$C$4:$C$203,MATCH($C170,'Báo giá'!$A$4:$A$203,0)),"")</f>
        <v/>
      </c>
      <c r="E170" s="35">
        <f>IFERROR(INDEX('Khách hàng'!$B$4:$B$103,MATCH($D170,'Khách hàng'!$A$4:$A$103,0)),"")</f>
        <v/>
      </c>
      <c r="F170" s="48" t="n"/>
      <c r="G170" s="52" t="n"/>
      <c r="H170" s="50" t="n"/>
      <c r="I170" s="41">
        <f>IFERROR(INDEX('Báo giá'!$H$4:$H$203,MATCH($C170,'Báo giá'!$A$4:$A$203,0)),"")</f>
        <v/>
      </c>
      <c r="J170" s="52" t="n"/>
      <c r="K170" s="52" t="n"/>
      <c r="L170" s="35">
        <f>IF($A170="","",IF($K170="",IF($J170="","Chưa có kế hoạch",IF(TODAY()&gt;$J170,"Trễ hạn","Đang thực hiện")),IF($K170&lt;=$J170,"Đúng hạn","Giao trễ")))</f>
        <v/>
      </c>
      <c r="M170" s="41">
        <f>IF($A170="","",IF($K170="",IF($J170="",0,MAX(0,TODAY()-$J170)),MAX(0,$K170-$J170)))</f>
        <v/>
      </c>
      <c r="N170" s="48" t="n"/>
      <c r="O170" s="53" t="n"/>
      <c r="P170" s="57">
        <f>IF($A170="","",IF(IF($Y170="",$K170,$Y170)="","",IF($Y170="",$K170,$Y170)+IF($Z170="",0,$Z170)))</f>
        <v/>
      </c>
      <c r="Q170" s="54">
        <f>IFERROR(MONTH($G170),"")</f>
        <v/>
      </c>
      <c r="R170" s="54">
        <f>IFERROR(YEAR($G170),"")</f>
        <v/>
      </c>
      <c r="S170" s="48" t="n"/>
      <c r="T170" s="58">
        <f>IFERROR(INDEX('Báo giá'!$E$4:$E$203,MATCH($C170,'Báo giá'!$A$4:$A$203,0)),"")</f>
        <v/>
      </c>
      <c r="U170" s="59" t="n"/>
      <c r="V170" s="60" t="n"/>
      <c r="W170" s="61">
        <f>IFERROR(INDEX('Báo giá'!$G$4:$G$203,MATCH($C170,'Báo giá'!$A$4:$A$203,0)),"")</f>
        <v/>
      </c>
      <c r="X170" s="55" t="n"/>
      <c r="Y170" s="55" t="n"/>
      <c r="Z170" s="62" t="n"/>
    </row>
    <row r="171" ht="15" customHeight="1" s="30">
      <c r="A171" s="48" t="n"/>
      <c r="B171" s="52" t="n"/>
      <c r="C171" s="48" t="n"/>
      <c r="D171" s="35">
        <f>IFERROR(INDEX('Báo giá'!$C$4:$C$203,MATCH($C171,'Báo giá'!$A$4:$A$203,0)),"")</f>
        <v/>
      </c>
      <c r="E171" s="35">
        <f>IFERROR(INDEX('Khách hàng'!$B$4:$B$103,MATCH($D171,'Khách hàng'!$A$4:$A$103,0)),"")</f>
        <v/>
      </c>
      <c r="F171" s="48" t="n"/>
      <c r="G171" s="52" t="n"/>
      <c r="H171" s="50" t="n"/>
      <c r="I171" s="41">
        <f>IFERROR(INDEX('Báo giá'!$H$4:$H$203,MATCH($C171,'Báo giá'!$A$4:$A$203,0)),"")</f>
        <v/>
      </c>
      <c r="J171" s="52" t="n"/>
      <c r="K171" s="52" t="n"/>
      <c r="L171" s="35">
        <f>IF($A171="","",IF($K171="",IF($J171="","Chưa có kế hoạch",IF(TODAY()&gt;$J171,"Trễ hạn","Đang thực hiện")),IF($K171&lt;=$J171,"Đúng hạn","Giao trễ")))</f>
        <v/>
      </c>
      <c r="M171" s="41">
        <f>IF($A171="","",IF($K171="",IF($J171="",0,MAX(0,TODAY()-$J171)),MAX(0,$K171-$J171)))</f>
        <v/>
      </c>
      <c r="N171" s="48" t="n"/>
      <c r="O171" s="53" t="n"/>
      <c r="P171" s="57">
        <f>IF($A171="","",IF(IF($Y171="",$K171,$Y171)="","",IF($Y171="",$K171,$Y171)+IF($Z171="",0,$Z171)))</f>
        <v/>
      </c>
      <c r="Q171" s="54">
        <f>IFERROR(MONTH($G171),"")</f>
        <v/>
      </c>
      <c r="R171" s="54">
        <f>IFERROR(YEAR($G171),"")</f>
        <v/>
      </c>
      <c r="S171" s="48" t="n"/>
      <c r="T171" s="58">
        <f>IFERROR(INDEX('Báo giá'!$E$4:$E$203,MATCH($C171,'Báo giá'!$A$4:$A$203,0)),"")</f>
        <v/>
      </c>
      <c r="U171" s="59" t="n"/>
      <c r="V171" s="60" t="n"/>
      <c r="W171" s="61">
        <f>IFERROR(INDEX('Báo giá'!$G$4:$G$203,MATCH($C171,'Báo giá'!$A$4:$A$203,0)),"")</f>
        <v/>
      </c>
      <c r="X171" s="55" t="n"/>
      <c r="Y171" s="55" t="n"/>
      <c r="Z171" s="62" t="n"/>
    </row>
    <row r="172" ht="15" customHeight="1" s="30">
      <c r="A172" s="48" t="n"/>
      <c r="B172" s="52" t="n"/>
      <c r="C172" s="48" t="n"/>
      <c r="D172" s="35">
        <f>IFERROR(INDEX('Báo giá'!$C$4:$C$203,MATCH($C172,'Báo giá'!$A$4:$A$203,0)),"")</f>
        <v/>
      </c>
      <c r="E172" s="35">
        <f>IFERROR(INDEX('Khách hàng'!$B$4:$B$103,MATCH($D172,'Khách hàng'!$A$4:$A$103,0)),"")</f>
        <v/>
      </c>
      <c r="F172" s="48" t="n"/>
      <c r="G172" s="52" t="n"/>
      <c r="H172" s="50" t="n"/>
      <c r="I172" s="41">
        <f>IFERROR(INDEX('Báo giá'!$H$4:$H$203,MATCH($C172,'Báo giá'!$A$4:$A$203,0)),"")</f>
        <v/>
      </c>
      <c r="J172" s="52" t="n"/>
      <c r="K172" s="52" t="n"/>
      <c r="L172" s="35">
        <f>IF($A172="","",IF($K172="",IF($J172="","Chưa có kế hoạch",IF(TODAY()&gt;$J172,"Trễ hạn","Đang thực hiện")),IF($K172&lt;=$J172,"Đúng hạn","Giao trễ")))</f>
        <v/>
      </c>
      <c r="M172" s="41">
        <f>IF($A172="","",IF($K172="",IF($J172="",0,MAX(0,TODAY()-$J172)),MAX(0,$K172-$J172)))</f>
        <v/>
      </c>
      <c r="N172" s="48" t="n"/>
      <c r="O172" s="53" t="n"/>
      <c r="P172" s="57">
        <f>IF($A172="","",IF(IF($Y172="",$K172,$Y172)="","",IF($Y172="",$K172,$Y172)+IF($Z172="",0,$Z172)))</f>
        <v/>
      </c>
      <c r="Q172" s="54">
        <f>IFERROR(MONTH($G172),"")</f>
        <v/>
      </c>
      <c r="R172" s="54">
        <f>IFERROR(YEAR($G172),"")</f>
        <v/>
      </c>
      <c r="S172" s="48" t="n"/>
      <c r="T172" s="58">
        <f>IFERROR(INDEX('Báo giá'!$E$4:$E$203,MATCH($C172,'Báo giá'!$A$4:$A$203,0)),"")</f>
        <v/>
      </c>
      <c r="U172" s="59" t="n"/>
      <c r="V172" s="60" t="n"/>
      <c r="W172" s="61">
        <f>IFERROR(INDEX('Báo giá'!$G$4:$G$203,MATCH($C172,'Báo giá'!$A$4:$A$203,0)),"")</f>
        <v/>
      </c>
      <c r="X172" s="55" t="n"/>
      <c r="Y172" s="55" t="n"/>
      <c r="Z172" s="62" t="n"/>
    </row>
    <row r="173" ht="15" customHeight="1" s="30">
      <c r="A173" s="48" t="n"/>
      <c r="B173" s="52" t="n"/>
      <c r="C173" s="48" t="n"/>
      <c r="D173" s="35">
        <f>IFERROR(INDEX('Báo giá'!$C$4:$C$203,MATCH($C173,'Báo giá'!$A$4:$A$203,0)),"")</f>
        <v/>
      </c>
      <c r="E173" s="35">
        <f>IFERROR(INDEX('Khách hàng'!$B$4:$B$103,MATCH($D173,'Khách hàng'!$A$4:$A$103,0)),"")</f>
        <v/>
      </c>
      <c r="F173" s="48" t="n"/>
      <c r="G173" s="52" t="n"/>
      <c r="H173" s="50" t="n"/>
      <c r="I173" s="41">
        <f>IFERROR(INDEX('Báo giá'!$H$4:$H$203,MATCH($C173,'Báo giá'!$A$4:$A$203,0)),"")</f>
        <v/>
      </c>
      <c r="J173" s="52" t="n"/>
      <c r="K173" s="52" t="n"/>
      <c r="L173" s="35">
        <f>IF($A173="","",IF($K173="",IF($J173="","Chưa có kế hoạch",IF(TODAY()&gt;$J173,"Trễ hạn","Đang thực hiện")),IF($K173&lt;=$J173,"Đúng hạn","Giao trễ")))</f>
        <v/>
      </c>
      <c r="M173" s="41">
        <f>IF($A173="","",IF($K173="",IF($J173="",0,MAX(0,TODAY()-$J173)),MAX(0,$K173-$J173)))</f>
        <v/>
      </c>
      <c r="N173" s="48" t="n"/>
      <c r="O173" s="53" t="n"/>
      <c r="P173" s="57">
        <f>IF($A173="","",IF(IF($Y173="",$K173,$Y173)="","",IF($Y173="",$K173,$Y173)+IF($Z173="",0,$Z173)))</f>
        <v/>
      </c>
      <c r="Q173" s="54">
        <f>IFERROR(MONTH($G173),"")</f>
        <v/>
      </c>
      <c r="R173" s="54">
        <f>IFERROR(YEAR($G173),"")</f>
        <v/>
      </c>
      <c r="S173" s="48" t="n"/>
      <c r="T173" s="58">
        <f>IFERROR(INDEX('Báo giá'!$E$4:$E$203,MATCH($C173,'Báo giá'!$A$4:$A$203,0)),"")</f>
        <v/>
      </c>
      <c r="U173" s="59" t="n"/>
      <c r="V173" s="60" t="n"/>
      <c r="W173" s="61">
        <f>IFERROR(INDEX('Báo giá'!$G$4:$G$203,MATCH($C173,'Báo giá'!$A$4:$A$203,0)),"")</f>
        <v/>
      </c>
      <c r="X173" s="55" t="n"/>
      <c r="Y173" s="55" t="n"/>
      <c r="Z173" s="62" t="n"/>
    </row>
    <row r="174" ht="15" customHeight="1" s="30">
      <c r="A174" s="48" t="n"/>
      <c r="B174" s="52" t="n"/>
      <c r="C174" s="48" t="n"/>
      <c r="D174" s="35">
        <f>IFERROR(INDEX('Báo giá'!$C$4:$C$203,MATCH($C174,'Báo giá'!$A$4:$A$203,0)),"")</f>
        <v/>
      </c>
      <c r="E174" s="35">
        <f>IFERROR(INDEX('Khách hàng'!$B$4:$B$103,MATCH($D174,'Khách hàng'!$A$4:$A$103,0)),"")</f>
        <v/>
      </c>
      <c r="F174" s="48" t="n"/>
      <c r="G174" s="52" t="n"/>
      <c r="H174" s="50" t="n"/>
      <c r="I174" s="41">
        <f>IFERROR(INDEX('Báo giá'!$H$4:$H$203,MATCH($C174,'Báo giá'!$A$4:$A$203,0)),"")</f>
        <v/>
      </c>
      <c r="J174" s="52" t="n"/>
      <c r="K174" s="52" t="n"/>
      <c r="L174" s="35">
        <f>IF($A174="","",IF($K174="",IF($J174="","Chưa có kế hoạch",IF(TODAY()&gt;$J174,"Trễ hạn","Đang thực hiện")),IF($K174&lt;=$J174,"Đúng hạn","Giao trễ")))</f>
        <v/>
      </c>
      <c r="M174" s="41">
        <f>IF($A174="","",IF($K174="",IF($J174="",0,MAX(0,TODAY()-$J174)),MAX(0,$K174-$J174)))</f>
        <v/>
      </c>
      <c r="N174" s="48" t="n"/>
      <c r="O174" s="53" t="n"/>
      <c r="P174" s="57">
        <f>IF($A174="","",IF(IF($Y174="",$K174,$Y174)="","",IF($Y174="",$K174,$Y174)+IF($Z174="",0,$Z174)))</f>
        <v/>
      </c>
      <c r="Q174" s="54">
        <f>IFERROR(MONTH($G174),"")</f>
        <v/>
      </c>
      <c r="R174" s="54">
        <f>IFERROR(YEAR($G174),"")</f>
        <v/>
      </c>
      <c r="S174" s="48" t="n"/>
      <c r="T174" s="58">
        <f>IFERROR(INDEX('Báo giá'!$E$4:$E$203,MATCH($C174,'Báo giá'!$A$4:$A$203,0)),"")</f>
        <v/>
      </c>
      <c r="U174" s="59" t="n"/>
      <c r="V174" s="60" t="n"/>
      <c r="W174" s="61">
        <f>IFERROR(INDEX('Báo giá'!$G$4:$G$203,MATCH($C174,'Báo giá'!$A$4:$A$203,0)),"")</f>
        <v/>
      </c>
      <c r="X174" s="55" t="n"/>
      <c r="Y174" s="55" t="n"/>
      <c r="Z174" s="62" t="n"/>
    </row>
    <row r="175" ht="15" customHeight="1" s="30">
      <c r="A175" s="48" t="n"/>
      <c r="B175" s="52" t="n"/>
      <c r="C175" s="48" t="n"/>
      <c r="D175" s="35">
        <f>IFERROR(INDEX('Báo giá'!$C$4:$C$203,MATCH($C175,'Báo giá'!$A$4:$A$203,0)),"")</f>
        <v/>
      </c>
      <c r="E175" s="35">
        <f>IFERROR(INDEX('Khách hàng'!$B$4:$B$103,MATCH($D175,'Khách hàng'!$A$4:$A$103,0)),"")</f>
        <v/>
      </c>
      <c r="F175" s="48" t="n"/>
      <c r="G175" s="52" t="n"/>
      <c r="H175" s="50" t="n"/>
      <c r="I175" s="41">
        <f>IFERROR(INDEX('Báo giá'!$H$4:$H$203,MATCH($C175,'Báo giá'!$A$4:$A$203,0)),"")</f>
        <v/>
      </c>
      <c r="J175" s="52" t="n"/>
      <c r="K175" s="52" t="n"/>
      <c r="L175" s="35">
        <f>IF($A175="","",IF($K175="",IF($J175="","Chưa có kế hoạch",IF(TODAY()&gt;$J175,"Trễ hạn","Đang thực hiện")),IF($K175&lt;=$J175,"Đúng hạn","Giao trễ")))</f>
        <v/>
      </c>
      <c r="M175" s="41">
        <f>IF($A175="","",IF($K175="",IF($J175="",0,MAX(0,TODAY()-$J175)),MAX(0,$K175-$J175)))</f>
        <v/>
      </c>
      <c r="N175" s="48" t="n"/>
      <c r="O175" s="53" t="n"/>
      <c r="P175" s="57">
        <f>IF($A175="","",IF(IF($Y175="",$K175,$Y175)="","",IF($Y175="",$K175,$Y175)+IF($Z175="",0,$Z175)))</f>
        <v/>
      </c>
      <c r="Q175" s="54">
        <f>IFERROR(MONTH($G175),"")</f>
        <v/>
      </c>
      <c r="R175" s="54">
        <f>IFERROR(YEAR($G175),"")</f>
        <v/>
      </c>
      <c r="S175" s="48" t="n"/>
      <c r="T175" s="58">
        <f>IFERROR(INDEX('Báo giá'!$E$4:$E$203,MATCH($C175,'Báo giá'!$A$4:$A$203,0)),"")</f>
        <v/>
      </c>
      <c r="U175" s="59" t="n"/>
      <c r="V175" s="60" t="n"/>
      <c r="W175" s="61">
        <f>IFERROR(INDEX('Báo giá'!$G$4:$G$203,MATCH($C175,'Báo giá'!$A$4:$A$203,0)),"")</f>
        <v/>
      </c>
      <c r="X175" s="55" t="n"/>
      <c r="Y175" s="55" t="n"/>
      <c r="Z175" s="62" t="n"/>
    </row>
    <row r="176" ht="15" customHeight="1" s="30">
      <c r="A176" s="48" t="n"/>
      <c r="B176" s="52" t="n"/>
      <c r="C176" s="48" t="n"/>
      <c r="D176" s="35">
        <f>IFERROR(INDEX('Báo giá'!$C$4:$C$203,MATCH($C176,'Báo giá'!$A$4:$A$203,0)),"")</f>
        <v/>
      </c>
      <c r="E176" s="35">
        <f>IFERROR(INDEX('Khách hàng'!$B$4:$B$103,MATCH($D176,'Khách hàng'!$A$4:$A$103,0)),"")</f>
        <v/>
      </c>
      <c r="F176" s="48" t="n"/>
      <c r="G176" s="52" t="n"/>
      <c r="H176" s="50" t="n"/>
      <c r="I176" s="41">
        <f>IFERROR(INDEX('Báo giá'!$H$4:$H$203,MATCH($C176,'Báo giá'!$A$4:$A$203,0)),"")</f>
        <v/>
      </c>
      <c r="J176" s="52" t="n"/>
      <c r="K176" s="52" t="n"/>
      <c r="L176" s="35">
        <f>IF($A176="","",IF($K176="",IF($J176="","Chưa có kế hoạch",IF(TODAY()&gt;$J176,"Trễ hạn","Đang thực hiện")),IF($K176&lt;=$J176,"Đúng hạn","Giao trễ")))</f>
        <v/>
      </c>
      <c r="M176" s="41">
        <f>IF($A176="","",IF($K176="",IF($J176="",0,MAX(0,TODAY()-$J176)),MAX(0,$K176-$J176)))</f>
        <v/>
      </c>
      <c r="N176" s="48" t="n"/>
      <c r="O176" s="53" t="n"/>
      <c r="P176" s="57">
        <f>IF($A176="","",IF(IF($Y176="",$K176,$Y176)="","",IF($Y176="",$K176,$Y176)+IF($Z176="",0,$Z176)))</f>
        <v/>
      </c>
      <c r="Q176" s="54">
        <f>IFERROR(MONTH($G176),"")</f>
        <v/>
      </c>
      <c r="R176" s="54">
        <f>IFERROR(YEAR($G176),"")</f>
        <v/>
      </c>
      <c r="S176" s="48" t="n"/>
      <c r="T176" s="58">
        <f>IFERROR(INDEX('Báo giá'!$E$4:$E$203,MATCH($C176,'Báo giá'!$A$4:$A$203,0)),"")</f>
        <v/>
      </c>
      <c r="U176" s="59" t="n"/>
      <c r="V176" s="60" t="n"/>
      <c r="W176" s="61">
        <f>IFERROR(INDEX('Báo giá'!$G$4:$G$203,MATCH($C176,'Báo giá'!$A$4:$A$203,0)),"")</f>
        <v/>
      </c>
      <c r="X176" s="55" t="n"/>
      <c r="Y176" s="55" t="n"/>
      <c r="Z176" s="62" t="n"/>
    </row>
    <row r="177" ht="15" customHeight="1" s="30">
      <c r="A177" s="48" t="n"/>
      <c r="B177" s="52" t="n"/>
      <c r="C177" s="48" t="n"/>
      <c r="D177" s="35">
        <f>IFERROR(INDEX('Báo giá'!$C$4:$C$203,MATCH($C177,'Báo giá'!$A$4:$A$203,0)),"")</f>
        <v/>
      </c>
      <c r="E177" s="35">
        <f>IFERROR(INDEX('Khách hàng'!$B$4:$B$103,MATCH($D177,'Khách hàng'!$A$4:$A$103,0)),"")</f>
        <v/>
      </c>
      <c r="F177" s="48" t="n"/>
      <c r="G177" s="52" t="n"/>
      <c r="H177" s="50" t="n"/>
      <c r="I177" s="41">
        <f>IFERROR(INDEX('Báo giá'!$H$4:$H$203,MATCH($C177,'Báo giá'!$A$4:$A$203,0)),"")</f>
        <v/>
      </c>
      <c r="J177" s="52" t="n"/>
      <c r="K177" s="52" t="n"/>
      <c r="L177" s="35">
        <f>IF($A177="","",IF($K177="",IF($J177="","Chưa có kế hoạch",IF(TODAY()&gt;$J177,"Trễ hạn","Đang thực hiện")),IF($K177&lt;=$J177,"Đúng hạn","Giao trễ")))</f>
        <v/>
      </c>
      <c r="M177" s="41">
        <f>IF($A177="","",IF($K177="",IF($J177="",0,MAX(0,TODAY()-$J177)),MAX(0,$K177-$J177)))</f>
        <v/>
      </c>
      <c r="N177" s="48" t="n"/>
      <c r="O177" s="53" t="n"/>
      <c r="P177" s="57">
        <f>IF($A177="","",IF(IF($Y177="",$K177,$Y177)="","",IF($Y177="",$K177,$Y177)+IF($Z177="",0,$Z177)))</f>
        <v/>
      </c>
      <c r="Q177" s="54">
        <f>IFERROR(MONTH($G177),"")</f>
        <v/>
      </c>
      <c r="R177" s="54">
        <f>IFERROR(YEAR($G177),"")</f>
        <v/>
      </c>
      <c r="S177" s="48" t="n"/>
      <c r="T177" s="58">
        <f>IFERROR(INDEX('Báo giá'!$E$4:$E$203,MATCH($C177,'Báo giá'!$A$4:$A$203,0)),"")</f>
        <v/>
      </c>
      <c r="U177" s="59" t="n"/>
      <c r="V177" s="60" t="n"/>
      <c r="W177" s="61">
        <f>IFERROR(INDEX('Báo giá'!$G$4:$G$203,MATCH($C177,'Báo giá'!$A$4:$A$203,0)),"")</f>
        <v/>
      </c>
      <c r="X177" s="55" t="n"/>
      <c r="Y177" s="55" t="n"/>
      <c r="Z177" s="62" t="n"/>
    </row>
    <row r="178" ht="15" customHeight="1" s="30">
      <c r="A178" s="48" t="n"/>
      <c r="B178" s="52" t="n"/>
      <c r="C178" s="48" t="n"/>
      <c r="D178" s="35">
        <f>IFERROR(INDEX('Báo giá'!$C$4:$C$203,MATCH($C178,'Báo giá'!$A$4:$A$203,0)),"")</f>
        <v/>
      </c>
      <c r="E178" s="35">
        <f>IFERROR(INDEX('Khách hàng'!$B$4:$B$103,MATCH($D178,'Khách hàng'!$A$4:$A$103,0)),"")</f>
        <v/>
      </c>
      <c r="F178" s="48" t="n"/>
      <c r="G178" s="52" t="n"/>
      <c r="H178" s="50" t="n"/>
      <c r="I178" s="41">
        <f>IFERROR(INDEX('Báo giá'!$H$4:$H$203,MATCH($C178,'Báo giá'!$A$4:$A$203,0)),"")</f>
        <v/>
      </c>
      <c r="J178" s="52" t="n"/>
      <c r="K178" s="52" t="n"/>
      <c r="L178" s="35">
        <f>IF($A178="","",IF($K178="",IF($J178="","Chưa có kế hoạch",IF(TODAY()&gt;$J178,"Trễ hạn","Đang thực hiện")),IF($K178&lt;=$J178,"Đúng hạn","Giao trễ")))</f>
        <v/>
      </c>
      <c r="M178" s="41">
        <f>IF($A178="","",IF($K178="",IF($J178="",0,MAX(0,TODAY()-$J178)),MAX(0,$K178-$J178)))</f>
        <v/>
      </c>
      <c r="N178" s="48" t="n"/>
      <c r="O178" s="53" t="n"/>
      <c r="P178" s="57">
        <f>IF($A178="","",IF(IF($Y178="",$K178,$Y178)="","",IF($Y178="",$K178,$Y178)+IF($Z178="",0,$Z178)))</f>
        <v/>
      </c>
      <c r="Q178" s="54">
        <f>IFERROR(MONTH($G178),"")</f>
        <v/>
      </c>
      <c r="R178" s="54">
        <f>IFERROR(YEAR($G178),"")</f>
        <v/>
      </c>
      <c r="S178" s="48" t="n"/>
      <c r="T178" s="58">
        <f>IFERROR(INDEX('Báo giá'!$E$4:$E$203,MATCH($C178,'Báo giá'!$A$4:$A$203,0)),"")</f>
        <v/>
      </c>
      <c r="U178" s="59" t="n"/>
      <c r="V178" s="60" t="n"/>
      <c r="W178" s="61">
        <f>IFERROR(INDEX('Báo giá'!$G$4:$G$203,MATCH($C178,'Báo giá'!$A$4:$A$203,0)),"")</f>
        <v/>
      </c>
      <c r="X178" s="55" t="n"/>
      <c r="Y178" s="55" t="n"/>
      <c r="Z178" s="62" t="n"/>
    </row>
    <row r="179" ht="15" customHeight="1" s="30">
      <c r="A179" s="48" t="n"/>
      <c r="B179" s="52" t="n"/>
      <c r="C179" s="48" t="n"/>
      <c r="D179" s="35">
        <f>IFERROR(INDEX('Báo giá'!$C$4:$C$203,MATCH($C179,'Báo giá'!$A$4:$A$203,0)),"")</f>
        <v/>
      </c>
      <c r="E179" s="35">
        <f>IFERROR(INDEX('Khách hàng'!$B$4:$B$103,MATCH($D179,'Khách hàng'!$A$4:$A$103,0)),"")</f>
        <v/>
      </c>
      <c r="F179" s="48" t="n"/>
      <c r="G179" s="52" t="n"/>
      <c r="H179" s="50" t="n"/>
      <c r="I179" s="41">
        <f>IFERROR(INDEX('Báo giá'!$H$4:$H$203,MATCH($C179,'Báo giá'!$A$4:$A$203,0)),"")</f>
        <v/>
      </c>
      <c r="J179" s="52" t="n"/>
      <c r="K179" s="52" t="n"/>
      <c r="L179" s="35">
        <f>IF($A179="","",IF($K179="",IF($J179="","Chưa có kế hoạch",IF(TODAY()&gt;$J179,"Trễ hạn","Đang thực hiện")),IF($K179&lt;=$J179,"Đúng hạn","Giao trễ")))</f>
        <v/>
      </c>
      <c r="M179" s="41">
        <f>IF($A179="","",IF($K179="",IF($J179="",0,MAX(0,TODAY()-$J179)),MAX(0,$K179-$J179)))</f>
        <v/>
      </c>
      <c r="N179" s="48" t="n"/>
      <c r="O179" s="53" t="n"/>
      <c r="P179" s="57">
        <f>IF($A179="","",IF(IF($Y179="",$K179,$Y179)="","",IF($Y179="",$K179,$Y179)+IF($Z179="",0,$Z179)))</f>
        <v/>
      </c>
      <c r="Q179" s="54">
        <f>IFERROR(MONTH($G179),"")</f>
        <v/>
      </c>
      <c r="R179" s="54">
        <f>IFERROR(YEAR($G179),"")</f>
        <v/>
      </c>
      <c r="S179" s="48" t="n"/>
      <c r="T179" s="58">
        <f>IFERROR(INDEX('Báo giá'!$E$4:$E$203,MATCH($C179,'Báo giá'!$A$4:$A$203,0)),"")</f>
        <v/>
      </c>
      <c r="U179" s="59" t="n"/>
      <c r="V179" s="60" t="n"/>
      <c r="W179" s="61">
        <f>IFERROR(INDEX('Báo giá'!$G$4:$G$203,MATCH($C179,'Báo giá'!$A$4:$A$203,0)),"")</f>
        <v/>
      </c>
      <c r="X179" s="55" t="n"/>
      <c r="Y179" s="55" t="n"/>
      <c r="Z179" s="62" t="n"/>
    </row>
    <row r="180" ht="15" customHeight="1" s="30">
      <c r="A180" s="48" t="n"/>
      <c r="B180" s="52" t="n"/>
      <c r="C180" s="48" t="n"/>
      <c r="D180" s="35">
        <f>IFERROR(INDEX('Báo giá'!$C$4:$C$203,MATCH($C180,'Báo giá'!$A$4:$A$203,0)),"")</f>
        <v/>
      </c>
      <c r="E180" s="35">
        <f>IFERROR(INDEX('Khách hàng'!$B$4:$B$103,MATCH($D180,'Khách hàng'!$A$4:$A$103,0)),"")</f>
        <v/>
      </c>
      <c r="F180" s="48" t="n"/>
      <c r="G180" s="52" t="n"/>
      <c r="H180" s="50" t="n"/>
      <c r="I180" s="41">
        <f>IFERROR(INDEX('Báo giá'!$H$4:$H$203,MATCH($C180,'Báo giá'!$A$4:$A$203,0)),"")</f>
        <v/>
      </c>
      <c r="J180" s="52" t="n"/>
      <c r="K180" s="52" t="n"/>
      <c r="L180" s="35">
        <f>IF($A180="","",IF($K180="",IF($J180="","Chưa có kế hoạch",IF(TODAY()&gt;$J180,"Trễ hạn","Đang thực hiện")),IF($K180&lt;=$J180,"Đúng hạn","Giao trễ")))</f>
        <v/>
      </c>
      <c r="M180" s="41">
        <f>IF($A180="","",IF($K180="",IF($J180="",0,MAX(0,TODAY()-$J180)),MAX(0,$K180-$J180)))</f>
        <v/>
      </c>
      <c r="N180" s="48" t="n"/>
      <c r="O180" s="53" t="n"/>
      <c r="P180" s="57">
        <f>IF($A180="","",IF(IF($Y180="",$K180,$Y180)="","",IF($Y180="",$K180,$Y180)+IF($Z180="",0,$Z180)))</f>
        <v/>
      </c>
      <c r="Q180" s="54">
        <f>IFERROR(MONTH($G180),"")</f>
        <v/>
      </c>
      <c r="R180" s="54">
        <f>IFERROR(YEAR($G180),"")</f>
        <v/>
      </c>
      <c r="S180" s="48" t="n"/>
      <c r="T180" s="58">
        <f>IFERROR(INDEX('Báo giá'!$E$4:$E$203,MATCH($C180,'Báo giá'!$A$4:$A$203,0)),"")</f>
        <v/>
      </c>
      <c r="U180" s="59" t="n"/>
      <c r="V180" s="60" t="n"/>
      <c r="W180" s="61">
        <f>IFERROR(INDEX('Báo giá'!$G$4:$G$203,MATCH($C180,'Báo giá'!$A$4:$A$203,0)),"")</f>
        <v/>
      </c>
      <c r="X180" s="55" t="n"/>
      <c r="Y180" s="55" t="n"/>
      <c r="Z180" s="62" t="n"/>
    </row>
    <row r="181" ht="15" customHeight="1" s="30">
      <c r="A181" s="48" t="n"/>
      <c r="B181" s="52" t="n"/>
      <c r="C181" s="48" t="n"/>
      <c r="D181" s="35">
        <f>IFERROR(INDEX('Báo giá'!$C$4:$C$203,MATCH($C181,'Báo giá'!$A$4:$A$203,0)),"")</f>
        <v/>
      </c>
      <c r="E181" s="35">
        <f>IFERROR(INDEX('Khách hàng'!$B$4:$B$103,MATCH($D181,'Khách hàng'!$A$4:$A$103,0)),"")</f>
        <v/>
      </c>
      <c r="F181" s="48" t="n"/>
      <c r="G181" s="52" t="n"/>
      <c r="H181" s="50" t="n"/>
      <c r="I181" s="41">
        <f>IFERROR(INDEX('Báo giá'!$H$4:$H$203,MATCH($C181,'Báo giá'!$A$4:$A$203,0)),"")</f>
        <v/>
      </c>
      <c r="J181" s="52" t="n"/>
      <c r="K181" s="52" t="n"/>
      <c r="L181" s="35">
        <f>IF($A181="","",IF($K181="",IF($J181="","Chưa có kế hoạch",IF(TODAY()&gt;$J181,"Trễ hạn","Đang thực hiện")),IF($K181&lt;=$J181,"Đúng hạn","Giao trễ")))</f>
        <v/>
      </c>
      <c r="M181" s="41">
        <f>IF($A181="","",IF($K181="",IF($J181="",0,MAX(0,TODAY()-$J181)),MAX(0,$K181-$J181)))</f>
        <v/>
      </c>
      <c r="N181" s="48" t="n"/>
      <c r="O181" s="53" t="n"/>
      <c r="P181" s="57">
        <f>IF($A181="","",IF(IF($Y181="",$K181,$Y181)="","",IF($Y181="",$K181,$Y181)+IF($Z181="",0,$Z181)))</f>
        <v/>
      </c>
      <c r="Q181" s="54">
        <f>IFERROR(MONTH($G181),"")</f>
        <v/>
      </c>
      <c r="R181" s="54">
        <f>IFERROR(YEAR($G181),"")</f>
        <v/>
      </c>
      <c r="S181" s="48" t="n"/>
      <c r="T181" s="58">
        <f>IFERROR(INDEX('Báo giá'!$E$4:$E$203,MATCH($C181,'Báo giá'!$A$4:$A$203,0)),"")</f>
        <v/>
      </c>
      <c r="U181" s="59" t="n"/>
      <c r="V181" s="60" t="n"/>
      <c r="W181" s="61">
        <f>IFERROR(INDEX('Báo giá'!$G$4:$G$203,MATCH($C181,'Báo giá'!$A$4:$A$203,0)),"")</f>
        <v/>
      </c>
      <c r="X181" s="55" t="n"/>
      <c r="Y181" s="55" t="n"/>
      <c r="Z181" s="62" t="n"/>
    </row>
    <row r="182" ht="15" customHeight="1" s="30">
      <c r="A182" s="48" t="n"/>
      <c r="B182" s="52" t="n"/>
      <c r="C182" s="48" t="n"/>
      <c r="D182" s="35">
        <f>IFERROR(INDEX('Báo giá'!$C$4:$C$203,MATCH($C182,'Báo giá'!$A$4:$A$203,0)),"")</f>
        <v/>
      </c>
      <c r="E182" s="35">
        <f>IFERROR(INDEX('Khách hàng'!$B$4:$B$103,MATCH($D182,'Khách hàng'!$A$4:$A$103,0)),"")</f>
        <v/>
      </c>
      <c r="F182" s="48" t="n"/>
      <c r="G182" s="52" t="n"/>
      <c r="H182" s="50" t="n"/>
      <c r="I182" s="41">
        <f>IFERROR(INDEX('Báo giá'!$H$4:$H$203,MATCH($C182,'Báo giá'!$A$4:$A$203,0)),"")</f>
        <v/>
      </c>
      <c r="J182" s="52" t="n"/>
      <c r="K182" s="52" t="n"/>
      <c r="L182" s="35">
        <f>IF($A182="","",IF($K182="",IF($J182="","Chưa có kế hoạch",IF(TODAY()&gt;$J182,"Trễ hạn","Đang thực hiện")),IF($K182&lt;=$J182,"Đúng hạn","Giao trễ")))</f>
        <v/>
      </c>
      <c r="M182" s="41">
        <f>IF($A182="","",IF($K182="",IF($J182="",0,MAX(0,TODAY()-$J182)),MAX(0,$K182-$J182)))</f>
        <v/>
      </c>
      <c r="N182" s="48" t="n"/>
      <c r="O182" s="53" t="n"/>
      <c r="P182" s="57">
        <f>IF($A182="","",IF(IF($Y182="",$K182,$Y182)="","",IF($Y182="",$K182,$Y182)+IF($Z182="",0,$Z182)))</f>
        <v/>
      </c>
      <c r="Q182" s="54">
        <f>IFERROR(MONTH($G182),"")</f>
        <v/>
      </c>
      <c r="R182" s="54">
        <f>IFERROR(YEAR($G182),"")</f>
        <v/>
      </c>
      <c r="S182" s="48" t="n"/>
      <c r="T182" s="58">
        <f>IFERROR(INDEX('Báo giá'!$E$4:$E$203,MATCH($C182,'Báo giá'!$A$4:$A$203,0)),"")</f>
        <v/>
      </c>
      <c r="U182" s="59" t="n"/>
      <c r="V182" s="60" t="n"/>
      <c r="W182" s="61">
        <f>IFERROR(INDEX('Báo giá'!$G$4:$G$203,MATCH($C182,'Báo giá'!$A$4:$A$203,0)),"")</f>
        <v/>
      </c>
      <c r="X182" s="55" t="n"/>
      <c r="Y182" s="55" t="n"/>
      <c r="Z182" s="62" t="n"/>
    </row>
    <row r="183" ht="15" customHeight="1" s="30">
      <c r="A183" s="48" t="n"/>
      <c r="B183" s="52" t="n"/>
      <c r="C183" s="48" t="n"/>
      <c r="D183" s="35">
        <f>IFERROR(INDEX('Báo giá'!$C$4:$C$203,MATCH($C183,'Báo giá'!$A$4:$A$203,0)),"")</f>
        <v/>
      </c>
      <c r="E183" s="35">
        <f>IFERROR(INDEX('Khách hàng'!$B$4:$B$103,MATCH($D183,'Khách hàng'!$A$4:$A$103,0)),"")</f>
        <v/>
      </c>
      <c r="F183" s="48" t="n"/>
      <c r="G183" s="52" t="n"/>
      <c r="H183" s="50" t="n"/>
      <c r="I183" s="41">
        <f>IFERROR(INDEX('Báo giá'!$H$4:$H$203,MATCH($C183,'Báo giá'!$A$4:$A$203,0)),"")</f>
        <v/>
      </c>
      <c r="J183" s="52" t="n"/>
      <c r="K183" s="52" t="n"/>
      <c r="L183" s="35">
        <f>IF($A183="","",IF($K183="",IF($J183="","Chưa có kế hoạch",IF(TODAY()&gt;$J183,"Trễ hạn","Đang thực hiện")),IF($K183&lt;=$J183,"Đúng hạn","Giao trễ")))</f>
        <v/>
      </c>
      <c r="M183" s="41">
        <f>IF($A183="","",IF($K183="",IF($J183="",0,MAX(0,TODAY()-$J183)),MAX(0,$K183-$J183)))</f>
        <v/>
      </c>
      <c r="N183" s="48" t="n"/>
      <c r="O183" s="53" t="n"/>
      <c r="P183" s="57">
        <f>IF($A183="","",IF(IF($Y183="",$K183,$Y183)="","",IF($Y183="",$K183,$Y183)+IF($Z183="",0,$Z183)))</f>
        <v/>
      </c>
      <c r="Q183" s="54">
        <f>IFERROR(MONTH($G183),"")</f>
        <v/>
      </c>
      <c r="R183" s="54">
        <f>IFERROR(YEAR($G183),"")</f>
        <v/>
      </c>
      <c r="S183" s="48" t="n"/>
      <c r="T183" s="58">
        <f>IFERROR(INDEX('Báo giá'!$E$4:$E$203,MATCH($C183,'Báo giá'!$A$4:$A$203,0)),"")</f>
        <v/>
      </c>
      <c r="U183" s="59" t="n"/>
      <c r="V183" s="60" t="n"/>
      <c r="W183" s="61">
        <f>IFERROR(INDEX('Báo giá'!$G$4:$G$203,MATCH($C183,'Báo giá'!$A$4:$A$203,0)),"")</f>
        <v/>
      </c>
      <c r="X183" s="55" t="n"/>
      <c r="Y183" s="55" t="n"/>
      <c r="Z183" s="62" t="n"/>
    </row>
    <row r="184" ht="15" customHeight="1" s="30">
      <c r="A184" s="48" t="n"/>
      <c r="B184" s="52" t="n"/>
      <c r="C184" s="48" t="n"/>
      <c r="D184" s="35">
        <f>IFERROR(INDEX('Báo giá'!$C$4:$C$203,MATCH($C184,'Báo giá'!$A$4:$A$203,0)),"")</f>
        <v/>
      </c>
      <c r="E184" s="35">
        <f>IFERROR(INDEX('Khách hàng'!$B$4:$B$103,MATCH($D184,'Khách hàng'!$A$4:$A$103,0)),"")</f>
        <v/>
      </c>
      <c r="F184" s="48" t="n"/>
      <c r="G184" s="52" t="n"/>
      <c r="H184" s="50" t="n"/>
      <c r="I184" s="41">
        <f>IFERROR(INDEX('Báo giá'!$H$4:$H$203,MATCH($C184,'Báo giá'!$A$4:$A$203,0)),"")</f>
        <v/>
      </c>
      <c r="J184" s="52" t="n"/>
      <c r="K184" s="52" t="n"/>
      <c r="L184" s="35">
        <f>IF($A184="","",IF($K184="",IF($J184="","Chưa có kế hoạch",IF(TODAY()&gt;$J184,"Trễ hạn","Đang thực hiện")),IF($K184&lt;=$J184,"Đúng hạn","Giao trễ")))</f>
        <v/>
      </c>
      <c r="M184" s="41">
        <f>IF($A184="","",IF($K184="",IF($J184="",0,MAX(0,TODAY()-$J184)),MAX(0,$K184-$J184)))</f>
        <v/>
      </c>
      <c r="N184" s="48" t="n"/>
      <c r="O184" s="53" t="n"/>
      <c r="P184" s="57">
        <f>IF($A184="","",IF(IF($Y184="",$K184,$Y184)="","",IF($Y184="",$K184,$Y184)+IF($Z184="",0,$Z184)))</f>
        <v/>
      </c>
      <c r="Q184" s="54">
        <f>IFERROR(MONTH($G184),"")</f>
        <v/>
      </c>
      <c r="R184" s="54">
        <f>IFERROR(YEAR($G184),"")</f>
        <v/>
      </c>
      <c r="S184" s="48" t="n"/>
      <c r="T184" s="58">
        <f>IFERROR(INDEX('Báo giá'!$E$4:$E$203,MATCH($C184,'Báo giá'!$A$4:$A$203,0)),"")</f>
        <v/>
      </c>
      <c r="U184" s="59" t="n"/>
      <c r="V184" s="60" t="n"/>
      <c r="W184" s="61">
        <f>IFERROR(INDEX('Báo giá'!$G$4:$G$203,MATCH($C184,'Báo giá'!$A$4:$A$203,0)),"")</f>
        <v/>
      </c>
      <c r="X184" s="55" t="n"/>
      <c r="Y184" s="55" t="n"/>
      <c r="Z184" s="62" t="n"/>
    </row>
    <row r="185" ht="15" customHeight="1" s="30">
      <c r="A185" s="48" t="n"/>
      <c r="B185" s="52" t="n"/>
      <c r="C185" s="48" t="n"/>
      <c r="D185" s="35">
        <f>IFERROR(INDEX('Báo giá'!$C$4:$C$203,MATCH($C185,'Báo giá'!$A$4:$A$203,0)),"")</f>
        <v/>
      </c>
      <c r="E185" s="35">
        <f>IFERROR(INDEX('Khách hàng'!$B$4:$B$103,MATCH($D185,'Khách hàng'!$A$4:$A$103,0)),"")</f>
        <v/>
      </c>
      <c r="F185" s="48" t="n"/>
      <c r="G185" s="52" t="n"/>
      <c r="H185" s="50" t="n"/>
      <c r="I185" s="41">
        <f>IFERROR(INDEX('Báo giá'!$H$4:$H$203,MATCH($C185,'Báo giá'!$A$4:$A$203,0)),"")</f>
        <v/>
      </c>
      <c r="J185" s="52" t="n"/>
      <c r="K185" s="52" t="n"/>
      <c r="L185" s="35">
        <f>IF($A185="","",IF($K185="",IF($J185="","Chưa có kế hoạch",IF(TODAY()&gt;$J185,"Trễ hạn","Đang thực hiện")),IF($K185&lt;=$J185,"Đúng hạn","Giao trễ")))</f>
        <v/>
      </c>
      <c r="M185" s="41">
        <f>IF($A185="","",IF($K185="",IF($J185="",0,MAX(0,TODAY()-$J185)),MAX(0,$K185-$J185)))</f>
        <v/>
      </c>
      <c r="N185" s="48" t="n"/>
      <c r="O185" s="53" t="n"/>
      <c r="P185" s="57">
        <f>IF($A185="","",IF(IF($Y185="",$K185,$Y185)="","",IF($Y185="",$K185,$Y185)+IF($Z185="",0,$Z185)))</f>
        <v/>
      </c>
      <c r="Q185" s="54">
        <f>IFERROR(MONTH($G185),"")</f>
        <v/>
      </c>
      <c r="R185" s="54">
        <f>IFERROR(YEAR($G185),"")</f>
        <v/>
      </c>
      <c r="S185" s="48" t="n"/>
      <c r="T185" s="58">
        <f>IFERROR(INDEX('Báo giá'!$E$4:$E$203,MATCH($C185,'Báo giá'!$A$4:$A$203,0)),"")</f>
        <v/>
      </c>
      <c r="U185" s="59" t="n"/>
      <c r="V185" s="60" t="n"/>
      <c r="W185" s="61">
        <f>IFERROR(INDEX('Báo giá'!$G$4:$G$203,MATCH($C185,'Báo giá'!$A$4:$A$203,0)),"")</f>
        <v/>
      </c>
      <c r="X185" s="55" t="n"/>
      <c r="Y185" s="55" t="n"/>
      <c r="Z185" s="62" t="n"/>
    </row>
    <row r="186" ht="15" customHeight="1" s="30">
      <c r="A186" s="48" t="n"/>
      <c r="B186" s="52" t="n"/>
      <c r="C186" s="48" t="n"/>
      <c r="D186" s="35">
        <f>IFERROR(INDEX('Báo giá'!$C$4:$C$203,MATCH($C186,'Báo giá'!$A$4:$A$203,0)),"")</f>
        <v/>
      </c>
      <c r="E186" s="35">
        <f>IFERROR(INDEX('Khách hàng'!$B$4:$B$103,MATCH($D186,'Khách hàng'!$A$4:$A$103,0)),"")</f>
        <v/>
      </c>
      <c r="F186" s="48" t="n"/>
      <c r="G186" s="52" t="n"/>
      <c r="H186" s="50" t="n"/>
      <c r="I186" s="41">
        <f>IFERROR(INDEX('Báo giá'!$H$4:$H$203,MATCH($C186,'Báo giá'!$A$4:$A$203,0)),"")</f>
        <v/>
      </c>
      <c r="J186" s="52" t="n"/>
      <c r="K186" s="52" t="n"/>
      <c r="L186" s="35">
        <f>IF($A186="","",IF($K186="",IF($J186="","Chưa có kế hoạch",IF(TODAY()&gt;$J186,"Trễ hạn","Đang thực hiện")),IF($K186&lt;=$J186,"Đúng hạn","Giao trễ")))</f>
        <v/>
      </c>
      <c r="M186" s="41">
        <f>IF($A186="","",IF($K186="",IF($J186="",0,MAX(0,TODAY()-$J186)),MAX(0,$K186-$J186)))</f>
        <v/>
      </c>
      <c r="N186" s="48" t="n"/>
      <c r="O186" s="53" t="n"/>
      <c r="P186" s="57">
        <f>IF($A186="","",IF(IF($Y186="",$K186,$Y186)="","",IF($Y186="",$K186,$Y186)+IF($Z186="",0,$Z186)))</f>
        <v/>
      </c>
      <c r="Q186" s="54">
        <f>IFERROR(MONTH($G186),"")</f>
        <v/>
      </c>
      <c r="R186" s="54">
        <f>IFERROR(YEAR($G186),"")</f>
        <v/>
      </c>
      <c r="S186" s="48" t="n"/>
      <c r="T186" s="58">
        <f>IFERROR(INDEX('Báo giá'!$E$4:$E$203,MATCH($C186,'Báo giá'!$A$4:$A$203,0)),"")</f>
        <v/>
      </c>
      <c r="U186" s="59" t="n"/>
      <c r="V186" s="60" t="n"/>
      <c r="W186" s="61">
        <f>IFERROR(INDEX('Báo giá'!$G$4:$G$203,MATCH($C186,'Báo giá'!$A$4:$A$203,0)),"")</f>
        <v/>
      </c>
      <c r="X186" s="55" t="n"/>
      <c r="Y186" s="55" t="n"/>
      <c r="Z186" s="62" t="n"/>
    </row>
    <row r="187" ht="15" customHeight="1" s="30">
      <c r="A187" s="48" t="n"/>
      <c r="B187" s="52" t="n"/>
      <c r="C187" s="48" t="n"/>
      <c r="D187" s="35">
        <f>IFERROR(INDEX('Báo giá'!$C$4:$C$203,MATCH($C187,'Báo giá'!$A$4:$A$203,0)),"")</f>
        <v/>
      </c>
      <c r="E187" s="35">
        <f>IFERROR(INDEX('Khách hàng'!$B$4:$B$103,MATCH($D187,'Khách hàng'!$A$4:$A$103,0)),"")</f>
        <v/>
      </c>
      <c r="F187" s="48" t="n"/>
      <c r="G187" s="52" t="n"/>
      <c r="H187" s="50" t="n"/>
      <c r="I187" s="41">
        <f>IFERROR(INDEX('Báo giá'!$H$4:$H$203,MATCH($C187,'Báo giá'!$A$4:$A$203,0)),"")</f>
        <v/>
      </c>
      <c r="J187" s="52" t="n"/>
      <c r="K187" s="52" t="n"/>
      <c r="L187" s="35">
        <f>IF($A187="","",IF($K187="",IF($J187="","Chưa có kế hoạch",IF(TODAY()&gt;$J187,"Trễ hạn","Đang thực hiện")),IF($K187&lt;=$J187,"Đúng hạn","Giao trễ")))</f>
        <v/>
      </c>
      <c r="M187" s="41">
        <f>IF($A187="","",IF($K187="",IF($J187="",0,MAX(0,TODAY()-$J187)),MAX(0,$K187-$J187)))</f>
        <v/>
      </c>
      <c r="N187" s="48" t="n"/>
      <c r="O187" s="53" t="n"/>
      <c r="P187" s="57">
        <f>IF($A187="","",IF(IF($Y187="",$K187,$Y187)="","",IF($Y187="",$K187,$Y187)+IF($Z187="",0,$Z187)))</f>
        <v/>
      </c>
      <c r="Q187" s="54">
        <f>IFERROR(MONTH($G187),"")</f>
        <v/>
      </c>
      <c r="R187" s="54">
        <f>IFERROR(YEAR($G187),"")</f>
        <v/>
      </c>
      <c r="S187" s="48" t="n"/>
      <c r="T187" s="58">
        <f>IFERROR(INDEX('Báo giá'!$E$4:$E$203,MATCH($C187,'Báo giá'!$A$4:$A$203,0)),"")</f>
        <v/>
      </c>
      <c r="U187" s="59" t="n"/>
      <c r="V187" s="60" t="n"/>
      <c r="W187" s="61">
        <f>IFERROR(INDEX('Báo giá'!$G$4:$G$203,MATCH($C187,'Báo giá'!$A$4:$A$203,0)),"")</f>
        <v/>
      </c>
      <c r="X187" s="55" t="n"/>
      <c r="Y187" s="55" t="n"/>
      <c r="Z187" s="62" t="n"/>
    </row>
    <row r="188" ht="15" customHeight="1" s="30">
      <c r="A188" s="48" t="n"/>
      <c r="B188" s="52" t="n"/>
      <c r="C188" s="48" t="n"/>
      <c r="D188" s="35">
        <f>IFERROR(INDEX('Báo giá'!$C$4:$C$203,MATCH($C188,'Báo giá'!$A$4:$A$203,0)),"")</f>
        <v/>
      </c>
      <c r="E188" s="35">
        <f>IFERROR(INDEX('Khách hàng'!$B$4:$B$103,MATCH($D188,'Khách hàng'!$A$4:$A$103,0)),"")</f>
        <v/>
      </c>
      <c r="F188" s="48" t="n"/>
      <c r="G188" s="52" t="n"/>
      <c r="H188" s="50" t="n"/>
      <c r="I188" s="41">
        <f>IFERROR(INDEX('Báo giá'!$H$4:$H$203,MATCH($C188,'Báo giá'!$A$4:$A$203,0)),"")</f>
        <v/>
      </c>
      <c r="J188" s="52" t="n"/>
      <c r="K188" s="52" t="n"/>
      <c r="L188" s="35">
        <f>IF($A188="","",IF($K188="",IF($J188="","Chưa có kế hoạch",IF(TODAY()&gt;$J188,"Trễ hạn","Đang thực hiện")),IF($K188&lt;=$J188,"Đúng hạn","Giao trễ")))</f>
        <v/>
      </c>
      <c r="M188" s="41">
        <f>IF($A188="","",IF($K188="",IF($J188="",0,MAX(0,TODAY()-$J188)),MAX(0,$K188-$J188)))</f>
        <v/>
      </c>
      <c r="N188" s="48" t="n"/>
      <c r="O188" s="53" t="n"/>
      <c r="P188" s="57">
        <f>IF($A188="","",IF(IF($Y188="",$K188,$Y188)="","",IF($Y188="",$K188,$Y188)+IF($Z188="",0,$Z188)))</f>
        <v/>
      </c>
      <c r="Q188" s="54">
        <f>IFERROR(MONTH($G188),"")</f>
        <v/>
      </c>
      <c r="R188" s="54">
        <f>IFERROR(YEAR($G188),"")</f>
        <v/>
      </c>
      <c r="S188" s="48" t="n"/>
      <c r="T188" s="58">
        <f>IFERROR(INDEX('Báo giá'!$E$4:$E$203,MATCH($C188,'Báo giá'!$A$4:$A$203,0)),"")</f>
        <v/>
      </c>
      <c r="U188" s="59" t="n"/>
      <c r="V188" s="60" t="n"/>
      <c r="W188" s="61">
        <f>IFERROR(INDEX('Báo giá'!$G$4:$G$203,MATCH($C188,'Báo giá'!$A$4:$A$203,0)),"")</f>
        <v/>
      </c>
      <c r="X188" s="55" t="n"/>
      <c r="Y188" s="55" t="n"/>
      <c r="Z188" s="62" t="n"/>
    </row>
    <row r="189" ht="15" customHeight="1" s="30">
      <c r="A189" s="48" t="n"/>
      <c r="B189" s="52" t="n"/>
      <c r="C189" s="48" t="n"/>
      <c r="D189" s="35">
        <f>IFERROR(INDEX('Báo giá'!$C$4:$C$203,MATCH($C189,'Báo giá'!$A$4:$A$203,0)),"")</f>
        <v/>
      </c>
      <c r="E189" s="35">
        <f>IFERROR(INDEX('Khách hàng'!$B$4:$B$103,MATCH($D189,'Khách hàng'!$A$4:$A$103,0)),"")</f>
        <v/>
      </c>
      <c r="F189" s="48" t="n"/>
      <c r="G189" s="52" t="n"/>
      <c r="H189" s="50" t="n"/>
      <c r="I189" s="41">
        <f>IFERROR(INDEX('Báo giá'!$H$4:$H$203,MATCH($C189,'Báo giá'!$A$4:$A$203,0)),"")</f>
        <v/>
      </c>
      <c r="J189" s="52" t="n"/>
      <c r="K189" s="52" t="n"/>
      <c r="L189" s="35">
        <f>IF($A189="","",IF($K189="",IF($J189="","Chưa có kế hoạch",IF(TODAY()&gt;$J189,"Trễ hạn","Đang thực hiện")),IF($K189&lt;=$J189,"Đúng hạn","Giao trễ")))</f>
        <v/>
      </c>
      <c r="M189" s="41">
        <f>IF($A189="","",IF($K189="",IF($J189="",0,MAX(0,TODAY()-$J189)),MAX(0,$K189-$J189)))</f>
        <v/>
      </c>
      <c r="N189" s="48" t="n"/>
      <c r="O189" s="53" t="n"/>
      <c r="P189" s="57">
        <f>IF($A189="","",IF(IF($Y189="",$K189,$Y189)="","",IF($Y189="",$K189,$Y189)+IF($Z189="",0,$Z189)))</f>
        <v/>
      </c>
      <c r="Q189" s="54">
        <f>IFERROR(MONTH($G189),"")</f>
        <v/>
      </c>
      <c r="R189" s="54">
        <f>IFERROR(YEAR($G189),"")</f>
        <v/>
      </c>
      <c r="S189" s="48" t="n"/>
      <c r="T189" s="58">
        <f>IFERROR(INDEX('Báo giá'!$E$4:$E$203,MATCH($C189,'Báo giá'!$A$4:$A$203,0)),"")</f>
        <v/>
      </c>
      <c r="U189" s="59" t="n"/>
      <c r="V189" s="60" t="n"/>
      <c r="W189" s="61">
        <f>IFERROR(INDEX('Báo giá'!$G$4:$G$203,MATCH($C189,'Báo giá'!$A$4:$A$203,0)),"")</f>
        <v/>
      </c>
      <c r="X189" s="55" t="n"/>
      <c r="Y189" s="55" t="n"/>
      <c r="Z189" s="62" t="n"/>
    </row>
    <row r="190" ht="15" customHeight="1" s="30">
      <c r="A190" s="48" t="n"/>
      <c r="B190" s="52" t="n"/>
      <c r="C190" s="48" t="n"/>
      <c r="D190" s="35">
        <f>IFERROR(INDEX('Báo giá'!$C$4:$C$203,MATCH($C190,'Báo giá'!$A$4:$A$203,0)),"")</f>
        <v/>
      </c>
      <c r="E190" s="35">
        <f>IFERROR(INDEX('Khách hàng'!$B$4:$B$103,MATCH($D190,'Khách hàng'!$A$4:$A$103,0)),"")</f>
        <v/>
      </c>
      <c r="F190" s="48" t="n"/>
      <c r="G190" s="52" t="n"/>
      <c r="H190" s="50" t="n"/>
      <c r="I190" s="41">
        <f>IFERROR(INDEX('Báo giá'!$H$4:$H$203,MATCH($C190,'Báo giá'!$A$4:$A$203,0)),"")</f>
        <v/>
      </c>
      <c r="J190" s="52" t="n"/>
      <c r="K190" s="52" t="n"/>
      <c r="L190" s="35">
        <f>IF($A190="","",IF($K190="",IF($J190="","Chưa có kế hoạch",IF(TODAY()&gt;$J190,"Trễ hạn","Đang thực hiện")),IF($K190&lt;=$J190,"Đúng hạn","Giao trễ")))</f>
        <v/>
      </c>
      <c r="M190" s="41">
        <f>IF($A190="","",IF($K190="",IF($J190="",0,MAX(0,TODAY()-$J190)),MAX(0,$K190-$J190)))</f>
        <v/>
      </c>
      <c r="N190" s="48" t="n"/>
      <c r="O190" s="53" t="n"/>
      <c r="P190" s="57">
        <f>IF($A190="","",IF(IF($Y190="",$K190,$Y190)="","",IF($Y190="",$K190,$Y190)+IF($Z190="",0,$Z190)))</f>
        <v/>
      </c>
      <c r="Q190" s="54">
        <f>IFERROR(MONTH($G190),"")</f>
        <v/>
      </c>
      <c r="R190" s="54">
        <f>IFERROR(YEAR($G190),"")</f>
        <v/>
      </c>
      <c r="S190" s="48" t="n"/>
      <c r="T190" s="58">
        <f>IFERROR(INDEX('Báo giá'!$E$4:$E$203,MATCH($C190,'Báo giá'!$A$4:$A$203,0)),"")</f>
        <v/>
      </c>
      <c r="U190" s="59" t="n"/>
      <c r="V190" s="60" t="n"/>
      <c r="W190" s="61">
        <f>IFERROR(INDEX('Báo giá'!$G$4:$G$203,MATCH($C190,'Báo giá'!$A$4:$A$203,0)),"")</f>
        <v/>
      </c>
      <c r="X190" s="55" t="n"/>
      <c r="Y190" s="55" t="n"/>
      <c r="Z190" s="62" t="n"/>
    </row>
    <row r="191" ht="15" customHeight="1" s="30">
      <c r="A191" s="48" t="n"/>
      <c r="B191" s="52" t="n"/>
      <c r="C191" s="48" t="n"/>
      <c r="D191" s="35">
        <f>IFERROR(INDEX('Báo giá'!$C$4:$C$203,MATCH($C191,'Báo giá'!$A$4:$A$203,0)),"")</f>
        <v/>
      </c>
      <c r="E191" s="35">
        <f>IFERROR(INDEX('Khách hàng'!$B$4:$B$103,MATCH($D191,'Khách hàng'!$A$4:$A$103,0)),"")</f>
        <v/>
      </c>
      <c r="F191" s="48" t="n"/>
      <c r="G191" s="52" t="n"/>
      <c r="H191" s="50" t="n"/>
      <c r="I191" s="41">
        <f>IFERROR(INDEX('Báo giá'!$H$4:$H$203,MATCH($C191,'Báo giá'!$A$4:$A$203,0)),"")</f>
        <v/>
      </c>
      <c r="J191" s="52" t="n"/>
      <c r="K191" s="52" t="n"/>
      <c r="L191" s="35">
        <f>IF($A191="","",IF($K191="",IF($J191="","Chưa có kế hoạch",IF(TODAY()&gt;$J191,"Trễ hạn","Đang thực hiện")),IF($K191&lt;=$J191,"Đúng hạn","Giao trễ")))</f>
        <v/>
      </c>
      <c r="M191" s="41">
        <f>IF($A191="","",IF($K191="",IF($J191="",0,MAX(0,TODAY()-$J191)),MAX(0,$K191-$J191)))</f>
        <v/>
      </c>
      <c r="N191" s="48" t="n"/>
      <c r="O191" s="53" t="n"/>
      <c r="P191" s="57">
        <f>IF($A191="","",IF(IF($Y191="",$K191,$Y191)="","",IF($Y191="",$K191,$Y191)+IF($Z191="",0,$Z191)))</f>
        <v/>
      </c>
      <c r="Q191" s="54">
        <f>IFERROR(MONTH($G191),"")</f>
        <v/>
      </c>
      <c r="R191" s="54">
        <f>IFERROR(YEAR($G191),"")</f>
        <v/>
      </c>
      <c r="S191" s="48" t="n"/>
      <c r="T191" s="58">
        <f>IFERROR(INDEX('Báo giá'!$E$4:$E$203,MATCH($C191,'Báo giá'!$A$4:$A$203,0)),"")</f>
        <v/>
      </c>
      <c r="U191" s="59" t="n"/>
      <c r="V191" s="60" t="n"/>
      <c r="W191" s="61">
        <f>IFERROR(INDEX('Báo giá'!$G$4:$G$203,MATCH($C191,'Báo giá'!$A$4:$A$203,0)),"")</f>
        <v/>
      </c>
      <c r="X191" s="55" t="n"/>
      <c r="Y191" s="55" t="n"/>
      <c r="Z191" s="62" t="n"/>
    </row>
    <row r="192" ht="15" customHeight="1" s="30">
      <c r="A192" s="48" t="n"/>
      <c r="B192" s="52" t="n"/>
      <c r="C192" s="48" t="n"/>
      <c r="D192" s="35">
        <f>IFERROR(INDEX('Báo giá'!$C$4:$C$203,MATCH($C192,'Báo giá'!$A$4:$A$203,0)),"")</f>
        <v/>
      </c>
      <c r="E192" s="35">
        <f>IFERROR(INDEX('Khách hàng'!$B$4:$B$103,MATCH($D192,'Khách hàng'!$A$4:$A$103,0)),"")</f>
        <v/>
      </c>
      <c r="F192" s="48" t="n"/>
      <c r="G192" s="52" t="n"/>
      <c r="H192" s="50" t="n"/>
      <c r="I192" s="41">
        <f>IFERROR(INDEX('Báo giá'!$H$4:$H$203,MATCH($C192,'Báo giá'!$A$4:$A$203,0)),"")</f>
        <v/>
      </c>
      <c r="J192" s="52" t="n"/>
      <c r="K192" s="52" t="n"/>
      <c r="L192" s="35">
        <f>IF($A192="","",IF($K192="",IF($J192="","Chưa có kế hoạch",IF(TODAY()&gt;$J192,"Trễ hạn","Đang thực hiện")),IF($K192&lt;=$J192,"Đúng hạn","Giao trễ")))</f>
        <v/>
      </c>
      <c r="M192" s="41">
        <f>IF($A192="","",IF($K192="",IF($J192="",0,MAX(0,TODAY()-$J192)),MAX(0,$K192-$J192)))</f>
        <v/>
      </c>
      <c r="N192" s="48" t="n"/>
      <c r="O192" s="53" t="n"/>
      <c r="P192" s="57">
        <f>IF($A192="","",IF(IF($Y192="",$K192,$Y192)="","",IF($Y192="",$K192,$Y192)+IF($Z192="",0,$Z192)))</f>
        <v/>
      </c>
      <c r="Q192" s="54">
        <f>IFERROR(MONTH($G192),"")</f>
        <v/>
      </c>
      <c r="R192" s="54">
        <f>IFERROR(YEAR($G192),"")</f>
        <v/>
      </c>
      <c r="S192" s="48" t="n"/>
      <c r="T192" s="58">
        <f>IFERROR(INDEX('Báo giá'!$E$4:$E$203,MATCH($C192,'Báo giá'!$A$4:$A$203,0)),"")</f>
        <v/>
      </c>
      <c r="U192" s="59" t="n"/>
      <c r="V192" s="60" t="n"/>
      <c r="W192" s="61">
        <f>IFERROR(INDEX('Báo giá'!$G$4:$G$203,MATCH($C192,'Báo giá'!$A$4:$A$203,0)),"")</f>
        <v/>
      </c>
      <c r="X192" s="55" t="n"/>
      <c r="Y192" s="55" t="n"/>
      <c r="Z192" s="62" t="n"/>
    </row>
    <row r="193" ht="15" customHeight="1" s="30">
      <c r="A193" s="48" t="n"/>
      <c r="B193" s="52" t="n"/>
      <c r="C193" s="48" t="n"/>
      <c r="D193" s="35">
        <f>IFERROR(INDEX('Báo giá'!$C$4:$C$203,MATCH($C193,'Báo giá'!$A$4:$A$203,0)),"")</f>
        <v/>
      </c>
      <c r="E193" s="35">
        <f>IFERROR(INDEX('Khách hàng'!$B$4:$B$103,MATCH($D193,'Khách hàng'!$A$4:$A$103,0)),"")</f>
        <v/>
      </c>
      <c r="F193" s="48" t="n"/>
      <c r="G193" s="52" t="n"/>
      <c r="H193" s="50" t="n"/>
      <c r="I193" s="41">
        <f>IFERROR(INDEX('Báo giá'!$H$4:$H$203,MATCH($C193,'Báo giá'!$A$4:$A$203,0)),"")</f>
        <v/>
      </c>
      <c r="J193" s="52" t="n"/>
      <c r="K193" s="52" t="n"/>
      <c r="L193" s="35">
        <f>IF($A193="","",IF($K193="",IF($J193="","Chưa có kế hoạch",IF(TODAY()&gt;$J193,"Trễ hạn","Đang thực hiện")),IF($K193&lt;=$J193,"Đúng hạn","Giao trễ")))</f>
        <v/>
      </c>
      <c r="M193" s="41">
        <f>IF($A193="","",IF($K193="",IF($J193="",0,MAX(0,TODAY()-$J193)),MAX(0,$K193-$J193)))</f>
        <v/>
      </c>
      <c r="N193" s="48" t="n"/>
      <c r="O193" s="53" t="n"/>
      <c r="P193" s="57">
        <f>IF($A193="","",IF(IF($Y193="",$K193,$Y193)="","",IF($Y193="",$K193,$Y193)+IF($Z193="",0,$Z193)))</f>
        <v/>
      </c>
      <c r="Q193" s="54">
        <f>IFERROR(MONTH($G193),"")</f>
        <v/>
      </c>
      <c r="R193" s="54">
        <f>IFERROR(YEAR($G193),"")</f>
        <v/>
      </c>
      <c r="S193" s="48" t="n"/>
      <c r="T193" s="58">
        <f>IFERROR(INDEX('Báo giá'!$E$4:$E$203,MATCH($C193,'Báo giá'!$A$4:$A$203,0)),"")</f>
        <v/>
      </c>
      <c r="U193" s="59" t="n"/>
      <c r="V193" s="60" t="n"/>
      <c r="W193" s="61">
        <f>IFERROR(INDEX('Báo giá'!$G$4:$G$203,MATCH($C193,'Báo giá'!$A$4:$A$203,0)),"")</f>
        <v/>
      </c>
      <c r="X193" s="55" t="n"/>
      <c r="Y193" s="55" t="n"/>
      <c r="Z193" s="62" t="n"/>
    </row>
    <row r="194" ht="15" customHeight="1" s="30">
      <c r="A194" s="48" t="n"/>
      <c r="B194" s="52" t="n"/>
      <c r="C194" s="48" t="n"/>
      <c r="D194" s="35">
        <f>IFERROR(INDEX('Báo giá'!$C$4:$C$203,MATCH($C194,'Báo giá'!$A$4:$A$203,0)),"")</f>
        <v/>
      </c>
      <c r="E194" s="35">
        <f>IFERROR(INDEX('Khách hàng'!$B$4:$B$103,MATCH($D194,'Khách hàng'!$A$4:$A$103,0)),"")</f>
        <v/>
      </c>
      <c r="F194" s="48" t="n"/>
      <c r="G194" s="52" t="n"/>
      <c r="H194" s="50" t="n"/>
      <c r="I194" s="41">
        <f>IFERROR(INDEX('Báo giá'!$H$4:$H$203,MATCH($C194,'Báo giá'!$A$4:$A$203,0)),"")</f>
        <v/>
      </c>
      <c r="J194" s="52" t="n"/>
      <c r="K194" s="52" t="n"/>
      <c r="L194" s="35">
        <f>IF($A194="","",IF($K194="",IF($J194="","Chưa có kế hoạch",IF(TODAY()&gt;$J194,"Trễ hạn","Đang thực hiện")),IF($K194&lt;=$J194,"Đúng hạn","Giao trễ")))</f>
        <v/>
      </c>
      <c r="M194" s="41">
        <f>IF($A194="","",IF($K194="",IF($J194="",0,MAX(0,TODAY()-$J194)),MAX(0,$K194-$J194)))</f>
        <v/>
      </c>
      <c r="N194" s="48" t="n"/>
      <c r="O194" s="53" t="n"/>
      <c r="P194" s="57">
        <f>IF($A194="","",IF(IF($Y194="",$K194,$Y194)="","",IF($Y194="",$K194,$Y194)+IF($Z194="",0,$Z194)))</f>
        <v/>
      </c>
      <c r="Q194" s="54">
        <f>IFERROR(MONTH($G194),"")</f>
        <v/>
      </c>
      <c r="R194" s="54">
        <f>IFERROR(YEAR($G194),"")</f>
        <v/>
      </c>
      <c r="S194" s="48" t="n"/>
      <c r="T194" s="58">
        <f>IFERROR(INDEX('Báo giá'!$E$4:$E$203,MATCH($C194,'Báo giá'!$A$4:$A$203,0)),"")</f>
        <v/>
      </c>
      <c r="U194" s="59" t="n"/>
      <c r="V194" s="60" t="n"/>
      <c r="W194" s="61">
        <f>IFERROR(INDEX('Báo giá'!$G$4:$G$203,MATCH($C194,'Báo giá'!$A$4:$A$203,0)),"")</f>
        <v/>
      </c>
      <c r="X194" s="55" t="n"/>
      <c r="Y194" s="55" t="n"/>
      <c r="Z194" s="62" t="n"/>
    </row>
    <row r="195" ht="15" customHeight="1" s="30">
      <c r="A195" s="48" t="n"/>
      <c r="B195" s="52" t="n"/>
      <c r="C195" s="48" t="n"/>
      <c r="D195" s="35">
        <f>IFERROR(INDEX('Báo giá'!$C$4:$C$203,MATCH($C195,'Báo giá'!$A$4:$A$203,0)),"")</f>
        <v/>
      </c>
      <c r="E195" s="35">
        <f>IFERROR(INDEX('Khách hàng'!$B$4:$B$103,MATCH($D195,'Khách hàng'!$A$4:$A$103,0)),"")</f>
        <v/>
      </c>
      <c r="F195" s="48" t="n"/>
      <c r="G195" s="52" t="n"/>
      <c r="H195" s="50" t="n"/>
      <c r="I195" s="41">
        <f>IFERROR(INDEX('Báo giá'!$H$4:$H$203,MATCH($C195,'Báo giá'!$A$4:$A$203,0)),"")</f>
        <v/>
      </c>
      <c r="J195" s="52" t="n"/>
      <c r="K195" s="52" t="n"/>
      <c r="L195" s="35">
        <f>IF($A195="","",IF($K195="",IF($J195="","Chưa có kế hoạch",IF(TODAY()&gt;$J195,"Trễ hạn","Đang thực hiện")),IF($K195&lt;=$J195,"Đúng hạn","Giao trễ")))</f>
        <v/>
      </c>
      <c r="M195" s="41">
        <f>IF($A195="","",IF($K195="",IF($J195="",0,MAX(0,TODAY()-$J195)),MAX(0,$K195-$J195)))</f>
        <v/>
      </c>
      <c r="N195" s="48" t="n"/>
      <c r="O195" s="53" t="n"/>
      <c r="P195" s="57">
        <f>IF($A195="","",IF(IF($Y195="",$K195,$Y195)="","",IF($Y195="",$K195,$Y195)+IF($Z195="",0,$Z195)))</f>
        <v/>
      </c>
      <c r="Q195" s="54">
        <f>IFERROR(MONTH($G195),"")</f>
        <v/>
      </c>
      <c r="R195" s="54">
        <f>IFERROR(YEAR($G195),"")</f>
        <v/>
      </c>
      <c r="S195" s="48" t="n"/>
      <c r="T195" s="58">
        <f>IFERROR(INDEX('Báo giá'!$E$4:$E$203,MATCH($C195,'Báo giá'!$A$4:$A$203,0)),"")</f>
        <v/>
      </c>
      <c r="U195" s="59" t="n"/>
      <c r="V195" s="60" t="n"/>
      <c r="W195" s="61">
        <f>IFERROR(INDEX('Báo giá'!$G$4:$G$203,MATCH($C195,'Báo giá'!$A$4:$A$203,0)),"")</f>
        <v/>
      </c>
      <c r="X195" s="55" t="n"/>
      <c r="Y195" s="55" t="n"/>
      <c r="Z195" s="62" t="n"/>
    </row>
    <row r="196" ht="15" customHeight="1" s="30">
      <c r="A196" s="48" t="n"/>
      <c r="B196" s="52" t="n"/>
      <c r="C196" s="48" t="n"/>
      <c r="D196" s="35">
        <f>IFERROR(INDEX('Báo giá'!$C$4:$C$203,MATCH($C196,'Báo giá'!$A$4:$A$203,0)),"")</f>
        <v/>
      </c>
      <c r="E196" s="35">
        <f>IFERROR(INDEX('Khách hàng'!$B$4:$B$103,MATCH($D196,'Khách hàng'!$A$4:$A$103,0)),"")</f>
        <v/>
      </c>
      <c r="F196" s="48" t="n"/>
      <c r="G196" s="52" t="n"/>
      <c r="H196" s="50" t="n"/>
      <c r="I196" s="41">
        <f>IFERROR(INDEX('Báo giá'!$H$4:$H$203,MATCH($C196,'Báo giá'!$A$4:$A$203,0)),"")</f>
        <v/>
      </c>
      <c r="J196" s="52" t="n"/>
      <c r="K196" s="52" t="n"/>
      <c r="L196" s="35">
        <f>IF($A196="","",IF($K196="",IF($J196="","Chưa có kế hoạch",IF(TODAY()&gt;$J196,"Trễ hạn","Đang thực hiện")),IF($K196&lt;=$J196,"Đúng hạn","Giao trễ")))</f>
        <v/>
      </c>
      <c r="M196" s="41">
        <f>IF($A196="","",IF($K196="",IF($J196="",0,MAX(0,TODAY()-$J196)),MAX(0,$K196-$J196)))</f>
        <v/>
      </c>
      <c r="N196" s="48" t="n"/>
      <c r="O196" s="53" t="n"/>
      <c r="P196" s="57">
        <f>IF($A196="","",IF(IF($Y196="",$K196,$Y196)="","",IF($Y196="",$K196,$Y196)+IF($Z196="",0,$Z196)))</f>
        <v/>
      </c>
      <c r="Q196" s="54">
        <f>IFERROR(MONTH($G196),"")</f>
        <v/>
      </c>
      <c r="R196" s="54">
        <f>IFERROR(YEAR($G196),"")</f>
        <v/>
      </c>
      <c r="S196" s="48" t="n"/>
      <c r="T196" s="58">
        <f>IFERROR(INDEX('Báo giá'!$E$4:$E$203,MATCH($C196,'Báo giá'!$A$4:$A$203,0)),"")</f>
        <v/>
      </c>
      <c r="U196" s="59" t="n"/>
      <c r="V196" s="60" t="n"/>
      <c r="W196" s="61">
        <f>IFERROR(INDEX('Báo giá'!$G$4:$G$203,MATCH($C196,'Báo giá'!$A$4:$A$203,0)),"")</f>
        <v/>
      </c>
      <c r="X196" s="55" t="n"/>
      <c r="Y196" s="55" t="n"/>
      <c r="Z196" s="62" t="n"/>
    </row>
    <row r="197" ht="15" customHeight="1" s="30">
      <c r="A197" s="48" t="n"/>
      <c r="B197" s="52" t="n"/>
      <c r="C197" s="48" t="n"/>
      <c r="D197" s="35">
        <f>IFERROR(INDEX('Báo giá'!$C$4:$C$203,MATCH($C197,'Báo giá'!$A$4:$A$203,0)),"")</f>
        <v/>
      </c>
      <c r="E197" s="35">
        <f>IFERROR(INDEX('Khách hàng'!$B$4:$B$103,MATCH($D197,'Khách hàng'!$A$4:$A$103,0)),"")</f>
        <v/>
      </c>
      <c r="F197" s="48" t="n"/>
      <c r="G197" s="52" t="n"/>
      <c r="H197" s="50" t="n"/>
      <c r="I197" s="41">
        <f>IFERROR(INDEX('Báo giá'!$H$4:$H$203,MATCH($C197,'Báo giá'!$A$4:$A$203,0)),"")</f>
        <v/>
      </c>
      <c r="J197" s="52" t="n"/>
      <c r="K197" s="52" t="n"/>
      <c r="L197" s="35">
        <f>IF($A197="","",IF($K197="",IF($J197="","Chưa có kế hoạch",IF(TODAY()&gt;$J197,"Trễ hạn","Đang thực hiện")),IF($K197&lt;=$J197,"Đúng hạn","Giao trễ")))</f>
        <v/>
      </c>
      <c r="M197" s="41">
        <f>IF($A197="","",IF($K197="",IF($J197="",0,MAX(0,TODAY()-$J197)),MAX(0,$K197-$J197)))</f>
        <v/>
      </c>
      <c r="N197" s="48" t="n"/>
      <c r="O197" s="53" t="n"/>
      <c r="P197" s="57">
        <f>IF($A197="","",IF(IF($Y197="",$K197,$Y197)="","",IF($Y197="",$K197,$Y197)+IF($Z197="",0,$Z197)))</f>
        <v/>
      </c>
      <c r="Q197" s="54">
        <f>IFERROR(MONTH($G197),"")</f>
        <v/>
      </c>
      <c r="R197" s="54">
        <f>IFERROR(YEAR($G197),"")</f>
        <v/>
      </c>
      <c r="S197" s="48" t="n"/>
      <c r="T197" s="58">
        <f>IFERROR(INDEX('Báo giá'!$E$4:$E$203,MATCH($C197,'Báo giá'!$A$4:$A$203,0)),"")</f>
        <v/>
      </c>
      <c r="U197" s="59" t="n"/>
      <c r="V197" s="60" t="n"/>
      <c r="W197" s="61">
        <f>IFERROR(INDEX('Báo giá'!$G$4:$G$203,MATCH($C197,'Báo giá'!$A$4:$A$203,0)),"")</f>
        <v/>
      </c>
      <c r="X197" s="55" t="n"/>
      <c r="Y197" s="55" t="n"/>
      <c r="Z197" s="62" t="n"/>
    </row>
    <row r="198" ht="15" customHeight="1" s="30">
      <c r="A198" s="48" t="n"/>
      <c r="B198" s="52" t="n"/>
      <c r="C198" s="48" t="n"/>
      <c r="D198" s="35">
        <f>IFERROR(INDEX('Báo giá'!$C$4:$C$203,MATCH($C198,'Báo giá'!$A$4:$A$203,0)),"")</f>
        <v/>
      </c>
      <c r="E198" s="35">
        <f>IFERROR(INDEX('Khách hàng'!$B$4:$B$103,MATCH($D198,'Khách hàng'!$A$4:$A$103,0)),"")</f>
        <v/>
      </c>
      <c r="F198" s="48" t="n"/>
      <c r="G198" s="52" t="n"/>
      <c r="H198" s="50" t="n"/>
      <c r="I198" s="41">
        <f>IFERROR(INDEX('Báo giá'!$H$4:$H$203,MATCH($C198,'Báo giá'!$A$4:$A$203,0)),"")</f>
        <v/>
      </c>
      <c r="J198" s="52" t="n"/>
      <c r="K198" s="52" t="n"/>
      <c r="L198" s="35">
        <f>IF($A198="","",IF($K198="",IF($J198="","Chưa có kế hoạch",IF(TODAY()&gt;$J198,"Trễ hạn","Đang thực hiện")),IF($K198&lt;=$J198,"Đúng hạn","Giao trễ")))</f>
        <v/>
      </c>
      <c r="M198" s="41">
        <f>IF($A198="","",IF($K198="",IF($J198="",0,MAX(0,TODAY()-$J198)),MAX(0,$K198-$J198)))</f>
        <v/>
      </c>
      <c r="N198" s="48" t="n"/>
      <c r="O198" s="53" t="n"/>
      <c r="P198" s="57">
        <f>IF($A198="","",IF(IF($Y198="",$K198,$Y198)="","",IF($Y198="",$K198,$Y198)+IF($Z198="",0,$Z198)))</f>
        <v/>
      </c>
      <c r="Q198" s="54">
        <f>IFERROR(MONTH($G198),"")</f>
        <v/>
      </c>
      <c r="R198" s="54">
        <f>IFERROR(YEAR($G198),"")</f>
        <v/>
      </c>
      <c r="S198" s="48" t="n"/>
      <c r="T198" s="58">
        <f>IFERROR(INDEX('Báo giá'!$E$4:$E$203,MATCH($C198,'Báo giá'!$A$4:$A$203,0)),"")</f>
        <v/>
      </c>
      <c r="U198" s="59" t="n"/>
      <c r="V198" s="60" t="n"/>
      <c r="W198" s="61">
        <f>IFERROR(INDEX('Báo giá'!$G$4:$G$203,MATCH($C198,'Báo giá'!$A$4:$A$203,0)),"")</f>
        <v/>
      </c>
      <c r="X198" s="55" t="n"/>
      <c r="Y198" s="55" t="n"/>
      <c r="Z198" s="62" t="n"/>
    </row>
    <row r="199" ht="15" customHeight="1" s="30">
      <c r="A199" s="48" t="n"/>
      <c r="B199" s="52" t="n"/>
      <c r="C199" s="48" t="n"/>
      <c r="D199" s="35">
        <f>IFERROR(INDEX('Báo giá'!$C$4:$C$203,MATCH($C199,'Báo giá'!$A$4:$A$203,0)),"")</f>
        <v/>
      </c>
      <c r="E199" s="35">
        <f>IFERROR(INDEX('Khách hàng'!$B$4:$B$103,MATCH($D199,'Khách hàng'!$A$4:$A$103,0)),"")</f>
        <v/>
      </c>
      <c r="F199" s="48" t="n"/>
      <c r="G199" s="52" t="n"/>
      <c r="H199" s="50" t="n"/>
      <c r="I199" s="41">
        <f>IFERROR(INDEX('Báo giá'!$H$4:$H$203,MATCH($C199,'Báo giá'!$A$4:$A$203,0)),"")</f>
        <v/>
      </c>
      <c r="J199" s="52" t="n"/>
      <c r="K199" s="52" t="n"/>
      <c r="L199" s="35">
        <f>IF($A199="","",IF($K199="",IF($J199="","Chưa có kế hoạch",IF(TODAY()&gt;$J199,"Trễ hạn","Đang thực hiện")),IF($K199&lt;=$J199,"Đúng hạn","Giao trễ")))</f>
        <v/>
      </c>
      <c r="M199" s="41">
        <f>IF($A199="","",IF($K199="",IF($J199="",0,MAX(0,TODAY()-$J199)),MAX(0,$K199-$J199)))</f>
        <v/>
      </c>
      <c r="N199" s="48" t="n"/>
      <c r="O199" s="53" t="n"/>
      <c r="P199" s="57">
        <f>IF($A199="","",IF(IF($Y199="",$K199,$Y199)="","",IF($Y199="",$K199,$Y199)+IF($Z199="",0,$Z199)))</f>
        <v/>
      </c>
      <c r="Q199" s="54">
        <f>IFERROR(MONTH($G199),"")</f>
        <v/>
      </c>
      <c r="R199" s="54">
        <f>IFERROR(YEAR($G199),"")</f>
        <v/>
      </c>
      <c r="S199" s="48" t="n"/>
      <c r="T199" s="58">
        <f>IFERROR(INDEX('Báo giá'!$E$4:$E$203,MATCH($C199,'Báo giá'!$A$4:$A$203,0)),"")</f>
        <v/>
      </c>
      <c r="U199" s="59" t="n"/>
      <c r="V199" s="60" t="n"/>
      <c r="W199" s="61">
        <f>IFERROR(INDEX('Báo giá'!$G$4:$G$203,MATCH($C199,'Báo giá'!$A$4:$A$203,0)),"")</f>
        <v/>
      </c>
      <c r="X199" s="55" t="n"/>
      <c r="Y199" s="55" t="n"/>
      <c r="Z199" s="62" t="n"/>
    </row>
    <row r="200" ht="15" customHeight="1" s="30">
      <c r="A200" s="48" t="n"/>
      <c r="B200" s="52" t="n"/>
      <c r="C200" s="48" t="n"/>
      <c r="D200" s="35">
        <f>IFERROR(INDEX('Báo giá'!$C$4:$C$203,MATCH($C200,'Báo giá'!$A$4:$A$203,0)),"")</f>
        <v/>
      </c>
      <c r="E200" s="35">
        <f>IFERROR(INDEX('Khách hàng'!$B$4:$B$103,MATCH($D200,'Khách hàng'!$A$4:$A$103,0)),"")</f>
        <v/>
      </c>
      <c r="F200" s="48" t="n"/>
      <c r="G200" s="52" t="n"/>
      <c r="H200" s="50" t="n"/>
      <c r="I200" s="41">
        <f>IFERROR(INDEX('Báo giá'!$H$4:$H$203,MATCH($C200,'Báo giá'!$A$4:$A$203,0)),"")</f>
        <v/>
      </c>
      <c r="J200" s="52" t="n"/>
      <c r="K200" s="52" t="n"/>
      <c r="L200" s="35">
        <f>IF($A200="","",IF($K200="",IF($J200="","Chưa có kế hoạch",IF(TODAY()&gt;$J200,"Trễ hạn","Đang thực hiện")),IF($K200&lt;=$J200,"Đúng hạn","Giao trễ")))</f>
        <v/>
      </c>
      <c r="M200" s="41">
        <f>IF($A200="","",IF($K200="",IF($J200="",0,MAX(0,TODAY()-$J200)),MAX(0,$K200-$J200)))</f>
        <v/>
      </c>
      <c r="N200" s="48" t="n"/>
      <c r="O200" s="53" t="n"/>
      <c r="P200" s="57">
        <f>IF($A200="","",IF(IF($Y200="",$K200,$Y200)="","",IF($Y200="",$K200,$Y200)+IF($Z200="",0,$Z200)))</f>
        <v/>
      </c>
      <c r="Q200" s="54">
        <f>IFERROR(MONTH($G200),"")</f>
        <v/>
      </c>
      <c r="R200" s="54">
        <f>IFERROR(YEAR($G200),"")</f>
        <v/>
      </c>
      <c r="S200" s="48" t="n"/>
      <c r="T200" s="58">
        <f>IFERROR(INDEX('Báo giá'!$E$4:$E$203,MATCH($C200,'Báo giá'!$A$4:$A$203,0)),"")</f>
        <v/>
      </c>
      <c r="U200" s="59" t="n"/>
      <c r="V200" s="60" t="n"/>
      <c r="W200" s="61">
        <f>IFERROR(INDEX('Báo giá'!$G$4:$G$203,MATCH($C200,'Báo giá'!$A$4:$A$203,0)),"")</f>
        <v/>
      </c>
      <c r="X200" s="55" t="n"/>
      <c r="Y200" s="55" t="n"/>
      <c r="Z200" s="62" t="n"/>
    </row>
    <row r="201" ht="15" customHeight="1" s="30">
      <c r="A201" s="48" t="n"/>
      <c r="B201" s="52" t="n"/>
      <c r="C201" s="48" t="n"/>
      <c r="D201" s="35">
        <f>IFERROR(INDEX('Báo giá'!$C$4:$C$203,MATCH($C201,'Báo giá'!$A$4:$A$203,0)),"")</f>
        <v/>
      </c>
      <c r="E201" s="35">
        <f>IFERROR(INDEX('Khách hàng'!$B$4:$B$103,MATCH($D201,'Khách hàng'!$A$4:$A$103,0)),"")</f>
        <v/>
      </c>
      <c r="F201" s="48" t="n"/>
      <c r="G201" s="52" t="n"/>
      <c r="H201" s="50" t="n"/>
      <c r="I201" s="41">
        <f>IFERROR(INDEX('Báo giá'!$H$4:$H$203,MATCH($C201,'Báo giá'!$A$4:$A$203,0)),"")</f>
        <v/>
      </c>
      <c r="J201" s="52" t="n"/>
      <c r="K201" s="52" t="n"/>
      <c r="L201" s="35">
        <f>IF($A201="","",IF($K201="",IF($J201="","Chưa có kế hoạch",IF(TODAY()&gt;$J201,"Trễ hạn","Đang thực hiện")),IF($K201&lt;=$J201,"Đúng hạn","Giao trễ")))</f>
        <v/>
      </c>
      <c r="M201" s="41">
        <f>IF($A201="","",IF($K201="",IF($J201="",0,MAX(0,TODAY()-$J201)),MAX(0,$K201-$J201)))</f>
        <v/>
      </c>
      <c r="N201" s="48" t="n"/>
      <c r="O201" s="53" t="n"/>
      <c r="P201" s="57">
        <f>IF($A201="","",IF(IF($Y201="",$K201,$Y201)="","",IF($Y201="",$K201,$Y201)+IF($Z201="",0,$Z201)))</f>
        <v/>
      </c>
      <c r="Q201" s="54">
        <f>IFERROR(MONTH($G201),"")</f>
        <v/>
      </c>
      <c r="R201" s="54">
        <f>IFERROR(YEAR($G201),"")</f>
        <v/>
      </c>
      <c r="S201" s="48" t="n"/>
      <c r="T201" s="58">
        <f>IFERROR(INDEX('Báo giá'!$E$4:$E$203,MATCH($C201,'Báo giá'!$A$4:$A$203,0)),"")</f>
        <v/>
      </c>
      <c r="U201" s="59" t="n"/>
      <c r="V201" s="60" t="n"/>
      <c r="W201" s="61">
        <f>IFERROR(INDEX('Báo giá'!$G$4:$G$203,MATCH($C201,'Báo giá'!$A$4:$A$203,0)),"")</f>
        <v/>
      </c>
      <c r="X201" s="55" t="n"/>
      <c r="Y201" s="55" t="n"/>
      <c r="Z201" s="62" t="n"/>
    </row>
    <row r="202" ht="15" customHeight="1" s="30">
      <c r="A202" s="48" t="n"/>
      <c r="B202" s="52" t="n"/>
      <c r="C202" s="48" t="n"/>
      <c r="D202" s="35">
        <f>IFERROR(INDEX('Báo giá'!$C$4:$C$203,MATCH($C202,'Báo giá'!$A$4:$A$203,0)),"")</f>
        <v/>
      </c>
      <c r="E202" s="35">
        <f>IFERROR(INDEX('Khách hàng'!$B$4:$B$103,MATCH($D202,'Khách hàng'!$A$4:$A$103,0)),"")</f>
        <v/>
      </c>
      <c r="F202" s="48" t="n"/>
      <c r="G202" s="52" t="n"/>
      <c r="H202" s="50" t="n"/>
      <c r="I202" s="41">
        <f>IFERROR(INDEX('Báo giá'!$H$4:$H$203,MATCH($C202,'Báo giá'!$A$4:$A$203,0)),"")</f>
        <v/>
      </c>
      <c r="J202" s="52" t="n"/>
      <c r="K202" s="52" t="n"/>
      <c r="L202" s="35">
        <f>IF($A202="","",IF($K202="",IF($J202="","Chưa có kế hoạch",IF(TODAY()&gt;$J202,"Trễ hạn","Đang thực hiện")),IF($K202&lt;=$J202,"Đúng hạn","Giao trễ")))</f>
        <v/>
      </c>
      <c r="M202" s="41">
        <f>IF($A202="","",IF($K202="",IF($J202="",0,MAX(0,TODAY()-$J202)),MAX(0,$K202-$J202)))</f>
        <v/>
      </c>
      <c r="N202" s="48" t="n"/>
      <c r="O202" s="53" t="n"/>
      <c r="P202" s="57">
        <f>IF($A202="","",IF(IF($Y202="",$K202,$Y202)="","",IF($Y202="",$K202,$Y202)+IF($Z202="",0,$Z202)))</f>
        <v/>
      </c>
      <c r="Q202" s="54">
        <f>IFERROR(MONTH($G202),"")</f>
        <v/>
      </c>
      <c r="R202" s="54">
        <f>IFERROR(YEAR($G202),"")</f>
        <v/>
      </c>
      <c r="S202" s="48" t="n"/>
      <c r="T202" s="58">
        <f>IFERROR(INDEX('Báo giá'!$E$4:$E$203,MATCH($C202,'Báo giá'!$A$4:$A$203,0)),"")</f>
        <v/>
      </c>
      <c r="U202" s="59" t="n"/>
      <c r="V202" s="60" t="n"/>
      <c r="W202" s="61">
        <f>IFERROR(INDEX('Báo giá'!$G$4:$G$203,MATCH($C202,'Báo giá'!$A$4:$A$203,0)),"")</f>
        <v/>
      </c>
      <c r="X202" s="55" t="n"/>
      <c r="Y202" s="55" t="n"/>
      <c r="Z202" s="62" t="n"/>
    </row>
    <row r="203" ht="15" customHeight="1" s="30">
      <c r="A203" s="48" t="n"/>
      <c r="B203" s="52" t="n"/>
      <c r="C203" s="48" t="n"/>
      <c r="D203" s="35">
        <f>IFERROR(INDEX('Báo giá'!$C$4:$C$203,MATCH($C203,'Báo giá'!$A$4:$A$203,0)),"")</f>
        <v/>
      </c>
      <c r="E203" s="35">
        <f>IFERROR(INDEX('Khách hàng'!$B$4:$B$103,MATCH($D203,'Khách hàng'!$A$4:$A$103,0)),"")</f>
        <v/>
      </c>
      <c r="F203" s="48" t="n"/>
      <c r="G203" s="52" t="n"/>
      <c r="H203" s="50" t="n"/>
      <c r="I203" s="41">
        <f>IFERROR(INDEX('Báo giá'!$H$4:$H$203,MATCH($C203,'Báo giá'!$A$4:$A$203,0)),"")</f>
        <v/>
      </c>
      <c r="J203" s="52" t="n"/>
      <c r="K203" s="52" t="n"/>
      <c r="L203" s="35">
        <f>IF($A203="","",IF($K203="",IF($J203="","Chưa có kế hoạch",IF(TODAY()&gt;$J203,"Trễ hạn","Đang thực hiện")),IF($K203&lt;=$J203,"Đúng hạn","Giao trễ")))</f>
        <v/>
      </c>
      <c r="M203" s="41">
        <f>IF($A203="","",IF($K203="",IF($J203="",0,MAX(0,TODAY()-$J203)),MAX(0,$K203-$J203)))</f>
        <v/>
      </c>
      <c r="N203" s="48" t="n"/>
      <c r="O203" s="53" t="n"/>
      <c r="P203" s="57">
        <f>IF($A203="","",IF(IF($Y203="",$K203,$Y203)="","",IF($Y203="",$K203,$Y203)+IF($Z203="",0,$Z203)))</f>
        <v/>
      </c>
      <c r="Q203" s="54">
        <f>IFERROR(MONTH($G203),"")</f>
        <v/>
      </c>
      <c r="R203" s="54">
        <f>IFERROR(YEAR($G203),"")</f>
        <v/>
      </c>
      <c r="S203" s="48" t="n"/>
      <c r="T203" s="58">
        <f>IFERROR(INDEX('Báo giá'!$E$4:$E$203,MATCH($C203,'Báo giá'!$A$4:$A$203,0)),"")</f>
        <v/>
      </c>
      <c r="U203" s="59" t="n"/>
      <c r="V203" s="60" t="n"/>
      <c r="W203" s="61">
        <f>IFERROR(INDEX('Báo giá'!$G$4:$G$203,MATCH($C203,'Báo giá'!$A$4:$A$203,0)),"")</f>
        <v/>
      </c>
      <c r="X203" s="55" t="n"/>
      <c r="Y203" s="55" t="n"/>
      <c r="Z203" s="62" t="n"/>
    </row>
  </sheetData>
  <autoFilter ref="A3:S203"/>
  <conditionalFormatting sqref="L4:L203">
    <cfRule type="expression" rank="0" priority="2" equalAverage="0" aboveAverage="0" dxfId="4" text="" percent="0" bottom="0">
      <formula>OR($L4="Trễ hạn",$L4="Giao trễ")</formula>
    </cfRule>
  </conditionalFormatting>
  <conditionalFormatting sqref="N4:N203">
    <cfRule type="expression" rank="0" priority="3" equalAverage="0" aboveAverage="0" dxfId="4" text="" percent="0" bottom="0">
      <formula>$N4="Lỗi"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13" customWidth="1" style="29" min="2" max="2"/>
    <col width="15" customWidth="1" style="29" min="3" max="3"/>
    <col width="30" customWidth="1" style="29" min="4" max="4"/>
    <col width="20" customWidth="1" style="29" min="5" max="5"/>
    <col width="16" customWidth="1" style="29" min="6" max="6"/>
    <col width="26" customWidth="1" style="29" min="7" max="7"/>
    <col width="8" customWidth="1" style="29" min="8" max="9"/>
  </cols>
  <sheetData>
    <row r="1" ht="17.35" customHeight="1" s="30">
      <c r="A1" s="31" t="inlineStr">
        <is>
          <t>SỔ THU TIỀN</t>
        </is>
      </c>
    </row>
    <row r="2" ht="15" customHeight="1" s="30">
      <c r="A2" s="32" t="inlineStr">
        <is>
          <t>Một PO có thể thu nhiều đợt - ghi nhiều dòng cùng Mã PO</t>
        </is>
      </c>
    </row>
    <row r="3" ht="31.5" customHeight="1" s="30">
      <c r="A3" s="39" t="inlineStr">
        <is>
          <t>Mã phiếu thu</t>
        </is>
      </c>
      <c r="B3" s="39" t="inlineStr">
        <is>
          <t>Ngày thu</t>
        </is>
      </c>
      <c r="C3" s="39" t="inlineStr">
        <is>
          <t>Mã PO</t>
        </is>
      </c>
      <c r="D3" s="39" t="inlineStr">
        <is>
          <t>Khách hàng</t>
        </is>
      </c>
      <c r="E3" s="39" t="inlineStr">
        <is>
          <t>Số tiền thu (VNĐ)</t>
        </is>
      </c>
      <c r="F3" s="39" t="inlineStr">
        <is>
          <t>Hình thức</t>
        </is>
      </c>
      <c r="G3" s="39" t="inlineStr">
        <is>
          <t>Đợt / nội dung</t>
        </is>
      </c>
      <c r="H3" s="39" t="inlineStr">
        <is>
          <t>Tháng</t>
        </is>
      </c>
      <c r="I3" s="39" t="inlineStr">
        <is>
          <t>Năm</t>
        </is>
      </c>
    </row>
    <row r="4" ht="15" customHeight="1" s="30">
      <c r="A4" s="48" t="inlineStr">
        <is>
          <t>PT2026-001</t>
        </is>
      </c>
      <c r="B4" s="52" t="n">
        <v>46042</v>
      </c>
      <c r="C4" s="48" t="inlineStr">
        <is>
          <t>PO2026-001</t>
        </is>
      </c>
      <c r="D4" s="35">
        <f>IFERROR(INDEX('Hợp đồng'!$E$4:$E$203,MATCH($C4,'Hợp đồng'!$A$4:$A$203,0)),"")</f>
        <v/>
      </c>
      <c r="E4" s="50" t="n">
        <v>135000000</v>
      </c>
      <c r="F4" s="48" t="inlineStr">
        <is>
          <t>Chuyển khoản</t>
        </is>
      </c>
      <c r="G4" s="48" t="inlineStr">
        <is>
          <t>Tạm ứng 50%</t>
        </is>
      </c>
      <c r="H4" s="54">
        <f>IFERROR(MONTH($B4),"")</f>
        <v/>
      </c>
      <c r="I4" s="54">
        <f>IFERROR(YEAR($B4),"")</f>
        <v/>
      </c>
    </row>
    <row r="5" ht="15" customHeight="1" s="30">
      <c r="A5" s="48" t="n"/>
      <c r="B5" s="52" t="n"/>
      <c r="C5" s="48" t="n"/>
      <c r="D5" s="35">
        <f>IFERROR(INDEX('Hợp đồng'!$E$4:$E$203,MATCH($C5,'Hợp đồng'!$A$4:$A$203,0)),"")</f>
        <v/>
      </c>
      <c r="E5" s="50" t="n"/>
      <c r="F5" s="48" t="n"/>
      <c r="G5" s="48" t="n"/>
      <c r="H5" s="54">
        <f>IFERROR(MONTH($B5),"")</f>
        <v/>
      </c>
      <c r="I5" s="54">
        <f>IFERROR(YEAR($B5),"")</f>
        <v/>
      </c>
    </row>
    <row r="6" ht="15" customHeight="1" s="30">
      <c r="A6" s="48" t="n"/>
      <c r="B6" s="52" t="n"/>
      <c r="C6" s="48" t="n"/>
      <c r="D6" s="35">
        <f>IFERROR(INDEX('Hợp đồng'!$E$4:$E$203,MATCH($C6,'Hợp đồng'!$A$4:$A$203,0)),"")</f>
        <v/>
      </c>
      <c r="E6" s="50" t="n"/>
      <c r="F6" s="48" t="n"/>
      <c r="G6" s="48" t="n"/>
      <c r="H6" s="54">
        <f>IFERROR(MONTH($B6),"")</f>
        <v/>
      </c>
      <c r="I6" s="54">
        <f>IFERROR(YEAR($B6),"")</f>
        <v/>
      </c>
    </row>
    <row r="7" ht="15" customHeight="1" s="30">
      <c r="A7" s="48" t="n"/>
      <c r="B7" s="52" t="n"/>
      <c r="C7" s="48" t="n"/>
      <c r="D7" s="35">
        <f>IFERROR(INDEX('Hợp đồng'!$E$4:$E$203,MATCH($C7,'Hợp đồng'!$A$4:$A$203,0)),"")</f>
        <v/>
      </c>
      <c r="E7" s="50" t="n"/>
      <c r="F7" s="48" t="n"/>
      <c r="G7" s="48" t="n"/>
      <c r="H7" s="54">
        <f>IFERROR(MONTH($B7),"")</f>
        <v/>
      </c>
      <c r="I7" s="54">
        <f>IFERROR(YEAR($B7),"")</f>
        <v/>
      </c>
    </row>
    <row r="8" ht="15" customHeight="1" s="30">
      <c r="A8" s="48" t="n"/>
      <c r="B8" s="52" t="n"/>
      <c r="C8" s="48" t="n"/>
      <c r="D8" s="35">
        <f>IFERROR(INDEX('Hợp đồng'!$E$4:$E$203,MATCH($C8,'Hợp đồng'!$A$4:$A$203,0)),"")</f>
        <v/>
      </c>
      <c r="E8" s="50" t="n"/>
      <c r="F8" s="48" t="n"/>
      <c r="G8" s="48" t="n"/>
      <c r="H8" s="54">
        <f>IFERROR(MONTH($B8),"")</f>
        <v/>
      </c>
      <c r="I8" s="54">
        <f>IFERROR(YEAR($B8),"")</f>
        <v/>
      </c>
    </row>
    <row r="9" ht="15" customHeight="1" s="30">
      <c r="A9" s="48" t="n"/>
      <c r="B9" s="52" t="n"/>
      <c r="C9" s="48" t="n"/>
      <c r="D9" s="35">
        <f>IFERROR(INDEX('Hợp đồng'!$E$4:$E$203,MATCH($C9,'Hợp đồng'!$A$4:$A$203,0)),"")</f>
        <v/>
      </c>
      <c r="E9" s="50" t="n"/>
      <c r="F9" s="48" t="n"/>
      <c r="G9" s="48" t="n"/>
      <c r="H9" s="54">
        <f>IFERROR(MONTH($B9),"")</f>
        <v/>
      </c>
      <c r="I9" s="54">
        <f>IFERROR(YEAR($B9),"")</f>
        <v/>
      </c>
    </row>
    <row r="10" ht="15" customHeight="1" s="30">
      <c r="A10" s="48" t="n"/>
      <c r="B10" s="52" t="n"/>
      <c r="C10" s="48" t="n"/>
      <c r="D10" s="35">
        <f>IFERROR(INDEX('Hợp đồng'!$E$4:$E$203,MATCH($C10,'Hợp đồng'!$A$4:$A$203,0)),"")</f>
        <v/>
      </c>
      <c r="E10" s="50" t="n"/>
      <c r="F10" s="48" t="n"/>
      <c r="G10" s="48" t="n"/>
      <c r="H10" s="54">
        <f>IFERROR(MONTH($B10),"")</f>
        <v/>
      </c>
      <c r="I10" s="54">
        <f>IFERROR(YEAR($B10),"")</f>
        <v/>
      </c>
    </row>
    <row r="11" ht="15" customHeight="1" s="30">
      <c r="A11" s="48" t="n"/>
      <c r="B11" s="52" t="n"/>
      <c r="C11" s="48" t="n"/>
      <c r="D11" s="35">
        <f>IFERROR(INDEX('Hợp đồng'!$E$4:$E$203,MATCH($C11,'Hợp đồng'!$A$4:$A$203,0)),"")</f>
        <v/>
      </c>
      <c r="E11" s="50" t="n"/>
      <c r="F11" s="48" t="n"/>
      <c r="G11" s="48" t="n"/>
      <c r="H11" s="54">
        <f>IFERROR(MONTH($B11),"")</f>
        <v/>
      </c>
      <c r="I11" s="54">
        <f>IFERROR(YEAR($B11),"")</f>
        <v/>
      </c>
    </row>
    <row r="12" ht="15" customHeight="1" s="30">
      <c r="A12" s="48" t="n"/>
      <c r="B12" s="52" t="n"/>
      <c r="C12" s="48" t="n"/>
      <c r="D12" s="35">
        <f>IFERROR(INDEX('Hợp đồng'!$E$4:$E$203,MATCH($C12,'Hợp đồng'!$A$4:$A$203,0)),"")</f>
        <v/>
      </c>
      <c r="E12" s="50" t="n"/>
      <c r="F12" s="48" t="n"/>
      <c r="G12" s="48" t="n"/>
      <c r="H12" s="54">
        <f>IFERROR(MONTH($B12),"")</f>
        <v/>
      </c>
      <c r="I12" s="54">
        <f>IFERROR(YEAR($B12),"")</f>
        <v/>
      </c>
    </row>
    <row r="13" ht="15" customHeight="1" s="30">
      <c r="A13" s="48" t="n"/>
      <c r="B13" s="52" t="n"/>
      <c r="C13" s="48" t="n"/>
      <c r="D13" s="35">
        <f>IFERROR(INDEX('Hợp đồng'!$E$4:$E$203,MATCH($C13,'Hợp đồng'!$A$4:$A$203,0)),"")</f>
        <v/>
      </c>
      <c r="E13" s="50" t="n"/>
      <c r="F13" s="48" t="n"/>
      <c r="G13" s="48" t="n"/>
      <c r="H13" s="54">
        <f>IFERROR(MONTH($B13),"")</f>
        <v/>
      </c>
      <c r="I13" s="54">
        <f>IFERROR(YEAR($B13),"")</f>
        <v/>
      </c>
    </row>
    <row r="14" ht="15" customHeight="1" s="30">
      <c r="A14" s="48" t="n"/>
      <c r="B14" s="52" t="n"/>
      <c r="C14" s="48" t="n"/>
      <c r="D14" s="35">
        <f>IFERROR(INDEX('Hợp đồng'!$E$4:$E$203,MATCH($C14,'Hợp đồng'!$A$4:$A$203,0)),"")</f>
        <v/>
      </c>
      <c r="E14" s="50" t="n"/>
      <c r="F14" s="48" t="n"/>
      <c r="G14" s="48" t="n"/>
      <c r="H14" s="54">
        <f>IFERROR(MONTH($B14),"")</f>
        <v/>
      </c>
      <c r="I14" s="54">
        <f>IFERROR(YEAR($B14),"")</f>
        <v/>
      </c>
    </row>
    <row r="15" ht="15" customHeight="1" s="30">
      <c r="A15" s="48" t="n"/>
      <c r="B15" s="52" t="n"/>
      <c r="C15" s="48" t="n"/>
      <c r="D15" s="35">
        <f>IFERROR(INDEX('Hợp đồng'!$E$4:$E$203,MATCH($C15,'Hợp đồng'!$A$4:$A$203,0)),"")</f>
        <v/>
      </c>
      <c r="E15" s="50" t="n"/>
      <c r="F15" s="48" t="n"/>
      <c r="G15" s="48" t="n"/>
      <c r="H15" s="54">
        <f>IFERROR(MONTH($B15),"")</f>
        <v/>
      </c>
      <c r="I15" s="54">
        <f>IFERROR(YEAR($B15),"")</f>
        <v/>
      </c>
    </row>
    <row r="16" ht="15" customHeight="1" s="30">
      <c r="A16" s="48" t="n"/>
      <c r="B16" s="52" t="n"/>
      <c r="C16" s="48" t="n"/>
      <c r="D16" s="35">
        <f>IFERROR(INDEX('Hợp đồng'!$E$4:$E$203,MATCH($C16,'Hợp đồng'!$A$4:$A$203,0)),"")</f>
        <v/>
      </c>
      <c r="E16" s="50" t="n"/>
      <c r="F16" s="48" t="n"/>
      <c r="G16" s="48" t="n"/>
      <c r="H16" s="54">
        <f>IFERROR(MONTH($B16),"")</f>
        <v/>
      </c>
      <c r="I16" s="54">
        <f>IFERROR(YEAR($B16),"")</f>
        <v/>
      </c>
    </row>
    <row r="17" ht="15" customHeight="1" s="30">
      <c r="A17" s="48" t="n"/>
      <c r="B17" s="52" t="n"/>
      <c r="C17" s="48" t="n"/>
      <c r="D17" s="35">
        <f>IFERROR(INDEX('Hợp đồng'!$E$4:$E$203,MATCH($C17,'Hợp đồng'!$A$4:$A$203,0)),"")</f>
        <v/>
      </c>
      <c r="E17" s="50" t="n"/>
      <c r="F17" s="48" t="n"/>
      <c r="G17" s="48" t="n"/>
      <c r="H17" s="54">
        <f>IFERROR(MONTH($B17),"")</f>
        <v/>
      </c>
      <c r="I17" s="54">
        <f>IFERROR(YEAR($B17),"")</f>
        <v/>
      </c>
    </row>
    <row r="18" ht="15" customHeight="1" s="30">
      <c r="A18" s="48" t="n"/>
      <c r="B18" s="52" t="n"/>
      <c r="C18" s="48" t="n"/>
      <c r="D18" s="35">
        <f>IFERROR(INDEX('Hợp đồng'!$E$4:$E$203,MATCH($C18,'Hợp đồng'!$A$4:$A$203,0)),"")</f>
        <v/>
      </c>
      <c r="E18" s="50" t="n"/>
      <c r="F18" s="48" t="n"/>
      <c r="G18" s="48" t="n"/>
      <c r="H18" s="54">
        <f>IFERROR(MONTH($B18),"")</f>
        <v/>
      </c>
      <c r="I18" s="54">
        <f>IFERROR(YEAR($B18),"")</f>
        <v/>
      </c>
    </row>
    <row r="19" ht="15" customHeight="1" s="30">
      <c r="A19" s="48" t="n"/>
      <c r="B19" s="52" t="n"/>
      <c r="C19" s="48" t="n"/>
      <c r="D19" s="35">
        <f>IFERROR(INDEX('Hợp đồng'!$E$4:$E$203,MATCH($C19,'Hợp đồng'!$A$4:$A$203,0)),"")</f>
        <v/>
      </c>
      <c r="E19" s="50" t="n"/>
      <c r="F19" s="48" t="n"/>
      <c r="G19" s="48" t="n"/>
      <c r="H19" s="54">
        <f>IFERROR(MONTH($B19),"")</f>
        <v/>
      </c>
      <c r="I19" s="54">
        <f>IFERROR(YEAR($B19),"")</f>
        <v/>
      </c>
    </row>
    <row r="20" ht="15" customHeight="1" s="30">
      <c r="A20" s="48" t="n"/>
      <c r="B20" s="52" t="n"/>
      <c r="C20" s="48" t="n"/>
      <c r="D20" s="35">
        <f>IFERROR(INDEX('Hợp đồng'!$E$4:$E$203,MATCH($C20,'Hợp đồng'!$A$4:$A$203,0)),"")</f>
        <v/>
      </c>
      <c r="E20" s="50" t="n"/>
      <c r="F20" s="48" t="n"/>
      <c r="G20" s="48" t="n"/>
      <c r="H20" s="54">
        <f>IFERROR(MONTH($B20),"")</f>
        <v/>
      </c>
      <c r="I20" s="54">
        <f>IFERROR(YEAR($B20),"")</f>
        <v/>
      </c>
    </row>
    <row r="21" ht="15" customHeight="1" s="30">
      <c r="A21" s="48" t="n"/>
      <c r="B21" s="52" t="n"/>
      <c r="C21" s="48" t="n"/>
      <c r="D21" s="35">
        <f>IFERROR(INDEX('Hợp đồng'!$E$4:$E$203,MATCH($C21,'Hợp đồng'!$A$4:$A$203,0)),"")</f>
        <v/>
      </c>
      <c r="E21" s="50" t="n"/>
      <c r="F21" s="48" t="n"/>
      <c r="G21" s="48" t="n"/>
      <c r="H21" s="54">
        <f>IFERROR(MONTH($B21),"")</f>
        <v/>
      </c>
      <c r="I21" s="54">
        <f>IFERROR(YEAR($B21),"")</f>
        <v/>
      </c>
    </row>
    <row r="22" ht="15" customHeight="1" s="30">
      <c r="A22" s="48" t="n"/>
      <c r="B22" s="52" t="n"/>
      <c r="C22" s="48" t="n"/>
      <c r="D22" s="35">
        <f>IFERROR(INDEX('Hợp đồng'!$E$4:$E$203,MATCH($C22,'Hợp đồng'!$A$4:$A$203,0)),"")</f>
        <v/>
      </c>
      <c r="E22" s="50" t="n"/>
      <c r="F22" s="48" t="n"/>
      <c r="G22" s="48" t="n"/>
      <c r="H22" s="54">
        <f>IFERROR(MONTH($B22),"")</f>
        <v/>
      </c>
      <c r="I22" s="54">
        <f>IFERROR(YEAR($B22),"")</f>
        <v/>
      </c>
    </row>
    <row r="23" ht="15" customHeight="1" s="30">
      <c r="A23" s="48" t="n"/>
      <c r="B23" s="52" t="n"/>
      <c r="C23" s="48" t="n"/>
      <c r="D23" s="35">
        <f>IFERROR(INDEX('Hợp đồng'!$E$4:$E$203,MATCH($C23,'Hợp đồng'!$A$4:$A$203,0)),"")</f>
        <v/>
      </c>
      <c r="E23" s="50" t="n"/>
      <c r="F23" s="48" t="n"/>
      <c r="G23" s="48" t="n"/>
      <c r="H23" s="54">
        <f>IFERROR(MONTH($B23),"")</f>
        <v/>
      </c>
      <c r="I23" s="54">
        <f>IFERROR(YEAR($B23),"")</f>
        <v/>
      </c>
    </row>
    <row r="24" ht="15" customHeight="1" s="30">
      <c r="A24" s="48" t="n"/>
      <c r="B24" s="52" t="n"/>
      <c r="C24" s="48" t="n"/>
      <c r="D24" s="35">
        <f>IFERROR(INDEX('Hợp đồng'!$E$4:$E$203,MATCH($C24,'Hợp đồng'!$A$4:$A$203,0)),"")</f>
        <v/>
      </c>
      <c r="E24" s="50" t="n"/>
      <c r="F24" s="48" t="n"/>
      <c r="G24" s="48" t="n"/>
      <c r="H24" s="54">
        <f>IFERROR(MONTH($B24),"")</f>
        <v/>
      </c>
      <c r="I24" s="54">
        <f>IFERROR(YEAR($B24),"")</f>
        <v/>
      </c>
    </row>
    <row r="25" ht="15" customHeight="1" s="30">
      <c r="A25" s="48" t="n"/>
      <c r="B25" s="52" t="n"/>
      <c r="C25" s="48" t="n"/>
      <c r="D25" s="35">
        <f>IFERROR(INDEX('Hợp đồng'!$E$4:$E$203,MATCH($C25,'Hợp đồng'!$A$4:$A$203,0)),"")</f>
        <v/>
      </c>
      <c r="E25" s="50" t="n"/>
      <c r="F25" s="48" t="n"/>
      <c r="G25" s="48" t="n"/>
      <c r="H25" s="54">
        <f>IFERROR(MONTH($B25),"")</f>
        <v/>
      </c>
      <c r="I25" s="54">
        <f>IFERROR(YEAR($B25),"")</f>
        <v/>
      </c>
    </row>
    <row r="26" ht="15" customHeight="1" s="30">
      <c r="A26" s="48" t="n"/>
      <c r="B26" s="52" t="n"/>
      <c r="C26" s="48" t="n"/>
      <c r="D26" s="35">
        <f>IFERROR(INDEX('Hợp đồng'!$E$4:$E$203,MATCH($C26,'Hợp đồng'!$A$4:$A$203,0)),"")</f>
        <v/>
      </c>
      <c r="E26" s="50" t="n"/>
      <c r="F26" s="48" t="n"/>
      <c r="G26" s="48" t="n"/>
      <c r="H26" s="54">
        <f>IFERROR(MONTH($B26),"")</f>
        <v/>
      </c>
      <c r="I26" s="54">
        <f>IFERROR(YEAR($B26),"")</f>
        <v/>
      </c>
    </row>
    <row r="27" ht="15" customHeight="1" s="30">
      <c r="A27" s="48" t="n"/>
      <c r="B27" s="52" t="n"/>
      <c r="C27" s="48" t="n"/>
      <c r="D27" s="35">
        <f>IFERROR(INDEX('Hợp đồng'!$E$4:$E$203,MATCH($C27,'Hợp đồng'!$A$4:$A$203,0)),"")</f>
        <v/>
      </c>
      <c r="E27" s="50" t="n"/>
      <c r="F27" s="48" t="n"/>
      <c r="G27" s="48" t="n"/>
      <c r="H27" s="54">
        <f>IFERROR(MONTH($B27),"")</f>
        <v/>
      </c>
      <c r="I27" s="54">
        <f>IFERROR(YEAR($B27),"")</f>
        <v/>
      </c>
    </row>
    <row r="28" ht="15" customHeight="1" s="30">
      <c r="A28" s="48" t="n"/>
      <c r="B28" s="52" t="n"/>
      <c r="C28" s="48" t="n"/>
      <c r="D28" s="35">
        <f>IFERROR(INDEX('Hợp đồng'!$E$4:$E$203,MATCH($C28,'Hợp đồng'!$A$4:$A$203,0)),"")</f>
        <v/>
      </c>
      <c r="E28" s="50" t="n"/>
      <c r="F28" s="48" t="n"/>
      <c r="G28" s="48" t="n"/>
      <c r="H28" s="54">
        <f>IFERROR(MONTH($B28),"")</f>
        <v/>
      </c>
      <c r="I28" s="54">
        <f>IFERROR(YEAR($B28),"")</f>
        <v/>
      </c>
    </row>
    <row r="29" ht="15" customHeight="1" s="30">
      <c r="A29" s="48" t="n"/>
      <c r="B29" s="52" t="n"/>
      <c r="C29" s="48" t="n"/>
      <c r="D29" s="35">
        <f>IFERROR(INDEX('Hợp đồng'!$E$4:$E$203,MATCH($C29,'Hợp đồng'!$A$4:$A$203,0)),"")</f>
        <v/>
      </c>
      <c r="E29" s="50" t="n"/>
      <c r="F29" s="48" t="n"/>
      <c r="G29" s="48" t="n"/>
      <c r="H29" s="54">
        <f>IFERROR(MONTH($B29),"")</f>
        <v/>
      </c>
      <c r="I29" s="54">
        <f>IFERROR(YEAR($B29),"")</f>
        <v/>
      </c>
    </row>
    <row r="30" ht="15" customHeight="1" s="30">
      <c r="A30" s="48" t="n"/>
      <c r="B30" s="52" t="n"/>
      <c r="C30" s="48" t="n"/>
      <c r="D30" s="35">
        <f>IFERROR(INDEX('Hợp đồng'!$E$4:$E$203,MATCH($C30,'Hợp đồng'!$A$4:$A$203,0)),"")</f>
        <v/>
      </c>
      <c r="E30" s="50" t="n"/>
      <c r="F30" s="48" t="n"/>
      <c r="G30" s="48" t="n"/>
      <c r="H30" s="54">
        <f>IFERROR(MONTH($B30),"")</f>
        <v/>
      </c>
      <c r="I30" s="54">
        <f>IFERROR(YEAR($B30),"")</f>
        <v/>
      </c>
    </row>
    <row r="31" ht="15" customHeight="1" s="30">
      <c r="A31" s="48" t="n"/>
      <c r="B31" s="52" t="n"/>
      <c r="C31" s="48" t="n"/>
      <c r="D31" s="35">
        <f>IFERROR(INDEX('Hợp đồng'!$E$4:$E$203,MATCH($C31,'Hợp đồng'!$A$4:$A$203,0)),"")</f>
        <v/>
      </c>
      <c r="E31" s="50" t="n"/>
      <c r="F31" s="48" t="n"/>
      <c r="G31" s="48" t="n"/>
      <c r="H31" s="54">
        <f>IFERROR(MONTH($B31),"")</f>
        <v/>
      </c>
      <c r="I31" s="54">
        <f>IFERROR(YEAR($B31),"")</f>
        <v/>
      </c>
    </row>
    <row r="32" ht="15" customHeight="1" s="30">
      <c r="A32" s="48" t="n"/>
      <c r="B32" s="52" t="n"/>
      <c r="C32" s="48" t="n"/>
      <c r="D32" s="35">
        <f>IFERROR(INDEX('Hợp đồng'!$E$4:$E$203,MATCH($C32,'Hợp đồng'!$A$4:$A$203,0)),"")</f>
        <v/>
      </c>
      <c r="E32" s="50" t="n"/>
      <c r="F32" s="48" t="n"/>
      <c r="G32" s="48" t="n"/>
      <c r="H32" s="54">
        <f>IFERROR(MONTH($B32),"")</f>
        <v/>
      </c>
      <c r="I32" s="54">
        <f>IFERROR(YEAR($B32),"")</f>
        <v/>
      </c>
    </row>
    <row r="33" ht="15" customHeight="1" s="30">
      <c r="A33" s="48" t="n"/>
      <c r="B33" s="52" t="n"/>
      <c r="C33" s="48" t="n"/>
      <c r="D33" s="35">
        <f>IFERROR(INDEX('Hợp đồng'!$E$4:$E$203,MATCH($C33,'Hợp đồng'!$A$4:$A$203,0)),"")</f>
        <v/>
      </c>
      <c r="E33" s="50" t="n"/>
      <c r="F33" s="48" t="n"/>
      <c r="G33" s="48" t="n"/>
      <c r="H33" s="54">
        <f>IFERROR(MONTH($B33),"")</f>
        <v/>
      </c>
      <c r="I33" s="54">
        <f>IFERROR(YEAR($B33),"")</f>
        <v/>
      </c>
    </row>
    <row r="34" ht="15" customHeight="1" s="30">
      <c r="A34" s="48" t="n"/>
      <c r="B34" s="52" t="n"/>
      <c r="C34" s="48" t="n"/>
      <c r="D34" s="35">
        <f>IFERROR(INDEX('Hợp đồng'!$E$4:$E$203,MATCH($C34,'Hợp đồng'!$A$4:$A$203,0)),"")</f>
        <v/>
      </c>
      <c r="E34" s="50" t="n"/>
      <c r="F34" s="48" t="n"/>
      <c r="G34" s="48" t="n"/>
      <c r="H34" s="54">
        <f>IFERROR(MONTH($B34),"")</f>
        <v/>
      </c>
      <c r="I34" s="54">
        <f>IFERROR(YEAR($B34),"")</f>
        <v/>
      </c>
    </row>
    <row r="35" ht="15" customHeight="1" s="30">
      <c r="A35" s="48" t="n"/>
      <c r="B35" s="52" t="n"/>
      <c r="C35" s="48" t="n"/>
      <c r="D35" s="35">
        <f>IFERROR(INDEX('Hợp đồng'!$E$4:$E$203,MATCH($C35,'Hợp đồng'!$A$4:$A$203,0)),"")</f>
        <v/>
      </c>
      <c r="E35" s="50" t="n"/>
      <c r="F35" s="48" t="n"/>
      <c r="G35" s="48" t="n"/>
      <c r="H35" s="54">
        <f>IFERROR(MONTH($B35),"")</f>
        <v/>
      </c>
      <c r="I35" s="54">
        <f>IFERROR(YEAR($B35),"")</f>
        <v/>
      </c>
    </row>
    <row r="36" ht="15" customHeight="1" s="30">
      <c r="A36" s="48" t="n"/>
      <c r="B36" s="52" t="n"/>
      <c r="C36" s="48" t="n"/>
      <c r="D36" s="35">
        <f>IFERROR(INDEX('Hợp đồng'!$E$4:$E$203,MATCH($C36,'Hợp đồng'!$A$4:$A$203,0)),"")</f>
        <v/>
      </c>
      <c r="E36" s="50" t="n"/>
      <c r="F36" s="48" t="n"/>
      <c r="G36" s="48" t="n"/>
      <c r="H36" s="54">
        <f>IFERROR(MONTH($B36),"")</f>
        <v/>
      </c>
      <c r="I36" s="54">
        <f>IFERROR(YEAR($B36),"")</f>
        <v/>
      </c>
    </row>
    <row r="37" ht="15" customHeight="1" s="30">
      <c r="A37" s="48" t="n"/>
      <c r="B37" s="52" t="n"/>
      <c r="C37" s="48" t="n"/>
      <c r="D37" s="35">
        <f>IFERROR(INDEX('Hợp đồng'!$E$4:$E$203,MATCH($C37,'Hợp đồng'!$A$4:$A$203,0)),"")</f>
        <v/>
      </c>
      <c r="E37" s="50" t="n"/>
      <c r="F37" s="48" t="n"/>
      <c r="G37" s="48" t="n"/>
      <c r="H37" s="54">
        <f>IFERROR(MONTH($B37),"")</f>
        <v/>
      </c>
      <c r="I37" s="54">
        <f>IFERROR(YEAR($B37),"")</f>
        <v/>
      </c>
    </row>
    <row r="38" ht="15" customHeight="1" s="30">
      <c r="A38" s="48" t="n"/>
      <c r="B38" s="52" t="n"/>
      <c r="C38" s="48" t="n"/>
      <c r="D38" s="35">
        <f>IFERROR(INDEX('Hợp đồng'!$E$4:$E$203,MATCH($C38,'Hợp đồng'!$A$4:$A$203,0)),"")</f>
        <v/>
      </c>
      <c r="E38" s="50" t="n"/>
      <c r="F38" s="48" t="n"/>
      <c r="G38" s="48" t="n"/>
      <c r="H38" s="54">
        <f>IFERROR(MONTH($B38),"")</f>
        <v/>
      </c>
      <c r="I38" s="54">
        <f>IFERROR(YEAR($B38),"")</f>
        <v/>
      </c>
    </row>
    <row r="39" ht="15" customHeight="1" s="30">
      <c r="A39" s="48" t="n"/>
      <c r="B39" s="52" t="n"/>
      <c r="C39" s="48" t="n"/>
      <c r="D39" s="35">
        <f>IFERROR(INDEX('Hợp đồng'!$E$4:$E$203,MATCH($C39,'Hợp đồng'!$A$4:$A$203,0)),"")</f>
        <v/>
      </c>
      <c r="E39" s="50" t="n"/>
      <c r="F39" s="48" t="n"/>
      <c r="G39" s="48" t="n"/>
      <c r="H39" s="54">
        <f>IFERROR(MONTH($B39),"")</f>
        <v/>
      </c>
      <c r="I39" s="54">
        <f>IFERROR(YEAR($B39),"")</f>
        <v/>
      </c>
    </row>
    <row r="40" ht="15" customHeight="1" s="30">
      <c r="A40" s="48" t="n"/>
      <c r="B40" s="52" t="n"/>
      <c r="C40" s="48" t="n"/>
      <c r="D40" s="35">
        <f>IFERROR(INDEX('Hợp đồng'!$E$4:$E$203,MATCH($C40,'Hợp đồng'!$A$4:$A$203,0)),"")</f>
        <v/>
      </c>
      <c r="E40" s="50" t="n"/>
      <c r="F40" s="48" t="n"/>
      <c r="G40" s="48" t="n"/>
      <c r="H40" s="54">
        <f>IFERROR(MONTH($B40),"")</f>
        <v/>
      </c>
      <c r="I40" s="54">
        <f>IFERROR(YEAR($B40),"")</f>
        <v/>
      </c>
    </row>
    <row r="41" ht="15" customHeight="1" s="30">
      <c r="A41" s="48" t="n"/>
      <c r="B41" s="52" t="n"/>
      <c r="C41" s="48" t="n"/>
      <c r="D41" s="35">
        <f>IFERROR(INDEX('Hợp đồng'!$E$4:$E$203,MATCH($C41,'Hợp đồng'!$A$4:$A$203,0)),"")</f>
        <v/>
      </c>
      <c r="E41" s="50" t="n"/>
      <c r="F41" s="48" t="n"/>
      <c r="G41" s="48" t="n"/>
      <c r="H41" s="54">
        <f>IFERROR(MONTH($B41),"")</f>
        <v/>
      </c>
      <c r="I41" s="54">
        <f>IFERROR(YEAR($B41),"")</f>
        <v/>
      </c>
    </row>
    <row r="42" ht="15" customHeight="1" s="30">
      <c r="A42" s="48" t="n"/>
      <c r="B42" s="52" t="n"/>
      <c r="C42" s="48" t="n"/>
      <c r="D42" s="35">
        <f>IFERROR(INDEX('Hợp đồng'!$E$4:$E$203,MATCH($C42,'Hợp đồng'!$A$4:$A$203,0)),"")</f>
        <v/>
      </c>
      <c r="E42" s="50" t="n"/>
      <c r="F42" s="48" t="n"/>
      <c r="G42" s="48" t="n"/>
      <c r="H42" s="54">
        <f>IFERROR(MONTH($B42),"")</f>
        <v/>
      </c>
      <c r="I42" s="54">
        <f>IFERROR(YEAR($B42),"")</f>
        <v/>
      </c>
    </row>
    <row r="43" ht="15" customHeight="1" s="30">
      <c r="A43" s="48" t="n"/>
      <c r="B43" s="52" t="n"/>
      <c r="C43" s="48" t="n"/>
      <c r="D43" s="35">
        <f>IFERROR(INDEX('Hợp đồng'!$E$4:$E$203,MATCH($C43,'Hợp đồng'!$A$4:$A$203,0)),"")</f>
        <v/>
      </c>
      <c r="E43" s="50" t="n"/>
      <c r="F43" s="48" t="n"/>
      <c r="G43" s="48" t="n"/>
      <c r="H43" s="54">
        <f>IFERROR(MONTH($B43),"")</f>
        <v/>
      </c>
      <c r="I43" s="54">
        <f>IFERROR(YEAR($B43),"")</f>
        <v/>
      </c>
    </row>
    <row r="44" ht="15" customHeight="1" s="30">
      <c r="A44" s="48" t="n"/>
      <c r="B44" s="52" t="n"/>
      <c r="C44" s="48" t="n"/>
      <c r="D44" s="35">
        <f>IFERROR(INDEX('Hợp đồng'!$E$4:$E$203,MATCH($C44,'Hợp đồng'!$A$4:$A$203,0)),"")</f>
        <v/>
      </c>
      <c r="E44" s="50" t="n"/>
      <c r="F44" s="48" t="n"/>
      <c r="G44" s="48" t="n"/>
      <c r="H44" s="54">
        <f>IFERROR(MONTH($B44),"")</f>
        <v/>
      </c>
      <c r="I44" s="54">
        <f>IFERROR(YEAR($B44),"")</f>
        <v/>
      </c>
    </row>
    <row r="45" ht="15" customHeight="1" s="30">
      <c r="A45" s="48" t="n"/>
      <c r="B45" s="52" t="n"/>
      <c r="C45" s="48" t="n"/>
      <c r="D45" s="35">
        <f>IFERROR(INDEX('Hợp đồng'!$E$4:$E$203,MATCH($C45,'Hợp đồng'!$A$4:$A$203,0)),"")</f>
        <v/>
      </c>
      <c r="E45" s="50" t="n"/>
      <c r="F45" s="48" t="n"/>
      <c r="G45" s="48" t="n"/>
      <c r="H45" s="54">
        <f>IFERROR(MONTH($B45),"")</f>
        <v/>
      </c>
      <c r="I45" s="54">
        <f>IFERROR(YEAR($B45),"")</f>
        <v/>
      </c>
    </row>
    <row r="46" ht="15" customHeight="1" s="30">
      <c r="A46" s="48" t="n"/>
      <c r="B46" s="52" t="n"/>
      <c r="C46" s="48" t="n"/>
      <c r="D46" s="35">
        <f>IFERROR(INDEX('Hợp đồng'!$E$4:$E$203,MATCH($C46,'Hợp đồng'!$A$4:$A$203,0)),"")</f>
        <v/>
      </c>
      <c r="E46" s="50" t="n"/>
      <c r="F46" s="48" t="n"/>
      <c r="G46" s="48" t="n"/>
      <c r="H46" s="54">
        <f>IFERROR(MONTH($B46),"")</f>
        <v/>
      </c>
      <c r="I46" s="54">
        <f>IFERROR(YEAR($B46),"")</f>
        <v/>
      </c>
    </row>
    <row r="47" ht="15" customHeight="1" s="30">
      <c r="A47" s="48" t="n"/>
      <c r="B47" s="52" t="n"/>
      <c r="C47" s="48" t="n"/>
      <c r="D47" s="35">
        <f>IFERROR(INDEX('Hợp đồng'!$E$4:$E$203,MATCH($C47,'Hợp đồng'!$A$4:$A$203,0)),"")</f>
        <v/>
      </c>
      <c r="E47" s="50" t="n"/>
      <c r="F47" s="48" t="n"/>
      <c r="G47" s="48" t="n"/>
      <c r="H47" s="54">
        <f>IFERROR(MONTH($B47),"")</f>
        <v/>
      </c>
      <c r="I47" s="54">
        <f>IFERROR(YEAR($B47),"")</f>
        <v/>
      </c>
    </row>
    <row r="48" ht="15" customHeight="1" s="30">
      <c r="A48" s="48" t="n"/>
      <c r="B48" s="52" t="n"/>
      <c r="C48" s="48" t="n"/>
      <c r="D48" s="35">
        <f>IFERROR(INDEX('Hợp đồng'!$E$4:$E$203,MATCH($C48,'Hợp đồng'!$A$4:$A$203,0)),"")</f>
        <v/>
      </c>
      <c r="E48" s="50" t="n"/>
      <c r="F48" s="48" t="n"/>
      <c r="G48" s="48" t="n"/>
      <c r="H48" s="54">
        <f>IFERROR(MONTH($B48),"")</f>
        <v/>
      </c>
      <c r="I48" s="54">
        <f>IFERROR(YEAR($B48),"")</f>
        <v/>
      </c>
    </row>
    <row r="49" ht="15" customHeight="1" s="30">
      <c r="A49" s="48" t="n"/>
      <c r="B49" s="52" t="n"/>
      <c r="C49" s="48" t="n"/>
      <c r="D49" s="35">
        <f>IFERROR(INDEX('Hợp đồng'!$E$4:$E$203,MATCH($C49,'Hợp đồng'!$A$4:$A$203,0)),"")</f>
        <v/>
      </c>
      <c r="E49" s="50" t="n"/>
      <c r="F49" s="48" t="n"/>
      <c r="G49" s="48" t="n"/>
      <c r="H49" s="54">
        <f>IFERROR(MONTH($B49),"")</f>
        <v/>
      </c>
      <c r="I49" s="54">
        <f>IFERROR(YEAR($B49),"")</f>
        <v/>
      </c>
    </row>
    <row r="50" ht="15" customHeight="1" s="30">
      <c r="A50" s="48" t="n"/>
      <c r="B50" s="52" t="n"/>
      <c r="C50" s="48" t="n"/>
      <c r="D50" s="35">
        <f>IFERROR(INDEX('Hợp đồng'!$E$4:$E$203,MATCH($C50,'Hợp đồng'!$A$4:$A$203,0)),"")</f>
        <v/>
      </c>
      <c r="E50" s="50" t="n"/>
      <c r="F50" s="48" t="n"/>
      <c r="G50" s="48" t="n"/>
      <c r="H50" s="54">
        <f>IFERROR(MONTH($B50),"")</f>
        <v/>
      </c>
      <c r="I50" s="54">
        <f>IFERROR(YEAR($B50),"")</f>
        <v/>
      </c>
    </row>
    <row r="51" ht="15" customHeight="1" s="30">
      <c r="A51" s="48" t="n"/>
      <c r="B51" s="52" t="n"/>
      <c r="C51" s="48" t="n"/>
      <c r="D51" s="35">
        <f>IFERROR(INDEX('Hợp đồng'!$E$4:$E$203,MATCH($C51,'Hợp đồng'!$A$4:$A$203,0)),"")</f>
        <v/>
      </c>
      <c r="E51" s="50" t="n"/>
      <c r="F51" s="48" t="n"/>
      <c r="G51" s="48" t="n"/>
      <c r="H51" s="54">
        <f>IFERROR(MONTH($B51),"")</f>
        <v/>
      </c>
      <c r="I51" s="54">
        <f>IFERROR(YEAR($B51),"")</f>
        <v/>
      </c>
    </row>
    <row r="52" ht="15" customHeight="1" s="30">
      <c r="A52" s="48" t="n"/>
      <c r="B52" s="52" t="n"/>
      <c r="C52" s="48" t="n"/>
      <c r="D52" s="35">
        <f>IFERROR(INDEX('Hợp đồng'!$E$4:$E$203,MATCH($C52,'Hợp đồng'!$A$4:$A$203,0)),"")</f>
        <v/>
      </c>
      <c r="E52" s="50" t="n"/>
      <c r="F52" s="48" t="n"/>
      <c r="G52" s="48" t="n"/>
      <c r="H52" s="54">
        <f>IFERROR(MONTH($B52),"")</f>
        <v/>
      </c>
      <c r="I52" s="54">
        <f>IFERROR(YEAR($B52),"")</f>
        <v/>
      </c>
    </row>
    <row r="53" ht="15" customHeight="1" s="30">
      <c r="A53" s="48" t="n"/>
      <c r="B53" s="52" t="n"/>
      <c r="C53" s="48" t="n"/>
      <c r="D53" s="35">
        <f>IFERROR(INDEX('Hợp đồng'!$E$4:$E$203,MATCH($C53,'Hợp đồng'!$A$4:$A$203,0)),"")</f>
        <v/>
      </c>
      <c r="E53" s="50" t="n"/>
      <c r="F53" s="48" t="n"/>
      <c r="G53" s="48" t="n"/>
      <c r="H53" s="54">
        <f>IFERROR(MONTH($B53),"")</f>
        <v/>
      </c>
      <c r="I53" s="54">
        <f>IFERROR(YEAR($B53),"")</f>
        <v/>
      </c>
    </row>
    <row r="54" ht="15" customHeight="1" s="30">
      <c r="A54" s="48" t="n"/>
      <c r="B54" s="52" t="n"/>
      <c r="C54" s="48" t="n"/>
      <c r="D54" s="35">
        <f>IFERROR(INDEX('Hợp đồng'!$E$4:$E$203,MATCH($C54,'Hợp đồng'!$A$4:$A$203,0)),"")</f>
        <v/>
      </c>
      <c r="E54" s="50" t="n"/>
      <c r="F54" s="48" t="n"/>
      <c r="G54" s="48" t="n"/>
      <c r="H54" s="54">
        <f>IFERROR(MONTH($B54),"")</f>
        <v/>
      </c>
      <c r="I54" s="54">
        <f>IFERROR(YEAR($B54),"")</f>
        <v/>
      </c>
    </row>
    <row r="55" ht="15" customHeight="1" s="30">
      <c r="A55" s="48" t="n"/>
      <c r="B55" s="52" t="n"/>
      <c r="C55" s="48" t="n"/>
      <c r="D55" s="35">
        <f>IFERROR(INDEX('Hợp đồng'!$E$4:$E$203,MATCH($C55,'Hợp đồng'!$A$4:$A$203,0)),"")</f>
        <v/>
      </c>
      <c r="E55" s="50" t="n"/>
      <c r="F55" s="48" t="n"/>
      <c r="G55" s="48" t="n"/>
      <c r="H55" s="54">
        <f>IFERROR(MONTH($B55),"")</f>
        <v/>
      </c>
      <c r="I55" s="54">
        <f>IFERROR(YEAR($B55),"")</f>
        <v/>
      </c>
    </row>
    <row r="56" ht="15" customHeight="1" s="30">
      <c r="A56" s="48" t="n"/>
      <c r="B56" s="52" t="n"/>
      <c r="C56" s="48" t="n"/>
      <c r="D56" s="35">
        <f>IFERROR(INDEX('Hợp đồng'!$E$4:$E$203,MATCH($C56,'Hợp đồng'!$A$4:$A$203,0)),"")</f>
        <v/>
      </c>
      <c r="E56" s="50" t="n"/>
      <c r="F56" s="48" t="n"/>
      <c r="G56" s="48" t="n"/>
      <c r="H56" s="54">
        <f>IFERROR(MONTH($B56),"")</f>
        <v/>
      </c>
      <c r="I56" s="54">
        <f>IFERROR(YEAR($B56),"")</f>
        <v/>
      </c>
    </row>
    <row r="57" ht="15" customHeight="1" s="30">
      <c r="A57" s="48" t="n"/>
      <c r="B57" s="52" t="n"/>
      <c r="C57" s="48" t="n"/>
      <c r="D57" s="35">
        <f>IFERROR(INDEX('Hợp đồng'!$E$4:$E$203,MATCH($C57,'Hợp đồng'!$A$4:$A$203,0)),"")</f>
        <v/>
      </c>
      <c r="E57" s="50" t="n"/>
      <c r="F57" s="48" t="n"/>
      <c r="G57" s="48" t="n"/>
      <c r="H57" s="54">
        <f>IFERROR(MONTH($B57),"")</f>
        <v/>
      </c>
      <c r="I57" s="54">
        <f>IFERROR(YEAR($B57),"")</f>
        <v/>
      </c>
    </row>
    <row r="58" ht="15" customHeight="1" s="30">
      <c r="A58" s="48" t="n"/>
      <c r="B58" s="52" t="n"/>
      <c r="C58" s="48" t="n"/>
      <c r="D58" s="35">
        <f>IFERROR(INDEX('Hợp đồng'!$E$4:$E$203,MATCH($C58,'Hợp đồng'!$A$4:$A$203,0)),"")</f>
        <v/>
      </c>
      <c r="E58" s="50" t="n"/>
      <c r="F58" s="48" t="n"/>
      <c r="G58" s="48" t="n"/>
      <c r="H58" s="54">
        <f>IFERROR(MONTH($B58),"")</f>
        <v/>
      </c>
      <c r="I58" s="54">
        <f>IFERROR(YEAR($B58),"")</f>
        <v/>
      </c>
    </row>
    <row r="59" ht="15" customHeight="1" s="30">
      <c r="A59" s="48" t="n"/>
      <c r="B59" s="52" t="n"/>
      <c r="C59" s="48" t="n"/>
      <c r="D59" s="35">
        <f>IFERROR(INDEX('Hợp đồng'!$E$4:$E$203,MATCH($C59,'Hợp đồng'!$A$4:$A$203,0)),"")</f>
        <v/>
      </c>
      <c r="E59" s="50" t="n"/>
      <c r="F59" s="48" t="n"/>
      <c r="G59" s="48" t="n"/>
      <c r="H59" s="54">
        <f>IFERROR(MONTH($B59),"")</f>
        <v/>
      </c>
      <c r="I59" s="54">
        <f>IFERROR(YEAR($B59),"")</f>
        <v/>
      </c>
    </row>
    <row r="60" ht="15" customHeight="1" s="30">
      <c r="A60" s="48" t="n"/>
      <c r="B60" s="52" t="n"/>
      <c r="C60" s="48" t="n"/>
      <c r="D60" s="35">
        <f>IFERROR(INDEX('Hợp đồng'!$E$4:$E$203,MATCH($C60,'Hợp đồng'!$A$4:$A$203,0)),"")</f>
        <v/>
      </c>
      <c r="E60" s="50" t="n"/>
      <c r="F60" s="48" t="n"/>
      <c r="G60" s="48" t="n"/>
      <c r="H60" s="54">
        <f>IFERROR(MONTH($B60),"")</f>
        <v/>
      </c>
      <c r="I60" s="54">
        <f>IFERROR(YEAR($B60),"")</f>
        <v/>
      </c>
    </row>
    <row r="61" ht="15" customHeight="1" s="30">
      <c r="A61" s="48" t="n"/>
      <c r="B61" s="52" t="n"/>
      <c r="C61" s="48" t="n"/>
      <c r="D61" s="35">
        <f>IFERROR(INDEX('Hợp đồng'!$E$4:$E$203,MATCH($C61,'Hợp đồng'!$A$4:$A$203,0)),"")</f>
        <v/>
      </c>
      <c r="E61" s="50" t="n"/>
      <c r="F61" s="48" t="n"/>
      <c r="G61" s="48" t="n"/>
      <c r="H61" s="54">
        <f>IFERROR(MONTH($B61),"")</f>
        <v/>
      </c>
      <c r="I61" s="54">
        <f>IFERROR(YEAR($B61),"")</f>
        <v/>
      </c>
    </row>
    <row r="62" ht="15" customHeight="1" s="30">
      <c r="A62" s="48" t="n"/>
      <c r="B62" s="52" t="n"/>
      <c r="C62" s="48" t="n"/>
      <c r="D62" s="35">
        <f>IFERROR(INDEX('Hợp đồng'!$E$4:$E$203,MATCH($C62,'Hợp đồng'!$A$4:$A$203,0)),"")</f>
        <v/>
      </c>
      <c r="E62" s="50" t="n"/>
      <c r="F62" s="48" t="n"/>
      <c r="G62" s="48" t="n"/>
      <c r="H62" s="54">
        <f>IFERROR(MONTH($B62),"")</f>
        <v/>
      </c>
      <c r="I62" s="54">
        <f>IFERROR(YEAR($B62),"")</f>
        <v/>
      </c>
    </row>
    <row r="63" ht="15" customHeight="1" s="30">
      <c r="A63" s="48" t="n"/>
      <c r="B63" s="52" t="n"/>
      <c r="C63" s="48" t="n"/>
      <c r="D63" s="35">
        <f>IFERROR(INDEX('Hợp đồng'!$E$4:$E$203,MATCH($C63,'Hợp đồng'!$A$4:$A$203,0)),"")</f>
        <v/>
      </c>
      <c r="E63" s="50" t="n"/>
      <c r="F63" s="48" t="n"/>
      <c r="G63" s="48" t="n"/>
      <c r="H63" s="54">
        <f>IFERROR(MONTH($B63),"")</f>
        <v/>
      </c>
      <c r="I63" s="54">
        <f>IFERROR(YEAR($B63),"")</f>
        <v/>
      </c>
    </row>
    <row r="64" ht="15" customHeight="1" s="30">
      <c r="A64" s="48" t="n"/>
      <c r="B64" s="52" t="n"/>
      <c r="C64" s="48" t="n"/>
      <c r="D64" s="35">
        <f>IFERROR(INDEX('Hợp đồng'!$E$4:$E$203,MATCH($C64,'Hợp đồng'!$A$4:$A$203,0)),"")</f>
        <v/>
      </c>
      <c r="E64" s="50" t="n"/>
      <c r="F64" s="48" t="n"/>
      <c r="G64" s="48" t="n"/>
      <c r="H64" s="54">
        <f>IFERROR(MONTH($B64),"")</f>
        <v/>
      </c>
      <c r="I64" s="54">
        <f>IFERROR(YEAR($B64),"")</f>
        <v/>
      </c>
    </row>
    <row r="65" ht="15" customHeight="1" s="30">
      <c r="A65" s="48" t="n"/>
      <c r="B65" s="52" t="n"/>
      <c r="C65" s="48" t="n"/>
      <c r="D65" s="35">
        <f>IFERROR(INDEX('Hợp đồng'!$E$4:$E$203,MATCH($C65,'Hợp đồng'!$A$4:$A$203,0)),"")</f>
        <v/>
      </c>
      <c r="E65" s="50" t="n"/>
      <c r="F65" s="48" t="n"/>
      <c r="G65" s="48" t="n"/>
      <c r="H65" s="54">
        <f>IFERROR(MONTH($B65),"")</f>
        <v/>
      </c>
      <c r="I65" s="54">
        <f>IFERROR(YEAR($B65),"")</f>
        <v/>
      </c>
    </row>
    <row r="66" ht="15" customHeight="1" s="30">
      <c r="A66" s="48" t="n"/>
      <c r="B66" s="52" t="n"/>
      <c r="C66" s="48" t="n"/>
      <c r="D66" s="35">
        <f>IFERROR(INDEX('Hợp đồng'!$E$4:$E$203,MATCH($C66,'Hợp đồng'!$A$4:$A$203,0)),"")</f>
        <v/>
      </c>
      <c r="E66" s="50" t="n"/>
      <c r="F66" s="48" t="n"/>
      <c r="G66" s="48" t="n"/>
      <c r="H66" s="54">
        <f>IFERROR(MONTH($B66),"")</f>
        <v/>
      </c>
      <c r="I66" s="54">
        <f>IFERROR(YEAR($B66),"")</f>
        <v/>
      </c>
    </row>
    <row r="67" ht="15" customHeight="1" s="30">
      <c r="A67" s="48" t="n"/>
      <c r="B67" s="52" t="n"/>
      <c r="C67" s="48" t="n"/>
      <c r="D67" s="35">
        <f>IFERROR(INDEX('Hợp đồng'!$E$4:$E$203,MATCH($C67,'Hợp đồng'!$A$4:$A$203,0)),"")</f>
        <v/>
      </c>
      <c r="E67" s="50" t="n"/>
      <c r="F67" s="48" t="n"/>
      <c r="G67" s="48" t="n"/>
      <c r="H67" s="54">
        <f>IFERROR(MONTH($B67),"")</f>
        <v/>
      </c>
      <c r="I67" s="54">
        <f>IFERROR(YEAR($B67),"")</f>
        <v/>
      </c>
    </row>
    <row r="68" ht="15" customHeight="1" s="30">
      <c r="A68" s="48" t="n"/>
      <c r="B68" s="52" t="n"/>
      <c r="C68" s="48" t="n"/>
      <c r="D68" s="35">
        <f>IFERROR(INDEX('Hợp đồng'!$E$4:$E$203,MATCH($C68,'Hợp đồng'!$A$4:$A$203,0)),"")</f>
        <v/>
      </c>
      <c r="E68" s="50" t="n"/>
      <c r="F68" s="48" t="n"/>
      <c r="G68" s="48" t="n"/>
      <c r="H68" s="54">
        <f>IFERROR(MONTH($B68),"")</f>
        <v/>
      </c>
      <c r="I68" s="54">
        <f>IFERROR(YEAR($B68),"")</f>
        <v/>
      </c>
    </row>
    <row r="69" ht="15" customHeight="1" s="30">
      <c r="A69" s="48" t="n"/>
      <c r="B69" s="52" t="n"/>
      <c r="C69" s="48" t="n"/>
      <c r="D69" s="35">
        <f>IFERROR(INDEX('Hợp đồng'!$E$4:$E$203,MATCH($C69,'Hợp đồng'!$A$4:$A$203,0)),"")</f>
        <v/>
      </c>
      <c r="E69" s="50" t="n"/>
      <c r="F69" s="48" t="n"/>
      <c r="G69" s="48" t="n"/>
      <c r="H69" s="54">
        <f>IFERROR(MONTH($B69),"")</f>
        <v/>
      </c>
      <c r="I69" s="54">
        <f>IFERROR(YEAR($B69),"")</f>
        <v/>
      </c>
    </row>
    <row r="70" ht="15" customHeight="1" s="30">
      <c r="A70" s="48" t="n"/>
      <c r="B70" s="52" t="n"/>
      <c r="C70" s="48" t="n"/>
      <c r="D70" s="35">
        <f>IFERROR(INDEX('Hợp đồng'!$E$4:$E$203,MATCH($C70,'Hợp đồng'!$A$4:$A$203,0)),"")</f>
        <v/>
      </c>
      <c r="E70" s="50" t="n"/>
      <c r="F70" s="48" t="n"/>
      <c r="G70" s="48" t="n"/>
      <c r="H70" s="54">
        <f>IFERROR(MONTH($B70),"")</f>
        <v/>
      </c>
      <c r="I70" s="54">
        <f>IFERROR(YEAR($B70),"")</f>
        <v/>
      </c>
    </row>
    <row r="71" ht="15" customHeight="1" s="30">
      <c r="A71" s="48" t="n"/>
      <c r="B71" s="52" t="n"/>
      <c r="C71" s="48" t="n"/>
      <c r="D71" s="35">
        <f>IFERROR(INDEX('Hợp đồng'!$E$4:$E$203,MATCH($C71,'Hợp đồng'!$A$4:$A$203,0)),"")</f>
        <v/>
      </c>
      <c r="E71" s="50" t="n"/>
      <c r="F71" s="48" t="n"/>
      <c r="G71" s="48" t="n"/>
      <c r="H71" s="54">
        <f>IFERROR(MONTH($B71),"")</f>
        <v/>
      </c>
      <c r="I71" s="54">
        <f>IFERROR(YEAR($B71),"")</f>
        <v/>
      </c>
    </row>
    <row r="72" ht="15" customHeight="1" s="30">
      <c r="A72" s="48" t="n"/>
      <c r="B72" s="52" t="n"/>
      <c r="C72" s="48" t="n"/>
      <c r="D72" s="35">
        <f>IFERROR(INDEX('Hợp đồng'!$E$4:$E$203,MATCH($C72,'Hợp đồng'!$A$4:$A$203,0)),"")</f>
        <v/>
      </c>
      <c r="E72" s="50" t="n"/>
      <c r="F72" s="48" t="n"/>
      <c r="G72" s="48" t="n"/>
      <c r="H72" s="54">
        <f>IFERROR(MONTH($B72),"")</f>
        <v/>
      </c>
      <c r="I72" s="54">
        <f>IFERROR(YEAR($B72),"")</f>
        <v/>
      </c>
    </row>
    <row r="73" ht="15" customHeight="1" s="30">
      <c r="A73" s="48" t="n"/>
      <c r="B73" s="52" t="n"/>
      <c r="C73" s="48" t="n"/>
      <c r="D73" s="35">
        <f>IFERROR(INDEX('Hợp đồng'!$E$4:$E$203,MATCH($C73,'Hợp đồng'!$A$4:$A$203,0)),"")</f>
        <v/>
      </c>
      <c r="E73" s="50" t="n"/>
      <c r="F73" s="48" t="n"/>
      <c r="G73" s="48" t="n"/>
      <c r="H73" s="54">
        <f>IFERROR(MONTH($B73),"")</f>
        <v/>
      </c>
      <c r="I73" s="54">
        <f>IFERROR(YEAR($B73),"")</f>
        <v/>
      </c>
    </row>
    <row r="74" ht="15" customHeight="1" s="30">
      <c r="A74" s="48" t="n"/>
      <c r="B74" s="52" t="n"/>
      <c r="C74" s="48" t="n"/>
      <c r="D74" s="35">
        <f>IFERROR(INDEX('Hợp đồng'!$E$4:$E$203,MATCH($C74,'Hợp đồng'!$A$4:$A$203,0)),"")</f>
        <v/>
      </c>
      <c r="E74" s="50" t="n"/>
      <c r="F74" s="48" t="n"/>
      <c r="G74" s="48" t="n"/>
      <c r="H74" s="54">
        <f>IFERROR(MONTH($B74),"")</f>
        <v/>
      </c>
      <c r="I74" s="54">
        <f>IFERROR(YEAR($B74),"")</f>
        <v/>
      </c>
    </row>
    <row r="75" ht="15" customHeight="1" s="30">
      <c r="A75" s="48" t="n"/>
      <c r="B75" s="52" t="n"/>
      <c r="C75" s="48" t="n"/>
      <c r="D75" s="35">
        <f>IFERROR(INDEX('Hợp đồng'!$E$4:$E$203,MATCH($C75,'Hợp đồng'!$A$4:$A$203,0)),"")</f>
        <v/>
      </c>
      <c r="E75" s="50" t="n"/>
      <c r="F75" s="48" t="n"/>
      <c r="G75" s="48" t="n"/>
      <c r="H75" s="54">
        <f>IFERROR(MONTH($B75),"")</f>
        <v/>
      </c>
      <c r="I75" s="54">
        <f>IFERROR(YEAR($B75),"")</f>
        <v/>
      </c>
    </row>
    <row r="76" ht="15" customHeight="1" s="30">
      <c r="A76" s="48" t="n"/>
      <c r="B76" s="52" t="n"/>
      <c r="C76" s="48" t="n"/>
      <c r="D76" s="35">
        <f>IFERROR(INDEX('Hợp đồng'!$E$4:$E$203,MATCH($C76,'Hợp đồng'!$A$4:$A$203,0)),"")</f>
        <v/>
      </c>
      <c r="E76" s="50" t="n"/>
      <c r="F76" s="48" t="n"/>
      <c r="G76" s="48" t="n"/>
      <c r="H76" s="54">
        <f>IFERROR(MONTH($B76),"")</f>
        <v/>
      </c>
      <c r="I76" s="54">
        <f>IFERROR(YEAR($B76),"")</f>
        <v/>
      </c>
    </row>
    <row r="77" ht="15" customHeight="1" s="30">
      <c r="A77" s="48" t="n"/>
      <c r="B77" s="52" t="n"/>
      <c r="C77" s="48" t="n"/>
      <c r="D77" s="35">
        <f>IFERROR(INDEX('Hợp đồng'!$E$4:$E$203,MATCH($C77,'Hợp đồng'!$A$4:$A$203,0)),"")</f>
        <v/>
      </c>
      <c r="E77" s="50" t="n"/>
      <c r="F77" s="48" t="n"/>
      <c r="G77" s="48" t="n"/>
      <c r="H77" s="54">
        <f>IFERROR(MONTH($B77),"")</f>
        <v/>
      </c>
      <c r="I77" s="54">
        <f>IFERROR(YEAR($B77),"")</f>
        <v/>
      </c>
    </row>
    <row r="78" ht="15" customHeight="1" s="30">
      <c r="A78" s="48" t="n"/>
      <c r="B78" s="52" t="n"/>
      <c r="C78" s="48" t="n"/>
      <c r="D78" s="35">
        <f>IFERROR(INDEX('Hợp đồng'!$E$4:$E$203,MATCH($C78,'Hợp đồng'!$A$4:$A$203,0)),"")</f>
        <v/>
      </c>
      <c r="E78" s="50" t="n"/>
      <c r="F78" s="48" t="n"/>
      <c r="G78" s="48" t="n"/>
      <c r="H78" s="54">
        <f>IFERROR(MONTH($B78),"")</f>
        <v/>
      </c>
      <c r="I78" s="54">
        <f>IFERROR(YEAR($B78),"")</f>
        <v/>
      </c>
    </row>
    <row r="79" ht="15" customHeight="1" s="30">
      <c r="A79" s="48" t="n"/>
      <c r="B79" s="52" t="n"/>
      <c r="C79" s="48" t="n"/>
      <c r="D79" s="35">
        <f>IFERROR(INDEX('Hợp đồng'!$E$4:$E$203,MATCH($C79,'Hợp đồng'!$A$4:$A$203,0)),"")</f>
        <v/>
      </c>
      <c r="E79" s="50" t="n"/>
      <c r="F79" s="48" t="n"/>
      <c r="G79" s="48" t="n"/>
      <c r="H79" s="54">
        <f>IFERROR(MONTH($B79),"")</f>
        <v/>
      </c>
      <c r="I79" s="54">
        <f>IFERROR(YEAR($B79),"")</f>
        <v/>
      </c>
    </row>
    <row r="80" ht="15" customHeight="1" s="30">
      <c r="A80" s="48" t="n"/>
      <c r="B80" s="52" t="n"/>
      <c r="C80" s="48" t="n"/>
      <c r="D80" s="35">
        <f>IFERROR(INDEX('Hợp đồng'!$E$4:$E$203,MATCH($C80,'Hợp đồng'!$A$4:$A$203,0)),"")</f>
        <v/>
      </c>
      <c r="E80" s="50" t="n"/>
      <c r="F80" s="48" t="n"/>
      <c r="G80" s="48" t="n"/>
      <c r="H80" s="54">
        <f>IFERROR(MONTH($B80),"")</f>
        <v/>
      </c>
      <c r="I80" s="54">
        <f>IFERROR(YEAR($B80),"")</f>
        <v/>
      </c>
    </row>
    <row r="81" ht="15" customHeight="1" s="30">
      <c r="A81" s="48" t="n"/>
      <c r="B81" s="52" t="n"/>
      <c r="C81" s="48" t="n"/>
      <c r="D81" s="35">
        <f>IFERROR(INDEX('Hợp đồng'!$E$4:$E$203,MATCH($C81,'Hợp đồng'!$A$4:$A$203,0)),"")</f>
        <v/>
      </c>
      <c r="E81" s="50" t="n"/>
      <c r="F81" s="48" t="n"/>
      <c r="G81" s="48" t="n"/>
      <c r="H81" s="54">
        <f>IFERROR(MONTH($B81),"")</f>
        <v/>
      </c>
      <c r="I81" s="54">
        <f>IFERROR(YEAR($B81),"")</f>
        <v/>
      </c>
    </row>
    <row r="82" ht="15" customHeight="1" s="30">
      <c r="A82" s="48" t="n"/>
      <c r="B82" s="52" t="n"/>
      <c r="C82" s="48" t="n"/>
      <c r="D82" s="35">
        <f>IFERROR(INDEX('Hợp đồng'!$E$4:$E$203,MATCH($C82,'Hợp đồng'!$A$4:$A$203,0)),"")</f>
        <v/>
      </c>
      <c r="E82" s="50" t="n"/>
      <c r="F82" s="48" t="n"/>
      <c r="G82" s="48" t="n"/>
      <c r="H82" s="54">
        <f>IFERROR(MONTH($B82),"")</f>
        <v/>
      </c>
      <c r="I82" s="54">
        <f>IFERROR(YEAR($B82),"")</f>
        <v/>
      </c>
    </row>
    <row r="83" ht="15" customHeight="1" s="30">
      <c r="A83" s="48" t="n"/>
      <c r="B83" s="52" t="n"/>
      <c r="C83" s="48" t="n"/>
      <c r="D83" s="35">
        <f>IFERROR(INDEX('Hợp đồng'!$E$4:$E$203,MATCH($C83,'Hợp đồng'!$A$4:$A$203,0)),"")</f>
        <v/>
      </c>
      <c r="E83" s="50" t="n"/>
      <c r="F83" s="48" t="n"/>
      <c r="G83" s="48" t="n"/>
      <c r="H83" s="54">
        <f>IFERROR(MONTH($B83),"")</f>
        <v/>
      </c>
      <c r="I83" s="54">
        <f>IFERROR(YEAR($B83),"")</f>
        <v/>
      </c>
    </row>
    <row r="84" ht="15" customHeight="1" s="30">
      <c r="A84" s="48" t="n"/>
      <c r="B84" s="52" t="n"/>
      <c r="C84" s="48" t="n"/>
      <c r="D84" s="35">
        <f>IFERROR(INDEX('Hợp đồng'!$E$4:$E$203,MATCH($C84,'Hợp đồng'!$A$4:$A$203,0)),"")</f>
        <v/>
      </c>
      <c r="E84" s="50" t="n"/>
      <c r="F84" s="48" t="n"/>
      <c r="G84" s="48" t="n"/>
      <c r="H84" s="54">
        <f>IFERROR(MONTH($B84),"")</f>
        <v/>
      </c>
      <c r="I84" s="54">
        <f>IFERROR(YEAR($B84),"")</f>
        <v/>
      </c>
    </row>
    <row r="85" ht="15" customHeight="1" s="30">
      <c r="A85" s="48" t="n"/>
      <c r="B85" s="52" t="n"/>
      <c r="C85" s="48" t="n"/>
      <c r="D85" s="35">
        <f>IFERROR(INDEX('Hợp đồng'!$E$4:$E$203,MATCH($C85,'Hợp đồng'!$A$4:$A$203,0)),"")</f>
        <v/>
      </c>
      <c r="E85" s="50" t="n"/>
      <c r="F85" s="48" t="n"/>
      <c r="G85" s="48" t="n"/>
      <c r="H85" s="54">
        <f>IFERROR(MONTH($B85),"")</f>
        <v/>
      </c>
      <c r="I85" s="54">
        <f>IFERROR(YEAR($B85),"")</f>
        <v/>
      </c>
    </row>
    <row r="86" ht="15" customHeight="1" s="30">
      <c r="A86" s="48" t="n"/>
      <c r="B86" s="52" t="n"/>
      <c r="C86" s="48" t="n"/>
      <c r="D86" s="35">
        <f>IFERROR(INDEX('Hợp đồng'!$E$4:$E$203,MATCH($C86,'Hợp đồng'!$A$4:$A$203,0)),"")</f>
        <v/>
      </c>
      <c r="E86" s="50" t="n"/>
      <c r="F86" s="48" t="n"/>
      <c r="G86" s="48" t="n"/>
      <c r="H86" s="54">
        <f>IFERROR(MONTH($B86),"")</f>
        <v/>
      </c>
      <c r="I86" s="54">
        <f>IFERROR(YEAR($B86),"")</f>
        <v/>
      </c>
    </row>
    <row r="87" ht="15" customHeight="1" s="30">
      <c r="A87" s="48" t="n"/>
      <c r="B87" s="52" t="n"/>
      <c r="C87" s="48" t="n"/>
      <c r="D87" s="35">
        <f>IFERROR(INDEX('Hợp đồng'!$E$4:$E$203,MATCH($C87,'Hợp đồng'!$A$4:$A$203,0)),"")</f>
        <v/>
      </c>
      <c r="E87" s="50" t="n"/>
      <c r="F87" s="48" t="n"/>
      <c r="G87" s="48" t="n"/>
      <c r="H87" s="54">
        <f>IFERROR(MONTH($B87),"")</f>
        <v/>
      </c>
      <c r="I87" s="54">
        <f>IFERROR(YEAR($B87),"")</f>
        <v/>
      </c>
    </row>
    <row r="88" ht="15" customHeight="1" s="30">
      <c r="A88" s="48" t="n"/>
      <c r="B88" s="52" t="n"/>
      <c r="C88" s="48" t="n"/>
      <c r="D88" s="35">
        <f>IFERROR(INDEX('Hợp đồng'!$E$4:$E$203,MATCH($C88,'Hợp đồng'!$A$4:$A$203,0)),"")</f>
        <v/>
      </c>
      <c r="E88" s="50" t="n"/>
      <c r="F88" s="48" t="n"/>
      <c r="G88" s="48" t="n"/>
      <c r="H88" s="54">
        <f>IFERROR(MONTH($B88),"")</f>
        <v/>
      </c>
      <c r="I88" s="54">
        <f>IFERROR(YEAR($B88),"")</f>
        <v/>
      </c>
    </row>
    <row r="89" ht="15" customHeight="1" s="30">
      <c r="A89" s="48" t="n"/>
      <c r="B89" s="52" t="n"/>
      <c r="C89" s="48" t="n"/>
      <c r="D89" s="35">
        <f>IFERROR(INDEX('Hợp đồng'!$E$4:$E$203,MATCH($C89,'Hợp đồng'!$A$4:$A$203,0)),"")</f>
        <v/>
      </c>
      <c r="E89" s="50" t="n"/>
      <c r="F89" s="48" t="n"/>
      <c r="G89" s="48" t="n"/>
      <c r="H89" s="54">
        <f>IFERROR(MONTH($B89),"")</f>
        <v/>
      </c>
      <c r="I89" s="54">
        <f>IFERROR(YEAR($B89),"")</f>
        <v/>
      </c>
    </row>
    <row r="90" ht="15" customHeight="1" s="30">
      <c r="A90" s="48" t="n"/>
      <c r="B90" s="52" t="n"/>
      <c r="C90" s="48" t="n"/>
      <c r="D90" s="35">
        <f>IFERROR(INDEX('Hợp đồng'!$E$4:$E$203,MATCH($C90,'Hợp đồng'!$A$4:$A$203,0)),"")</f>
        <v/>
      </c>
      <c r="E90" s="50" t="n"/>
      <c r="F90" s="48" t="n"/>
      <c r="G90" s="48" t="n"/>
      <c r="H90" s="54">
        <f>IFERROR(MONTH($B90),"")</f>
        <v/>
      </c>
      <c r="I90" s="54">
        <f>IFERROR(YEAR($B90),"")</f>
        <v/>
      </c>
    </row>
    <row r="91" ht="15" customHeight="1" s="30">
      <c r="A91" s="48" t="n"/>
      <c r="B91" s="52" t="n"/>
      <c r="C91" s="48" t="n"/>
      <c r="D91" s="35">
        <f>IFERROR(INDEX('Hợp đồng'!$E$4:$E$203,MATCH($C91,'Hợp đồng'!$A$4:$A$203,0)),"")</f>
        <v/>
      </c>
      <c r="E91" s="50" t="n"/>
      <c r="F91" s="48" t="n"/>
      <c r="G91" s="48" t="n"/>
      <c r="H91" s="54">
        <f>IFERROR(MONTH($B91),"")</f>
        <v/>
      </c>
      <c r="I91" s="54">
        <f>IFERROR(YEAR($B91),"")</f>
        <v/>
      </c>
    </row>
    <row r="92" ht="15" customHeight="1" s="30">
      <c r="A92" s="48" t="n"/>
      <c r="B92" s="52" t="n"/>
      <c r="C92" s="48" t="n"/>
      <c r="D92" s="35">
        <f>IFERROR(INDEX('Hợp đồng'!$E$4:$E$203,MATCH($C92,'Hợp đồng'!$A$4:$A$203,0)),"")</f>
        <v/>
      </c>
      <c r="E92" s="50" t="n"/>
      <c r="F92" s="48" t="n"/>
      <c r="G92" s="48" t="n"/>
      <c r="H92" s="54">
        <f>IFERROR(MONTH($B92),"")</f>
        <v/>
      </c>
      <c r="I92" s="54">
        <f>IFERROR(YEAR($B92),"")</f>
        <v/>
      </c>
    </row>
    <row r="93" ht="15" customHeight="1" s="30">
      <c r="A93" s="48" t="n"/>
      <c r="B93" s="52" t="n"/>
      <c r="C93" s="48" t="n"/>
      <c r="D93" s="35">
        <f>IFERROR(INDEX('Hợp đồng'!$E$4:$E$203,MATCH($C93,'Hợp đồng'!$A$4:$A$203,0)),"")</f>
        <v/>
      </c>
      <c r="E93" s="50" t="n"/>
      <c r="F93" s="48" t="n"/>
      <c r="G93" s="48" t="n"/>
      <c r="H93" s="54">
        <f>IFERROR(MONTH($B93),"")</f>
        <v/>
      </c>
      <c r="I93" s="54">
        <f>IFERROR(YEAR($B93),"")</f>
        <v/>
      </c>
    </row>
    <row r="94" ht="15" customHeight="1" s="30">
      <c r="A94" s="48" t="n"/>
      <c r="B94" s="52" t="n"/>
      <c r="C94" s="48" t="n"/>
      <c r="D94" s="35">
        <f>IFERROR(INDEX('Hợp đồng'!$E$4:$E$203,MATCH($C94,'Hợp đồng'!$A$4:$A$203,0)),"")</f>
        <v/>
      </c>
      <c r="E94" s="50" t="n"/>
      <c r="F94" s="48" t="n"/>
      <c r="G94" s="48" t="n"/>
      <c r="H94" s="54">
        <f>IFERROR(MONTH($B94),"")</f>
        <v/>
      </c>
      <c r="I94" s="54">
        <f>IFERROR(YEAR($B94),"")</f>
        <v/>
      </c>
    </row>
    <row r="95" ht="15" customHeight="1" s="30">
      <c r="A95" s="48" t="n"/>
      <c r="B95" s="52" t="n"/>
      <c r="C95" s="48" t="n"/>
      <c r="D95" s="35">
        <f>IFERROR(INDEX('Hợp đồng'!$E$4:$E$203,MATCH($C95,'Hợp đồng'!$A$4:$A$203,0)),"")</f>
        <v/>
      </c>
      <c r="E95" s="50" t="n"/>
      <c r="F95" s="48" t="n"/>
      <c r="G95" s="48" t="n"/>
      <c r="H95" s="54">
        <f>IFERROR(MONTH($B95),"")</f>
        <v/>
      </c>
      <c r="I95" s="54">
        <f>IFERROR(YEAR($B95),"")</f>
        <v/>
      </c>
    </row>
    <row r="96" ht="15" customHeight="1" s="30">
      <c r="A96" s="48" t="n"/>
      <c r="B96" s="52" t="n"/>
      <c r="C96" s="48" t="n"/>
      <c r="D96" s="35">
        <f>IFERROR(INDEX('Hợp đồng'!$E$4:$E$203,MATCH($C96,'Hợp đồng'!$A$4:$A$203,0)),"")</f>
        <v/>
      </c>
      <c r="E96" s="50" t="n"/>
      <c r="F96" s="48" t="n"/>
      <c r="G96" s="48" t="n"/>
      <c r="H96" s="54">
        <f>IFERROR(MONTH($B96),"")</f>
        <v/>
      </c>
      <c r="I96" s="54">
        <f>IFERROR(YEAR($B96),"")</f>
        <v/>
      </c>
    </row>
    <row r="97" ht="15" customHeight="1" s="30">
      <c r="A97" s="48" t="n"/>
      <c r="B97" s="52" t="n"/>
      <c r="C97" s="48" t="n"/>
      <c r="D97" s="35">
        <f>IFERROR(INDEX('Hợp đồng'!$E$4:$E$203,MATCH($C97,'Hợp đồng'!$A$4:$A$203,0)),"")</f>
        <v/>
      </c>
      <c r="E97" s="50" t="n"/>
      <c r="F97" s="48" t="n"/>
      <c r="G97" s="48" t="n"/>
      <c r="H97" s="54">
        <f>IFERROR(MONTH($B97),"")</f>
        <v/>
      </c>
      <c r="I97" s="54">
        <f>IFERROR(YEAR($B97),"")</f>
        <v/>
      </c>
    </row>
    <row r="98" ht="15" customHeight="1" s="30">
      <c r="A98" s="48" t="n"/>
      <c r="B98" s="52" t="n"/>
      <c r="C98" s="48" t="n"/>
      <c r="D98" s="35">
        <f>IFERROR(INDEX('Hợp đồng'!$E$4:$E$203,MATCH($C98,'Hợp đồng'!$A$4:$A$203,0)),"")</f>
        <v/>
      </c>
      <c r="E98" s="50" t="n"/>
      <c r="F98" s="48" t="n"/>
      <c r="G98" s="48" t="n"/>
      <c r="H98" s="54">
        <f>IFERROR(MONTH($B98),"")</f>
        <v/>
      </c>
      <c r="I98" s="54">
        <f>IFERROR(YEAR($B98),"")</f>
        <v/>
      </c>
    </row>
    <row r="99" ht="15" customHeight="1" s="30">
      <c r="A99" s="48" t="n"/>
      <c r="B99" s="52" t="n"/>
      <c r="C99" s="48" t="n"/>
      <c r="D99" s="35">
        <f>IFERROR(INDEX('Hợp đồng'!$E$4:$E$203,MATCH($C99,'Hợp đồng'!$A$4:$A$203,0)),"")</f>
        <v/>
      </c>
      <c r="E99" s="50" t="n"/>
      <c r="F99" s="48" t="n"/>
      <c r="G99" s="48" t="n"/>
      <c r="H99" s="54">
        <f>IFERROR(MONTH($B99),"")</f>
        <v/>
      </c>
      <c r="I99" s="54">
        <f>IFERROR(YEAR($B99),"")</f>
        <v/>
      </c>
    </row>
    <row r="100" ht="15" customHeight="1" s="30">
      <c r="A100" s="48" t="n"/>
      <c r="B100" s="52" t="n"/>
      <c r="C100" s="48" t="n"/>
      <c r="D100" s="35">
        <f>IFERROR(INDEX('Hợp đồng'!$E$4:$E$203,MATCH($C100,'Hợp đồng'!$A$4:$A$203,0)),"")</f>
        <v/>
      </c>
      <c r="E100" s="50" t="n"/>
      <c r="F100" s="48" t="n"/>
      <c r="G100" s="48" t="n"/>
      <c r="H100" s="54">
        <f>IFERROR(MONTH($B100),"")</f>
        <v/>
      </c>
      <c r="I100" s="54">
        <f>IFERROR(YEAR($B100),"")</f>
        <v/>
      </c>
    </row>
    <row r="101" ht="15" customHeight="1" s="30">
      <c r="A101" s="48" t="n"/>
      <c r="B101" s="52" t="n"/>
      <c r="C101" s="48" t="n"/>
      <c r="D101" s="35">
        <f>IFERROR(INDEX('Hợp đồng'!$E$4:$E$203,MATCH($C101,'Hợp đồng'!$A$4:$A$203,0)),"")</f>
        <v/>
      </c>
      <c r="E101" s="50" t="n"/>
      <c r="F101" s="48" t="n"/>
      <c r="G101" s="48" t="n"/>
      <c r="H101" s="54">
        <f>IFERROR(MONTH($B101),"")</f>
        <v/>
      </c>
      <c r="I101" s="54">
        <f>IFERROR(YEAR($B101),"")</f>
        <v/>
      </c>
    </row>
    <row r="102" ht="15" customHeight="1" s="30">
      <c r="A102" s="48" t="n"/>
      <c r="B102" s="52" t="n"/>
      <c r="C102" s="48" t="n"/>
      <c r="D102" s="35">
        <f>IFERROR(INDEX('Hợp đồng'!$E$4:$E$203,MATCH($C102,'Hợp đồng'!$A$4:$A$203,0)),"")</f>
        <v/>
      </c>
      <c r="E102" s="50" t="n"/>
      <c r="F102" s="48" t="n"/>
      <c r="G102" s="48" t="n"/>
      <c r="H102" s="54">
        <f>IFERROR(MONTH($B102),"")</f>
        <v/>
      </c>
      <c r="I102" s="54">
        <f>IFERROR(YEAR($B102),"")</f>
        <v/>
      </c>
    </row>
    <row r="103" ht="15" customHeight="1" s="30">
      <c r="A103" s="48" t="n"/>
      <c r="B103" s="52" t="n"/>
      <c r="C103" s="48" t="n"/>
      <c r="D103" s="35">
        <f>IFERROR(INDEX('Hợp đồng'!$E$4:$E$203,MATCH($C103,'Hợp đồng'!$A$4:$A$203,0)),"")</f>
        <v/>
      </c>
      <c r="E103" s="50" t="n"/>
      <c r="F103" s="48" t="n"/>
      <c r="G103" s="48" t="n"/>
      <c r="H103" s="54">
        <f>IFERROR(MONTH($B103),"")</f>
        <v/>
      </c>
      <c r="I103" s="54">
        <f>IFERROR(YEAR($B103),"")</f>
        <v/>
      </c>
    </row>
    <row r="104" ht="15" customHeight="1" s="30">
      <c r="A104" s="48" t="n"/>
      <c r="B104" s="52" t="n"/>
      <c r="C104" s="48" t="n"/>
      <c r="D104" s="35">
        <f>IFERROR(INDEX('Hợp đồng'!$E$4:$E$203,MATCH($C104,'Hợp đồng'!$A$4:$A$203,0)),"")</f>
        <v/>
      </c>
      <c r="E104" s="50" t="n"/>
      <c r="F104" s="48" t="n"/>
      <c r="G104" s="48" t="n"/>
      <c r="H104" s="54">
        <f>IFERROR(MONTH($B104),"")</f>
        <v/>
      </c>
      <c r="I104" s="54">
        <f>IFERROR(YEAR($B104),"")</f>
        <v/>
      </c>
    </row>
    <row r="105" ht="15" customHeight="1" s="30">
      <c r="A105" s="48" t="n"/>
      <c r="B105" s="52" t="n"/>
      <c r="C105" s="48" t="n"/>
      <c r="D105" s="35">
        <f>IFERROR(INDEX('Hợp đồng'!$E$4:$E$203,MATCH($C105,'Hợp đồng'!$A$4:$A$203,0)),"")</f>
        <v/>
      </c>
      <c r="E105" s="50" t="n"/>
      <c r="F105" s="48" t="n"/>
      <c r="G105" s="48" t="n"/>
      <c r="H105" s="54">
        <f>IFERROR(MONTH($B105),"")</f>
        <v/>
      </c>
      <c r="I105" s="54">
        <f>IFERROR(YEAR($B105),"")</f>
        <v/>
      </c>
    </row>
    <row r="106" ht="15" customHeight="1" s="30">
      <c r="A106" s="48" t="n"/>
      <c r="B106" s="52" t="n"/>
      <c r="C106" s="48" t="n"/>
      <c r="D106" s="35">
        <f>IFERROR(INDEX('Hợp đồng'!$E$4:$E$203,MATCH($C106,'Hợp đồng'!$A$4:$A$203,0)),"")</f>
        <v/>
      </c>
      <c r="E106" s="50" t="n"/>
      <c r="F106" s="48" t="n"/>
      <c r="G106" s="48" t="n"/>
      <c r="H106" s="54">
        <f>IFERROR(MONTH($B106),"")</f>
        <v/>
      </c>
      <c r="I106" s="54">
        <f>IFERROR(YEAR($B106),"")</f>
        <v/>
      </c>
    </row>
    <row r="107" ht="15" customHeight="1" s="30">
      <c r="A107" s="48" t="n"/>
      <c r="B107" s="52" t="n"/>
      <c r="C107" s="48" t="n"/>
      <c r="D107" s="35">
        <f>IFERROR(INDEX('Hợp đồng'!$E$4:$E$203,MATCH($C107,'Hợp đồng'!$A$4:$A$203,0)),"")</f>
        <v/>
      </c>
      <c r="E107" s="50" t="n"/>
      <c r="F107" s="48" t="n"/>
      <c r="G107" s="48" t="n"/>
      <c r="H107" s="54">
        <f>IFERROR(MONTH($B107),"")</f>
        <v/>
      </c>
      <c r="I107" s="54">
        <f>IFERROR(YEAR($B107),"")</f>
        <v/>
      </c>
    </row>
    <row r="108" ht="15" customHeight="1" s="30">
      <c r="A108" s="48" t="n"/>
      <c r="B108" s="52" t="n"/>
      <c r="C108" s="48" t="n"/>
      <c r="D108" s="35">
        <f>IFERROR(INDEX('Hợp đồng'!$E$4:$E$203,MATCH($C108,'Hợp đồng'!$A$4:$A$203,0)),"")</f>
        <v/>
      </c>
      <c r="E108" s="50" t="n"/>
      <c r="F108" s="48" t="n"/>
      <c r="G108" s="48" t="n"/>
      <c r="H108" s="54">
        <f>IFERROR(MONTH($B108),"")</f>
        <v/>
      </c>
      <c r="I108" s="54">
        <f>IFERROR(YEAR($B108),"")</f>
        <v/>
      </c>
    </row>
    <row r="109" ht="15" customHeight="1" s="30">
      <c r="A109" s="48" t="n"/>
      <c r="B109" s="52" t="n"/>
      <c r="C109" s="48" t="n"/>
      <c r="D109" s="35">
        <f>IFERROR(INDEX('Hợp đồng'!$E$4:$E$203,MATCH($C109,'Hợp đồng'!$A$4:$A$203,0)),"")</f>
        <v/>
      </c>
      <c r="E109" s="50" t="n"/>
      <c r="F109" s="48" t="n"/>
      <c r="G109" s="48" t="n"/>
      <c r="H109" s="54">
        <f>IFERROR(MONTH($B109),"")</f>
        <v/>
      </c>
      <c r="I109" s="54">
        <f>IFERROR(YEAR($B109),"")</f>
        <v/>
      </c>
    </row>
    <row r="110" ht="15" customHeight="1" s="30">
      <c r="A110" s="48" t="n"/>
      <c r="B110" s="52" t="n"/>
      <c r="C110" s="48" t="n"/>
      <c r="D110" s="35">
        <f>IFERROR(INDEX('Hợp đồng'!$E$4:$E$203,MATCH($C110,'Hợp đồng'!$A$4:$A$203,0)),"")</f>
        <v/>
      </c>
      <c r="E110" s="50" t="n"/>
      <c r="F110" s="48" t="n"/>
      <c r="G110" s="48" t="n"/>
      <c r="H110" s="54">
        <f>IFERROR(MONTH($B110),"")</f>
        <v/>
      </c>
      <c r="I110" s="54">
        <f>IFERROR(YEAR($B110),"")</f>
        <v/>
      </c>
    </row>
    <row r="111" ht="15" customHeight="1" s="30">
      <c r="A111" s="48" t="n"/>
      <c r="B111" s="52" t="n"/>
      <c r="C111" s="48" t="n"/>
      <c r="D111" s="35">
        <f>IFERROR(INDEX('Hợp đồng'!$E$4:$E$203,MATCH($C111,'Hợp đồng'!$A$4:$A$203,0)),"")</f>
        <v/>
      </c>
      <c r="E111" s="50" t="n"/>
      <c r="F111" s="48" t="n"/>
      <c r="G111" s="48" t="n"/>
      <c r="H111" s="54">
        <f>IFERROR(MONTH($B111),"")</f>
        <v/>
      </c>
      <c r="I111" s="54">
        <f>IFERROR(YEAR($B111),"")</f>
        <v/>
      </c>
    </row>
    <row r="112" ht="15" customHeight="1" s="30">
      <c r="A112" s="48" t="n"/>
      <c r="B112" s="52" t="n"/>
      <c r="C112" s="48" t="n"/>
      <c r="D112" s="35">
        <f>IFERROR(INDEX('Hợp đồng'!$E$4:$E$203,MATCH($C112,'Hợp đồng'!$A$4:$A$203,0)),"")</f>
        <v/>
      </c>
      <c r="E112" s="50" t="n"/>
      <c r="F112" s="48" t="n"/>
      <c r="G112" s="48" t="n"/>
      <c r="H112" s="54">
        <f>IFERROR(MONTH($B112),"")</f>
        <v/>
      </c>
      <c r="I112" s="54">
        <f>IFERROR(YEAR($B112),"")</f>
        <v/>
      </c>
    </row>
    <row r="113" ht="15" customHeight="1" s="30">
      <c r="A113" s="48" t="n"/>
      <c r="B113" s="52" t="n"/>
      <c r="C113" s="48" t="n"/>
      <c r="D113" s="35">
        <f>IFERROR(INDEX('Hợp đồng'!$E$4:$E$203,MATCH($C113,'Hợp đồng'!$A$4:$A$203,0)),"")</f>
        <v/>
      </c>
      <c r="E113" s="50" t="n"/>
      <c r="F113" s="48" t="n"/>
      <c r="G113" s="48" t="n"/>
      <c r="H113" s="54">
        <f>IFERROR(MONTH($B113),"")</f>
        <v/>
      </c>
      <c r="I113" s="54">
        <f>IFERROR(YEAR($B113),"")</f>
        <v/>
      </c>
    </row>
    <row r="114" ht="15" customHeight="1" s="30">
      <c r="A114" s="48" t="n"/>
      <c r="B114" s="52" t="n"/>
      <c r="C114" s="48" t="n"/>
      <c r="D114" s="35">
        <f>IFERROR(INDEX('Hợp đồng'!$E$4:$E$203,MATCH($C114,'Hợp đồng'!$A$4:$A$203,0)),"")</f>
        <v/>
      </c>
      <c r="E114" s="50" t="n"/>
      <c r="F114" s="48" t="n"/>
      <c r="G114" s="48" t="n"/>
      <c r="H114" s="54">
        <f>IFERROR(MONTH($B114),"")</f>
        <v/>
      </c>
      <c r="I114" s="54">
        <f>IFERROR(YEAR($B114),"")</f>
        <v/>
      </c>
    </row>
    <row r="115" ht="15" customHeight="1" s="30">
      <c r="A115" s="48" t="n"/>
      <c r="B115" s="52" t="n"/>
      <c r="C115" s="48" t="n"/>
      <c r="D115" s="35">
        <f>IFERROR(INDEX('Hợp đồng'!$E$4:$E$203,MATCH($C115,'Hợp đồng'!$A$4:$A$203,0)),"")</f>
        <v/>
      </c>
      <c r="E115" s="50" t="n"/>
      <c r="F115" s="48" t="n"/>
      <c r="G115" s="48" t="n"/>
      <c r="H115" s="54">
        <f>IFERROR(MONTH($B115),"")</f>
        <v/>
      </c>
      <c r="I115" s="54">
        <f>IFERROR(YEAR($B115),"")</f>
        <v/>
      </c>
    </row>
    <row r="116" ht="15" customHeight="1" s="30">
      <c r="A116" s="48" t="n"/>
      <c r="B116" s="52" t="n"/>
      <c r="C116" s="48" t="n"/>
      <c r="D116" s="35">
        <f>IFERROR(INDEX('Hợp đồng'!$E$4:$E$203,MATCH($C116,'Hợp đồng'!$A$4:$A$203,0)),"")</f>
        <v/>
      </c>
      <c r="E116" s="50" t="n"/>
      <c r="F116" s="48" t="n"/>
      <c r="G116" s="48" t="n"/>
      <c r="H116" s="54">
        <f>IFERROR(MONTH($B116),"")</f>
        <v/>
      </c>
      <c r="I116" s="54">
        <f>IFERROR(YEAR($B116),"")</f>
        <v/>
      </c>
    </row>
    <row r="117" ht="15" customHeight="1" s="30">
      <c r="A117" s="48" t="n"/>
      <c r="B117" s="52" t="n"/>
      <c r="C117" s="48" t="n"/>
      <c r="D117" s="35">
        <f>IFERROR(INDEX('Hợp đồng'!$E$4:$E$203,MATCH($C117,'Hợp đồng'!$A$4:$A$203,0)),"")</f>
        <v/>
      </c>
      <c r="E117" s="50" t="n"/>
      <c r="F117" s="48" t="n"/>
      <c r="G117" s="48" t="n"/>
      <c r="H117" s="54">
        <f>IFERROR(MONTH($B117),"")</f>
        <v/>
      </c>
      <c r="I117" s="54">
        <f>IFERROR(YEAR($B117),"")</f>
        <v/>
      </c>
    </row>
    <row r="118" ht="15" customHeight="1" s="30">
      <c r="A118" s="48" t="n"/>
      <c r="B118" s="52" t="n"/>
      <c r="C118" s="48" t="n"/>
      <c r="D118" s="35">
        <f>IFERROR(INDEX('Hợp đồng'!$E$4:$E$203,MATCH($C118,'Hợp đồng'!$A$4:$A$203,0)),"")</f>
        <v/>
      </c>
      <c r="E118" s="50" t="n"/>
      <c r="F118" s="48" t="n"/>
      <c r="G118" s="48" t="n"/>
      <c r="H118" s="54">
        <f>IFERROR(MONTH($B118),"")</f>
        <v/>
      </c>
      <c r="I118" s="54">
        <f>IFERROR(YEAR($B118),"")</f>
        <v/>
      </c>
    </row>
    <row r="119" ht="15" customHeight="1" s="30">
      <c r="A119" s="48" t="n"/>
      <c r="B119" s="52" t="n"/>
      <c r="C119" s="48" t="n"/>
      <c r="D119" s="35">
        <f>IFERROR(INDEX('Hợp đồng'!$E$4:$E$203,MATCH($C119,'Hợp đồng'!$A$4:$A$203,0)),"")</f>
        <v/>
      </c>
      <c r="E119" s="50" t="n"/>
      <c r="F119" s="48" t="n"/>
      <c r="G119" s="48" t="n"/>
      <c r="H119" s="54">
        <f>IFERROR(MONTH($B119),"")</f>
        <v/>
      </c>
      <c r="I119" s="54">
        <f>IFERROR(YEAR($B119),"")</f>
        <v/>
      </c>
    </row>
    <row r="120" ht="15" customHeight="1" s="30">
      <c r="A120" s="48" t="n"/>
      <c r="B120" s="52" t="n"/>
      <c r="C120" s="48" t="n"/>
      <c r="D120" s="35">
        <f>IFERROR(INDEX('Hợp đồng'!$E$4:$E$203,MATCH($C120,'Hợp đồng'!$A$4:$A$203,0)),"")</f>
        <v/>
      </c>
      <c r="E120" s="50" t="n"/>
      <c r="F120" s="48" t="n"/>
      <c r="G120" s="48" t="n"/>
      <c r="H120" s="54">
        <f>IFERROR(MONTH($B120),"")</f>
        <v/>
      </c>
      <c r="I120" s="54">
        <f>IFERROR(YEAR($B120),"")</f>
        <v/>
      </c>
    </row>
    <row r="121" ht="15" customHeight="1" s="30">
      <c r="A121" s="48" t="n"/>
      <c r="B121" s="52" t="n"/>
      <c r="C121" s="48" t="n"/>
      <c r="D121" s="35">
        <f>IFERROR(INDEX('Hợp đồng'!$E$4:$E$203,MATCH($C121,'Hợp đồng'!$A$4:$A$203,0)),"")</f>
        <v/>
      </c>
      <c r="E121" s="50" t="n"/>
      <c r="F121" s="48" t="n"/>
      <c r="G121" s="48" t="n"/>
      <c r="H121" s="54">
        <f>IFERROR(MONTH($B121),"")</f>
        <v/>
      </c>
      <c r="I121" s="54">
        <f>IFERROR(YEAR($B121),"")</f>
        <v/>
      </c>
    </row>
    <row r="122" ht="15" customHeight="1" s="30">
      <c r="A122" s="48" t="n"/>
      <c r="B122" s="52" t="n"/>
      <c r="C122" s="48" t="n"/>
      <c r="D122" s="35">
        <f>IFERROR(INDEX('Hợp đồng'!$E$4:$E$203,MATCH($C122,'Hợp đồng'!$A$4:$A$203,0)),"")</f>
        <v/>
      </c>
      <c r="E122" s="50" t="n"/>
      <c r="F122" s="48" t="n"/>
      <c r="G122" s="48" t="n"/>
      <c r="H122" s="54">
        <f>IFERROR(MONTH($B122),"")</f>
        <v/>
      </c>
      <c r="I122" s="54">
        <f>IFERROR(YEAR($B122),"")</f>
        <v/>
      </c>
    </row>
    <row r="123" ht="15" customHeight="1" s="30">
      <c r="A123" s="48" t="n"/>
      <c r="B123" s="52" t="n"/>
      <c r="C123" s="48" t="n"/>
      <c r="D123" s="35">
        <f>IFERROR(INDEX('Hợp đồng'!$E$4:$E$203,MATCH($C123,'Hợp đồng'!$A$4:$A$203,0)),"")</f>
        <v/>
      </c>
      <c r="E123" s="50" t="n"/>
      <c r="F123" s="48" t="n"/>
      <c r="G123" s="48" t="n"/>
      <c r="H123" s="54">
        <f>IFERROR(MONTH($B123),"")</f>
        <v/>
      </c>
      <c r="I123" s="54">
        <f>IFERROR(YEAR($B123),"")</f>
        <v/>
      </c>
    </row>
    <row r="124" ht="15" customHeight="1" s="30">
      <c r="A124" s="48" t="n"/>
      <c r="B124" s="52" t="n"/>
      <c r="C124" s="48" t="n"/>
      <c r="D124" s="35">
        <f>IFERROR(INDEX('Hợp đồng'!$E$4:$E$203,MATCH($C124,'Hợp đồng'!$A$4:$A$203,0)),"")</f>
        <v/>
      </c>
      <c r="E124" s="50" t="n"/>
      <c r="F124" s="48" t="n"/>
      <c r="G124" s="48" t="n"/>
      <c r="H124" s="54">
        <f>IFERROR(MONTH($B124),"")</f>
        <v/>
      </c>
      <c r="I124" s="54">
        <f>IFERROR(YEAR($B124),"")</f>
        <v/>
      </c>
    </row>
    <row r="125" ht="15" customHeight="1" s="30">
      <c r="A125" s="48" t="n"/>
      <c r="B125" s="52" t="n"/>
      <c r="C125" s="48" t="n"/>
      <c r="D125" s="35">
        <f>IFERROR(INDEX('Hợp đồng'!$E$4:$E$203,MATCH($C125,'Hợp đồng'!$A$4:$A$203,0)),"")</f>
        <v/>
      </c>
      <c r="E125" s="50" t="n"/>
      <c r="F125" s="48" t="n"/>
      <c r="G125" s="48" t="n"/>
      <c r="H125" s="54">
        <f>IFERROR(MONTH($B125),"")</f>
        <v/>
      </c>
      <c r="I125" s="54">
        <f>IFERROR(YEAR($B125),"")</f>
        <v/>
      </c>
    </row>
    <row r="126" ht="15" customHeight="1" s="30">
      <c r="A126" s="48" t="n"/>
      <c r="B126" s="52" t="n"/>
      <c r="C126" s="48" t="n"/>
      <c r="D126" s="35">
        <f>IFERROR(INDEX('Hợp đồng'!$E$4:$E$203,MATCH($C126,'Hợp đồng'!$A$4:$A$203,0)),"")</f>
        <v/>
      </c>
      <c r="E126" s="50" t="n"/>
      <c r="F126" s="48" t="n"/>
      <c r="G126" s="48" t="n"/>
      <c r="H126" s="54">
        <f>IFERROR(MONTH($B126),"")</f>
        <v/>
      </c>
      <c r="I126" s="54">
        <f>IFERROR(YEAR($B126),"")</f>
        <v/>
      </c>
    </row>
    <row r="127" ht="15" customHeight="1" s="30">
      <c r="A127" s="48" t="n"/>
      <c r="B127" s="52" t="n"/>
      <c r="C127" s="48" t="n"/>
      <c r="D127" s="35">
        <f>IFERROR(INDEX('Hợp đồng'!$E$4:$E$203,MATCH($C127,'Hợp đồng'!$A$4:$A$203,0)),"")</f>
        <v/>
      </c>
      <c r="E127" s="50" t="n"/>
      <c r="F127" s="48" t="n"/>
      <c r="G127" s="48" t="n"/>
      <c r="H127" s="54">
        <f>IFERROR(MONTH($B127),"")</f>
        <v/>
      </c>
      <c r="I127" s="54">
        <f>IFERROR(YEAR($B127),"")</f>
        <v/>
      </c>
    </row>
    <row r="128" ht="15" customHeight="1" s="30">
      <c r="A128" s="48" t="n"/>
      <c r="B128" s="52" t="n"/>
      <c r="C128" s="48" t="n"/>
      <c r="D128" s="35">
        <f>IFERROR(INDEX('Hợp đồng'!$E$4:$E$203,MATCH($C128,'Hợp đồng'!$A$4:$A$203,0)),"")</f>
        <v/>
      </c>
      <c r="E128" s="50" t="n"/>
      <c r="F128" s="48" t="n"/>
      <c r="G128" s="48" t="n"/>
      <c r="H128" s="54">
        <f>IFERROR(MONTH($B128),"")</f>
        <v/>
      </c>
      <c r="I128" s="54">
        <f>IFERROR(YEAR($B128),"")</f>
        <v/>
      </c>
    </row>
    <row r="129" ht="15" customHeight="1" s="30">
      <c r="A129" s="48" t="n"/>
      <c r="B129" s="52" t="n"/>
      <c r="C129" s="48" t="n"/>
      <c r="D129" s="35">
        <f>IFERROR(INDEX('Hợp đồng'!$E$4:$E$203,MATCH($C129,'Hợp đồng'!$A$4:$A$203,0)),"")</f>
        <v/>
      </c>
      <c r="E129" s="50" t="n"/>
      <c r="F129" s="48" t="n"/>
      <c r="G129" s="48" t="n"/>
      <c r="H129" s="54">
        <f>IFERROR(MONTH($B129),"")</f>
        <v/>
      </c>
      <c r="I129" s="54">
        <f>IFERROR(YEAR($B129),"")</f>
        <v/>
      </c>
    </row>
    <row r="130" ht="15" customHeight="1" s="30">
      <c r="A130" s="48" t="n"/>
      <c r="B130" s="52" t="n"/>
      <c r="C130" s="48" t="n"/>
      <c r="D130" s="35">
        <f>IFERROR(INDEX('Hợp đồng'!$E$4:$E$203,MATCH($C130,'Hợp đồng'!$A$4:$A$203,0)),"")</f>
        <v/>
      </c>
      <c r="E130" s="50" t="n"/>
      <c r="F130" s="48" t="n"/>
      <c r="G130" s="48" t="n"/>
      <c r="H130" s="54">
        <f>IFERROR(MONTH($B130),"")</f>
        <v/>
      </c>
      <c r="I130" s="54">
        <f>IFERROR(YEAR($B130),"")</f>
        <v/>
      </c>
    </row>
    <row r="131" ht="15" customHeight="1" s="30">
      <c r="A131" s="48" t="n"/>
      <c r="B131" s="52" t="n"/>
      <c r="C131" s="48" t="n"/>
      <c r="D131" s="35">
        <f>IFERROR(INDEX('Hợp đồng'!$E$4:$E$203,MATCH($C131,'Hợp đồng'!$A$4:$A$203,0)),"")</f>
        <v/>
      </c>
      <c r="E131" s="50" t="n"/>
      <c r="F131" s="48" t="n"/>
      <c r="G131" s="48" t="n"/>
      <c r="H131" s="54">
        <f>IFERROR(MONTH($B131),"")</f>
        <v/>
      </c>
      <c r="I131" s="54">
        <f>IFERROR(YEAR($B131),"")</f>
        <v/>
      </c>
    </row>
    <row r="132" ht="15" customHeight="1" s="30">
      <c r="A132" s="48" t="n"/>
      <c r="B132" s="52" t="n"/>
      <c r="C132" s="48" t="n"/>
      <c r="D132" s="35">
        <f>IFERROR(INDEX('Hợp đồng'!$E$4:$E$203,MATCH($C132,'Hợp đồng'!$A$4:$A$203,0)),"")</f>
        <v/>
      </c>
      <c r="E132" s="50" t="n"/>
      <c r="F132" s="48" t="n"/>
      <c r="G132" s="48" t="n"/>
      <c r="H132" s="54">
        <f>IFERROR(MONTH($B132),"")</f>
        <v/>
      </c>
      <c r="I132" s="54">
        <f>IFERROR(YEAR($B132),"")</f>
        <v/>
      </c>
    </row>
    <row r="133" ht="15" customHeight="1" s="30">
      <c r="A133" s="48" t="n"/>
      <c r="B133" s="52" t="n"/>
      <c r="C133" s="48" t="n"/>
      <c r="D133" s="35">
        <f>IFERROR(INDEX('Hợp đồng'!$E$4:$E$203,MATCH($C133,'Hợp đồng'!$A$4:$A$203,0)),"")</f>
        <v/>
      </c>
      <c r="E133" s="50" t="n"/>
      <c r="F133" s="48" t="n"/>
      <c r="G133" s="48" t="n"/>
      <c r="H133" s="54">
        <f>IFERROR(MONTH($B133),"")</f>
        <v/>
      </c>
      <c r="I133" s="54">
        <f>IFERROR(YEAR($B133),"")</f>
        <v/>
      </c>
    </row>
    <row r="134" ht="15" customHeight="1" s="30">
      <c r="A134" s="48" t="n"/>
      <c r="B134" s="52" t="n"/>
      <c r="C134" s="48" t="n"/>
      <c r="D134" s="35">
        <f>IFERROR(INDEX('Hợp đồng'!$E$4:$E$203,MATCH($C134,'Hợp đồng'!$A$4:$A$203,0)),"")</f>
        <v/>
      </c>
      <c r="E134" s="50" t="n"/>
      <c r="F134" s="48" t="n"/>
      <c r="G134" s="48" t="n"/>
      <c r="H134" s="54">
        <f>IFERROR(MONTH($B134),"")</f>
        <v/>
      </c>
      <c r="I134" s="54">
        <f>IFERROR(YEAR($B134),"")</f>
        <v/>
      </c>
    </row>
    <row r="135" ht="15" customHeight="1" s="30">
      <c r="A135" s="48" t="n"/>
      <c r="B135" s="52" t="n"/>
      <c r="C135" s="48" t="n"/>
      <c r="D135" s="35">
        <f>IFERROR(INDEX('Hợp đồng'!$E$4:$E$203,MATCH($C135,'Hợp đồng'!$A$4:$A$203,0)),"")</f>
        <v/>
      </c>
      <c r="E135" s="50" t="n"/>
      <c r="F135" s="48" t="n"/>
      <c r="G135" s="48" t="n"/>
      <c r="H135" s="54">
        <f>IFERROR(MONTH($B135),"")</f>
        <v/>
      </c>
      <c r="I135" s="54">
        <f>IFERROR(YEAR($B135),"")</f>
        <v/>
      </c>
    </row>
    <row r="136" ht="15" customHeight="1" s="30">
      <c r="A136" s="48" t="n"/>
      <c r="B136" s="52" t="n"/>
      <c r="C136" s="48" t="n"/>
      <c r="D136" s="35">
        <f>IFERROR(INDEX('Hợp đồng'!$E$4:$E$203,MATCH($C136,'Hợp đồng'!$A$4:$A$203,0)),"")</f>
        <v/>
      </c>
      <c r="E136" s="50" t="n"/>
      <c r="F136" s="48" t="n"/>
      <c r="G136" s="48" t="n"/>
      <c r="H136" s="54">
        <f>IFERROR(MONTH($B136),"")</f>
        <v/>
      </c>
      <c r="I136" s="54">
        <f>IFERROR(YEAR($B136),"")</f>
        <v/>
      </c>
    </row>
    <row r="137" ht="15" customHeight="1" s="30">
      <c r="A137" s="48" t="n"/>
      <c r="B137" s="52" t="n"/>
      <c r="C137" s="48" t="n"/>
      <c r="D137" s="35">
        <f>IFERROR(INDEX('Hợp đồng'!$E$4:$E$203,MATCH($C137,'Hợp đồng'!$A$4:$A$203,0)),"")</f>
        <v/>
      </c>
      <c r="E137" s="50" t="n"/>
      <c r="F137" s="48" t="n"/>
      <c r="G137" s="48" t="n"/>
      <c r="H137" s="54">
        <f>IFERROR(MONTH($B137),"")</f>
        <v/>
      </c>
      <c r="I137" s="54">
        <f>IFERROR(YEAR($B137),"")</f>
        <v/>
      </c>
    </row>
    <row r="138" ht="15" customHeight="1" s="30">
      <c r="A138" s="48" t="n"/>
      <c r="B138" s="52" t="n"/>
      <c r="C138" s="48" t="n"/>
      <c r="D138" s="35">
        <f>IFERROR(INDEX('Hợp đồng'!$E$4:$E$203,MATCH($C138,'Hợp đồng'!$A$4:$A$203,0)),"")</f>
        <v/>
      </c>
      <c r="E138" s="50" t="n"/>
      <c r="F138" s="48" t="n"/>
      <c r="G138" s="48" t="n"/>
      <c r="H138" s="54">
        <f>IFERROR(MONTH($B138),"")</f>
        <v/>
      </c>
      <c r="I138" s="54">
        <f>IFERROR(YEAR($B138),"")</f>
        <v/>
      </c>
    </row>
    <row r="139" ht="15" customHeight="1" s="30">
      <c r="A139" s="48" t="n"/>
      <c r="B139" s="52" t="n"/>
      <c r="C139" s="48" t="n"/>
      <c r="D139" s="35">
        <f>IFERROR(INDEX('Hợp đồng'!$E$4:$E$203,MATCH($C139,'Hợp đồng'!$A$4:$A$203,0)),"")</f>
        <v/>
      </c>
      <c r="E139" s="50" t="n"/>
      <c r="F139" s="48" t="n"/>
      <c r="G139" s="48" t="n"/>
      <c r="H139" s="54">
        <f>IFERROR(MONTH($B139),"")</f>
        <v/>
      </c>
      <c r="I139" s="54">
        <f>IFERROR(YEAR($B139),"")</f>
        <v/>
      </c>
    </row>
    <row r="140" ht="15" customHeight="1" s="30">
      <c r="A140" s="48" t="n"/>
      <c r="B140" s="52" t="n"/>
      <c r="C140" s="48" t="n"/>
      <c r="D140" s="35">
        <f>IFERROR(INDEX('Hợp đồng'!$E$4:$E$203,MATCH($C140,'Hợp đồng'!$A$4:$A$203,0)),"")</f>
        <v/>
      </c>
      <c r="E140" s="50" t="n"/>
      <c r="F140" s="48" t="n"/>
      <c r="G140" s="48" t="n"/>
      <c r="H140" s="54">
        <f>IFERROR(MONTH($B140),"")</f>
        <v/>
      </c>
      <c r="I140" s="54">
        <f>IFERROR(YEAR($B140),"")</f>
        <v/>
      </c>
    </row>
    <row r="141" ht="15" customHeight="1" s="30">
      <c r="A141" s="48" t="n"/>
      <c r="B141" s="52" t="n"/>
      <c r="C141" s="48" t="n"/>
      <c r="D141" s="35">
        <f>IFERROR(INDEX('Hợp đồng'!$E$4:$E$203,MATCH($C141,'Hợp đồng'!$A$4:$A$203,0)),"")</f>
        <v/>
      </c>
      <c r="E141" s="50" t="n"/>
      <c r="F141" s="48" t="n"/>
      <c r="G141" s="48" t="n"/>
      <c r="H141" s="54">
        <f>IFERROR(MONTH($B141),"")</f>
        <v/>
      </c>
      <c r="I141" s="54">
        <f>IFERROR(YEAR($B141),"")</f>
        <v/>
      </c>
    </row>
    <row r="142" ht="15" customHeight="1" s="30">
      <c r="A142" s="48" t="n"/>
      <c r="B142" s="52" t="n"/>
      <c r="C142" s="48" t="n"/>
      <c r="D142" s="35">
        <f>IFERROR(INDEX('Hợp đồng'!$E$4:$E$203,MATCH($C142,'Hợp đồng'!$A$4:$A$203,0)),"")</f>
        <v/>
      </c>
      <c r="E142" s="50" t="n"/>
      <c r="F142" s="48" t="n"/>
      <c r="G142" s="48" t="n"/>
      <c r="H142" s="54">
        <f>IFERROR(MONTH($B142),"")</f>
        <v/>
      </c>
      <c r="I142" s="54">
        <f>IFERROR(YEAR($B142),"")</f>
        <v/>
      </c>
    </row>
    <row r="143" ht="15" customHeight="1" s="30">
      <c r="A143" s="48" t="n"/>
      <c r="B143" s="52" t="n"/>
      <c r="C143" s="48" t="n"/>
      <c r="D143" s="35">
        <f>IFERROR(INDEX('Hợp đồng'!$E$4:$E$203,MATCH($C143,'Hợp đồng'!$A$4:$A$203,0)),"")</f>
        <v/>
      </c>
      <c r="E143" s="50" t="n"/>
      <c r="F143" s="48" t="n"/>
      <c r="G143" s="48" t="n"/>
      <c r="H143" s="54">
        <f>IFERROR(MONTH($B143),"")</f>
        <v/>
      </c>
      <c r="I143" s="54">
        <f>IFERROR(YEAR($B143),"")</f>
        <v/>
      </c>
    </row>
    <row r="144" ht="15" customHeight="1" s="30">
      <c r="A144" s="48" t="n"/>
      <c r="B144" s="52" t="n"/>
      <c r="C144" s="48" t="n"/>
      <c r="D144" s="35">
        <f>IFERROR(INDEX('Hợp đồng'!$E$4:$E$203,MATCH($C144,'Hợp đồng'!$A$4:$A$203,0)),"")</f>
        <v/>
      </c>
      <c r="E144" s="50" t="n"/>
      <c r="F144" s="48" t="n"/>
      <c r="G144" s="48" t="n"/>
      <c r="H144" s="54">
        <f>IFERROR(MONTH($B144),"")</f>
        <v/>
      </c>
      <c r="I144" s="54">
        <f>IFERROR(YEAR($B144),"")</f>
        <v/>
      </c>
    </row>
    <row r="145" ht="15" customHeight="1" s="30">
      <c r="A145" s="48" t="n"/>
      <c r="B145" s="52" t="n"/>
      <c r="C145" s="48" t="n"/>
      <c r="D145" s="35">
        <f>IFERROR(INDEX('Hợp đồng'!$E$4:$E$203,MATCH($C145,'Hợp đồng'!$A$4:$A$203,0)),"")</f>
        <v/>
      </c>
      <c r="E145" s="50" t="n"/>
      <c r="F145" s="48" t="n"/>
      <c r="G145" s="48" t="n"/>
      <c r="H145" s="54">
        <f>IFERROR(MONTH($B145),"")</f>
        <v/>
      </c>
      <c r="I145" s="54">
        <f>IFERROR(YEAR($B145),"")</f>
        <v/>
      </c>
    </row>
    <row r="146" ht="15" customHeight="1" s="30">
      <c r="A146" s="48" t="n"/>
      <c r="B146" s="52" t="n"/>
      <c r="C146" s="48" t="n"/>
      <c r="D146" s="35">
        <f>IFERROR(INDEX('Hợp đồng'!$E$4:$E$203,MATCH($C146,'Hợp đồng'!$A$4:$A$203,0)),"")</f>
        <v/>
      </c>
      <c r="E146" s="50" t="n"/>
      <c r="F146" s="48" t="n"/>
      <c r="G146" s="48" t="n"/>
      <c r="H146" s="54">
        <f>IFERROR(MONTH($B146),"")</f>
        <v/>
      </c>
      <c r="I146" s="54">
        <f>IFERROR(YEAR($B146),"")</f>
        <v/>
      </c>
    </row>
    <row r="147" ht="15" customHeight="1" s="30">
      <c r="A147" s="48" t="n"/>
      <c r="B147" s="52" t="n"/>
      <c r="C147" s="48" t="n"/>
      <c r="D147" s="35">
        <f>IFERROR(INDEX('Hợp đồng'!$E$4:$E$203,MATCH($C147,'Hợp đồng'!$A$4:$A$203,0)),"")</f>
        <v/>
      </c>
      <c r="E147" s="50" t="n"/>
      <c r="F147" s="48" t="n"/>
      <c r="G147" s="48" t="n"/>
      <c r="H147" s="54">
        <f>IFERROR(MONTH($B147),"")</f>
        <v/>
      </c>
      <c r="I147" s="54">
        <f>IFERROR(YEAR($B147),"")</f>
        <v/>
      </c>
    </row>
    <row r="148" ht="15" customHeight="1" s="30">
      <c r="A148" s="48" t="n"/>
      <c r="B148" s="52" t="n"/>
      <c r="C148" s="48" t="n"/>
      <c r="D148" s="35">
        <f>IFERROR(INDEX('Hợp đồng'!$E$4:$E$203,MATCH($C148,'Hợp đồng'!$A$4:$A$203,0)),"")</f>
        <v/>
      </c>
      <c r="E148" s="50" t="n"/>
      <c r="F148" s="48" t="n"/>
      <c r="G148" s="48" t="n"/>
      <c r="H148" s="54">
        <f>IFERROR(MONTH($B148),"")</f>
        <v/>
      </c>
      <c r="I148" s="54">
        <f>IFERROR(YEAR($B148),"")</f>
        <v/>
      </c>
    </row>
    <row r="149" ht="15" customHeight="1" s="30">
      <c r="A149" s="48" t="n"/>
      <c r="B149" s="52" t="n"/>
      <c r="C149" s="48" t="n"/>
      <c r="D149" s="35">
        <f>IFERROR(INDEX('Hợp đồng'!$E$4:$E$203,MATCH($C149,'Hợp đồng'!$A$4:$A$203,0)),"")</f>
        <v/>
      </c>
      <c r="E149" s="50" t="n"/>
      <c r="F149" s="48" t="n"/>
      <c r="G149" s="48" t="n"/>
      <c r="H149" s="54">
        <f>IFERROR(MONTH($B149),"")</f>
        <v/>
      </c>
      <c r="I149" s="54">
        <f>IFERROR(YEAR($B149),"")</f>
        <v/>
      </c>
    </row>
    <row r="150" ht="15" customHeight="1" s="30">
      <c r="A150" s="48" t="n"/>
      <c r="B150" s="52" t="n"/>
      <c r="C150" s="48" t="n"/>
      <c r="D150" s="35">
        <f>IFERROR(INDEX('Hợp đồng'!$E$4:$E$203,MATCH($C150,'Hợp đồng'!$A$4:$A$203,0)),"")</f>
        <v/>
      </c>
      <c r="E150" s="50" t="n"/>
      <c r="F150" s="48" t="n"/>
      <c r="G150" s="48" t="n"/>
      <c r="H150" s="54">
        <f>IFERROR(MONTH($B150),"")</f>
        <v/>
      </c>
      <c r="I150" s="54">
        <f>IFERROR(YEAR($B150),"")</f>
        <v/>
      </c>
    </row>
    <row r="151" ht="15" customHeight="1" s="30">
      <c r="A151" s="48" t="n"/>
      <c r="B151" s="52" t="n"/>
      <c r="C151" s="48" t="n"/>
      <c r="D151" s="35">
        <f>IFERROR(INDEX('Hợp đồng'!$E$4:$E$203,MATCH($C151,'Hợp đồng'!$A$4:$A$203,0)),"")</f>
        <v/>
      </c>
      <c r="E151" s="50" t="n"/>
      <c r="F151" s="48" t="n"/>
      <c r="G151" s="48" t="n"/>
      <c r="H151" s="54">
        <f>IFERROR(MONTH($B151),"")</f>
        <v/>
      </c>
      <c r="I151" s="54">
        <f>IFERROR(YEAR($B151),"")</f>
        <v/>
      </c>
    </row>
    <row r="152" ht="15" customHeight="1" s="30">
      <c r="A152" s="48" t="n"/>
      <c r="B152" s="52" t="n"/>
      <c r="C152" s="48" t="n"/>
      <c r="D152" s="35">
        <f>IFERROR(INDEX('Hợp đồng'!$E$4:$E$203,MATCH($C152,'Hợp đồng'!$A$4:$A$203,0)),"")</f>
        <v/>
      </c>
      <c r="E152" s="50" t="n"/>
      <c r="F152" s="48" t="n"/>
      <c r="G152" s="48" t="n"/>
      <c r="H152" s="54">
        <f>IFERROR(MONTH($B152),"")</f>
        <v/>
      </c>
      <c r="I152" s="54">
        <f>IFERROR(YEAR($B152),"")</f>
        <v/>
      </c>
    </row>
    <row r="153" ht="15" customHeight="1" s="30">
      <c r="A153" s="48" t="n"/>
      <c r="B153" s="52" t="n"/>
      <c r="C153" s="48" t="n"/>
      <c r="D153" s="35">
        <f>IFERROR(INDEX('Hợp đồng'!$E$4:$E$203,MATCH($C153,'Hợp đồng'!$A$4:$A$203,0)),"")</f>
        <v/>
      </c>
      <c r="E153" s="50" t="n"/>
      <c r="F153" s="48" t="n"/>
      <c r="G153" s="48" t="n"/>
      <c r="H153" s="54">
        <f>IFERROR(MONTH($B153),"")</f>
        <v/>
      </c>
      <c r="I153" s="54">
        <f>IFERROR(YEAR($B153),"")</f>
        <v/>
      </c>
    </row>
    <row r="154" ht="15" customHeight="1" s="30">
      <c r="A154" s="48" t="n"/>
      <c r="B154" s="52" t="n"/>
      <c r="C154" s="48" t="n"/>
      <c r="D154" s="35">
        <f>IFERROR(INDEX('Hợp đồng'!$E$4:$E$203,MATCH($C154,'Hợp đồng'!$A$4:$A$203,0)),"")</f>
        <v/>
      </c>
      <c r="E154" s="50" t="n"/>
      <c r="F154" s="48" t="n"/>
      <c r="G154" s="48" t="n"/>
      <c r="H154" s="54">
        <f>IFERROR(MONTH($B154),"")</f>
        <v/>
      </c>
      <c r="I154" s="54">
        <f>IFERROR(YEAR($B154),"")</f>
        <v/>
      </c>
    </row>
    <row r="155" ht="15" customHeight="1" s="30">
      <c r="A155" s="48" t="n"/>
      <c r="B155" s="52" t="n"/>
      <c r="C155" s="48" t="n"/>
      <c r="D155" s="35">
        <f>IFERROR(INDEX('Hợp đồng'!$E$4:$E$203,MATCH($C155,'Hợp đồng'!$A$4:$A$203,0)),"")</f>
        <v/>
      </c>
      <c r="E155" s="50" t="n"/>
      <c r="F155" s="48" t="n"/>
      <c r="G155" s="48" t="n"/>
      <c r="H155" s="54">
        <f>IFERROR(MONTH($B155),"")</f>
        <v/>
      </c>
      <c r="I155" s="54">
        <f>IFERROR(YEAR($B155),"")</f>
        <v/>
      </c>
    </row>
    <row r="156" ht="15" customHeight="1" s="30">
      <c r="A156" s="48" t="n"/>
      <c r="B156" s="52" t="n"/>
      <c r="C156" s="48" t="n"/>
      <c r="D156" s="35">
        <f>IFERROR(INDEX('Hợp đồng'!$E$4:$E$203,MATCH($C156,'Hợp đồng'!$A$4:$A$203,0)),"")</f>
        <v/>
      </c>
      <c r="E156" s="50" t="n"/>
      <c r="F156" s="48" t="n"/>
      <c r="G156" s="48" t="n"/>
      <c r="H156" s="54">
        <f>IFERROR(MONTH($B156),"")</f>
        <v/>
      </c>
      <c r="I156" s="54">
        <f>IFERROR(YEAR($B156),"")</f>
        <v/>
      </c>
    </row>
    <row r="157" ht="15" customHeight="1" s="30">
      <c r="A157" s="48" t="n"/>
      <c r="B157" s="52" t="n"/>
      <c r="C157" s="48" t="n"/>
      <c r="D157" s="35">
        <f>IFERROR(INDEX('Hợp đồng'!$E$4:$E$203,MATCH($C157,'Hợp đồng'!$A$4:$A$203,0)),"")</f>
        <v/>
      </c>
      <c r="E157" s="50" t="n"/>
      <c r="F157" s="48" t="n"/>
      <c r="G157" s="48" t="n"/>
      <c r="H157" s="54">
        <f>IFERROR(MONTH($B157),"")</f>
        <v/>
      </c>
      <c r="I157" s="54">
        <f>IFERROR(YEAR($B157),"")</f>
        <v/>
      </c>
    </row>
    <row r="158" ht="15" customHeight="1" s="30">
      <c r="A158" s="48" t="n"/>
      <c r="B158" s="52" t="n"/>
      <c r="C158" s="48" t="n"/>
      <c r="D158" s="35">
        <f>IFERROR(INDEX('Hợp đồng'!$E$4:$E$203,MATCH($C158,'Hợp đồng'!$A$4:$A$203,0)),"")</f>
        <v/>
      </c>
      <c r="E158" s="50" t="n"/>
      <c r="F158" s="48" t="n"/>
      <c r="G158" s="48" t="n"/>
      <c r="H158" s="54">
        <f>IFERROR(MONTH($B158),"")</f>
        <v/>
      </c>
      <c r="I158" s="54">
        <f>IFERROR(YEAR($B158),"")</f>
        <v/>
      </c>
    </row>
    <row r="159" ht="15" customHeight="1" s="30">
      <c r="A159" s="48" t="n"/>
      <c r="B159" s="52" t="n"/>
      <c r="C159" s="48" t="n"/>
      <c r="D159" s="35">
        <f>IFERROR(INDEX('Hợp đồng'!$E$4:$E$203,MATCH($C159,'Hợp đồng'!$A$4:$A$203,0)),"")</f>
        <v/>
      </c>
      <c r="E159" s="50" t="n"/>
      <c r="F159" s="48" t="n"/>
      <c r="G159" s="48" t="n"/>
      <c r="H159" s="54">
        <f>IFERROR(MONTH($B159),"")</f>
        <v/>
      </c>
      <c r="I159" s="54">
        <f>IFERROR(YEAR($B159),"")</f>
        <v/>
      </c>
    </row>
    <row r="160" ht="15" customHeight="1" s="30">
      <c r="A160" s="48" t="n"/>
      <c r="B160" s="52" t="n"/>
      <c r="C160" s="48" t="n"/>
      <c r="D160" s="35">
        <f>IFERROR(INDEX('Hợp đồng'!$E$4:$E$203,MATCH($C160,'Hợp đồng'!$A$4:$A$203,0)),"")</f>
        <v/>
      </c>
      <c r="E160" s="50" t="n"/>
      <c r="F160" s="48" t="n"/>
      <c r="G160" s="48" t="n"/>
      <c r="H160" s="54">
        <f>IFERROR(MONTH($B160),"")</f>
        <v/>
      </c>
      <c r="I160" s="54">
        <f>IFERROR(YEAR($B160),"")</f>
        <v/>
      </c>
    </row>
    <row r="161" ht="15" customHeight="1" s="30">
      <c r="A161" s="48" t="n"/>
      <c r="B161" s="52" t="n"/>
      <c r="C161" s="48" t="n"/>
      <c r="D161" s="35">
        <f>IFERROR(INDEX('Hợp đồng'!$E$4:$E$203,MATCH($C161,'Hợp đồng'!$A$4:$A$203,0)),"")</f>
        <v/>
      </c>
      <c r="E161" s="50" t="n"/>
      <c r="F161" s="48" t="n"/>
      <c r="G161" s="48" t="n"/>
      <c r="H161" s="54">
        <f>IFERROR(MONTH($B161),"")</f>
        <v/>
      </c>
      <c r="I161" s="54">
        <f>IFERROR(YEAR($B161),"")</f>
        <v/>
      </c>
    </row>
    <row r="162" ht="15" customHeight="1" s="30">
      <c r="A162" s="48" t="n"/>
      <c r="B162" s="52" t="n"/>
      <c r="C162" s="48" t="n"/>
      <c r="D162" s="35">
        <f>IFERROR(INDEX('Hợp đồng'!$E$4:$E$203,MATCH($C162,'Hợp đồng'!$A$4:$A$203,0)),"")</f>
        <v/>
      </c>
      <c r="E162" s="50" t="n"/>
      <c r="F162" s="48" t="n"/>
      <c r="G162" s="48" t="n"/>
      <c r="H162" s="54">
        <f>IFERROR(MONTH($B162),"")</f>
        <v/>
      </c>
      <c r="I162" s="54">
        <f>IFERROR(YEAR($B162),"")</f>
        <v/>
      </c>
    </row>
    <row r="163" ht="15" customHeight="1" s="30">
      <c r="A163" s="48" t="n"/>
      <c r="B163" s="52" t="n"/>
      <c r="C163" s="48" t="n"/>
      <c r="D163" s="35">
        <f>IFERROR(INDEX('Hợp đồng'!$E$4:$E$203,MATCH($C163,'Hợp đồng'!$A$4:$A$203,0)),"")</f>
        <v/>
      </c>
      <c r="E163" s="50" t="n"/>
      <c r="F163" s="48" t="n"/>
      <c r="G163" s="48" t="n"/>
      <c r="H163" s="54">
        <f>IFERROR(MONTH($B163),"")</f>
        <v/>
      </c>
      <c r="I163" s="54">
        <f>IFERROR(YEAR($B163),"")</f>
        <v/>
      </c>
    </row>
    <row r="164" ht="15" customHeight="1" s="30">
      <c r="A164" s="48" t="n"/>
      <c r="B164" s="52" t="n"/>
      <c r="C164" s="48" t="n"/>
      <c r="D164" s="35">
        <f>IFERROR(INDEX('Hợp đồng'!$E$4:$E$203,MATCH($C164,'Hợp đồng'!$A$4:$A$203,0)),"")</f>
        <v/>
      </c>
      <c r="E164" s="50" t="n"/>
      <c r="F164" s="48" t="n"/>
      <c r="G164" s="48" t="n"/>
      <c r="H164" s="54">
        <f>IFERROR(MONTH($B164),"")</f>
        <v/>
      </c>
      <c r="I164" s="54">
        <f>IFERROR(YEAR($B164),"")</f>
        <v/>
      </c>
    </row>
    <row r="165" ht="15" customHeight="1" s="30">
      <c r="A165" s="48" t="n"/>
      <c r="B165" s="52" t="n"/>
      <c r="C165" s="48" t="n"/>
      <c r="D165" s="35">
        <f>IFERROR(INDEX('Hợp đồng'!$E$4:$E$203,MATCH($C165,'Hợp đồng'!$A$4:$A$203,0)),"")</f>
        <v/>
      </c>
      <c r="E165" s="50" t="n"/>
      <c r="F165" s="48" t="n"/>
      <c r="G165" s="48" t="n"/>
      <c r="H165" s="54">
        <f>IFERROR(MONTH($B165),"")</f>
        <v/>
      </c>
      <c r="I165" s="54">
        <f>IFERROR(YEAR($B165),"")</f>
        <v/>
      </c>
    </row>
    <row r="166" ht="15" customHeight="1" s="30">
      <c r="A166" s="48" t="n"/>
      <c r="B166" s="52" t="n"/>
      <c r="C166" s="48" t="n"/>
      <c r="D166" s="35">
        <f>IFERROR(INDEX('Hợp đồng'!$E$4:$E$203,MATCH($C166,'Hợp đồng'!$A$4:$A$203,0)),"")</f>
        <v/>
      </c>
      <c r="E166" s="50" t="n"/>
      <c r="F166" s="48" t="n"/>
      <c r="G166" s="48" t="n"/>
      <c r="H166" s="54">
        <f>IFERROR(MONTH($B166),"")</f>
        <v/>
      </c>
      <c r="I166" s="54">
        <f>IFERROR(YEAR($B166),"")</f>
        <v/>
      </c>
    </row>
    <row r="167" ht="15" customHeight="1" s="30">
      <c r="A167" s="48" t="n"/>
      <c r="B167" s="52" t="n"/>
      <c r="C167" s="48" t="n"/>
      <c r="D167" s="35">
        <f>IFERROR(INDEX('Hợp đồng'!$E$4:$E$203,MATCH($C167,'Hợp đồng'!$A$4:$A$203,0)),"")</f>
        <v/>
      </c>
      <c r="E167" s="50" t="n"/>
      <c r="F167" s="48" t="n"/>
      <c r="G167" s="48" t="n"/>
      <c r="H167" s="54">
        <f>IFERROR(MONTH($B167),"")</f>
        <v/>
      </c>
      <c r="I167" s="54">
        <f>IFERROR(YEAR($B167),"")</f>
        <v/>
      </c>
    </row>
    <row r="168" ht="15" customHeight="1" s="30">
      <c r="A168" s="48" t="n"/>
      <c r="B168" s="52" t="n"/>
      <c r="C168" s="48" t="n"/>
      <c r="D168" s="35">
        <f>IFERROR(INDEX('Hợp đồng'!$E$4:$E$203,MATCH($C168,'Hợp đồng'!$A$4:$A$203,0)),"")</f>
        <v/>
      </c>
      <c r="E168" s="50" t="n"/>
      <c r="F168" s="48" t="n"/>
      <c r="G168" s="48" t="n"/>
      <c r="H168" s="54">
        <f>IFERROR(MONTH($B168),"")</f>
        <v/>
      </c>
      <c r="I168" s="54">
        <f>IFERROR(YEAR($B168),"")</f>
        <v/>
      </c>
    </row>
    <row r="169" ht="15" customHeight="1" s="30">
      <c r="A169" s="48" t="n"/>
      <c r="B169" s="52" t="n"/>
      <c r="C169" s="48" t="n"/>
      <c r="D169" s="35">
        <f>IFERROR(INDEX('Hợp đồng'!$E$4:$E$203,MATCH($C169,'Hợp đồng'!$A$4:$A$203,0)),"")</f>
        <v/>
      </c>
      <c r="E169" s="50" t="n"/>
      <c r="F169" s="48" t="n"/>
      <c r="G169" s="48" t="n"/>
      <c r="H169" s="54">
        <f>IFERROR(MONTH($B169),"")</f>
        <v/>
      </c>
      <c r="I169" s="54">
        <f>IFERROR(YEAR($B169),"")</f>
        <v/>
      </c>
    </row>
    <row r="170" ht="15" customHeight="1" s="30">
      <c r="A170" s="48" t="n"/>
      <c r="B170" s="52" t="n"/>
      <c r="C170" s="48" t="n"/>
      <c r="D170" s="35">
        <f>IFERROR(INDEX('Hợp đồng'!$E$4:$E$203,MATCH($C170,'Hợp đồng'!$A$4:$A$203,0)),"")</f>
        <v/>
      </c>
      <c r="E170" s="50" t="n"/>
      <c r="F170" s="48" t="n"/>
      <c r="G170" s="48" t="n"/>
      <c r="H170" s="54">
        <f>IFERROR(MONTH($B170),"")</f>
        <v/>
      </c>
      <c r="I170" s="54">
        <f>IFERROR(YEAR($B170),"")</f>
        <v/>
      </c>
    </row>
    <row r="171" ht="15" customHeight="1" s="30">
      <c r="A171" s="48" t="n"/>
      <c r="B171" s="52" t="n"/>
      <c r="C171" s="48" t="n"/>
      <c r="D171" s="35">
        <f>IFERROR(INDEX('Hợp đồng'!$E$4:$E$203,MATCH($C171,'Hợp đồng'!$A$4:$A$203,0)),"")</f>
        <v/>
      </c>
      <c r="E171" s="50" t="n"/>
      <c r="F171" s="48" t="n"/>
      <c r="G171" s="48" t="n"/>
      <c r="H171" s="54">
        <f>IFERROR(MONTH($B171),"")</f>
        <v/>
      </c>
      <c r="I171" s="54">
        <f>IFERROR(YEAR($B171),"")</f>
        <v/>
      </c>
    </row>
    <row r="172" ht="15" customHeight="1" s="30">
      <c r="A172" s="48" t="n"/>
      <c r="B172" s="52" t="n"/>
      <c r="C172" s="48" t="n"/>
      <c r="D172" s="35">
        <f>IFERROR(INDEX('Hợp đồng'!$E$4:$E$203,MATCH($C172,'Hợp đồng'!$A$4:$A$203,0)),"")</f>
        <v/>
      </c>
      <c r="E172" s="50" t="n"/>
      <c r="F172" s="48" t="n"/>
      <c r="G172" s="48" t="n"/>
      <c r="H172" s="54">
        <f>IFERROR(MONTH($B172),"")</f>
        <v/>
      </c>
      <c r="I172" s="54">
        <f>IFERROR(YEAR($B172),"")</f>
        <v/>
      </c>
    </row>
    <row r="173" ht="15" customHeight="1" s="30">
      <c r="A173" s="48" t="n"/>
      <c r="B173" s="52" t="n"/>
      <c r="C173" s="48" t="n"/>
      <c r="D173" s="35">
        <f>IFERROR(INDEX('Hợp đồng'!$E$4:$E$203,MATCH($C173,'Hợp đồng'!$A$4:$A$203,0)),"")</f>
        <v/>
      </c>
      <c r="E173" s="50" t="n"/>
      <c r="F173" s="48" t="n"/>
      <c r="G173" s="48" t="n"/>
      <c r="H173" s="54">
        <f>IFERROR(MONTH($B173),"")</f>
        <v/>
      </c>
      <c r="I173" s="54">
        <f>IFERROR(YEAR($B173),"")</f>
        <v/>
      </c>
    </row>
    <row r="174" ht="15" customHeight="1" s="30">
      <c r="A174" s="48" t="n"/>
      <c r="B174" s="52" t="n"/>
      <c r="C174" s="48" t="n"/>
      <c r="D174" s="35">
        <f>IFERROR(INDEX('Hợp đồng'!$E$4:$E$203,MATCH($C174,'Hợp đồng'!$A$4:$A$203,0)),"")</f>
        <v/>
      </c>
      <c r="E174" s="50" t="n"/>
      <c r="F174" s="48" t="n"/>
      <c r="G174" s="48" t="n"/>
      <c r="H174" s="54">
        <f>IFERROR(MONTH($B174),"")</f>
        <v/>
      </c>
      <c r="I174" s="54">
        <f>IFERROR(YEAR($B174),"")</f>
        <v/>
      </c>
    </row>
    <row r="175" ht="15" customHeight="1" s="30">
      <c r="A175" s="48" t="n"/>
      <c r="B175" s="52" t="n"/>
      <c r="C175" s="48" t="n"/>
      <c r="D175" s="35">
        <f>IFERROR(INDEX('Hợp đồng'!$E$4:$E$203,MATCH($C175,'Hợp đồng'!$A$4:$A$203,0)),"")</f>
        <v/>
      </c>
      <c r="E175" s="50" t="n"/>
      <c r="F175" s="48" t="n"/>
      <c r="G175" s="48" t="n"/>
      <c r="H175" s="54">
        <f>IFERROR(MONTH($B175),"")</f>
        <v/>
      </c>
      <c r="I175" s="54">
        <f>IFERROR(YEAR($B175),"")</f>
        <v/>
      </c>
    </row>
    <row r="176" ht="15" customHeight="1" s="30">
      <c r="A176" s="48" t="n"/>
      <c r="B176" s="52" t="n"/>
      <c r="C176" s="48" t="n"/>
      <c r="D176" s="35">
        <f>IFERROR(INDEX('Hợp đồng'!$E$4:$E$203,MATCH($C176,'Hợp đồng'!$A$4:$A$203,0)),"")</f>
        <v/>
      </c>
      <c r="E176" s="50" t="n"/>
      <c r="F176" s="48" t="n"/>
      <c r="G176" s="48" t="n"/>
      <c r="H176" s="54">
        <f>IFERROR(MONTH($B176),"")</f>
        <v/>
      </c>
      <c r="I176" s="54">
        <f>IFERROR(YEAR($B176),"")</f>
        <v/>
      </c>
    </row>
    <row r="177" ht="15" customHeight="1" s="30">
      <c r="A177" s="48" t="n"/>
      <c r="B177" s="52" t="n"/>
      <c r="C177" s="48" t="n"/>
      <c r="D177" s="35">
        <f>IFERROR(INDEX('Hợp đồng'!$E$4:$E$203,MATCH($C177,'Hợp đồng'!$A$4:$A$203,0)),"")</f>
        <v/>
      </c>
      <c r="E177" s="50" t="n"/>
      <c r="F177" s="48" t="n"/>
      <c r="G177" s="48" t="n"/>
      <c r="H177" s="54">
        <f>IFERROR(MONTH($B177),"")</f>
        <v/>
      </c>
      <c r="I177" s="54">
        <f>IFERROR(YEAR($B177),"")</f>
        <v/>
      </c>
    </row>
    <row r="178" ht="15" customHeight="1" s="30">
      <c r="A178" s="48" t="n"/>
      <c r="B178" s="52" t="n"/>
      <c r="C178" s="48" t="n"/>
      <c r="D178" s="35">
        <f>IFERROR(INDEX('Hợp đồng'!$E$4:$E$203,MATCH($C178,'Hợp đồng'!$A$4:$A$203,0)),"")</f>
        <v/>
      </c>
      <c r="E178" s="50" t="n"/>
      <c r="F178" s="48" t="n"/>
      <c r="G178" s="48" t="n"/>
      <c r="H178" s="54">
        <f>IFERROR(MONTH($B178),"")</f>
        <v/>
      </c>
      <c r="I178" s="54">
        <f>IFERROR(YEAR($B178),"")</f>
        <v/>
      </c>
    </row>
    <row r="179" ht="15" customHeight="1" s="30">
      <c r="A179" s="48" t="n"/>
      <c r="B179" s="52" t="n"/>
      <c r="C179" s="48" t="n"/>
      <c r="D179" s="35">
        <f>IFERROR(INDEX('Hợp đồng'!$E$4:$E$203,MATCH($C179,'Hợp đồng'!$A$4:$A$203,0)),"")</f>
        <v/>
      </c>
      <c r="E179" s="50" t="n"/>
      <c r="F179" s="48" t="n"/>
      <c r="G179" s="48" t="n"/>
      <c r="H179" s="54">
        <f>IFERROR(MONTH($B179),"")</f>
        <v/>
      </c>
      <c r="I179" s="54">
        <f>IFERROR(YEAR($B179),"")</f>
        <v/>
      </c>
    </row>
    <row r="180" ht="15" customHeight="1" s="30">
      <c r="A180" s="48" t="n"/>
      <c r="B180" s="52" t="n"/>
      <c r="C180" s="48" t="n"/>
      <c r="D180" s="35">
        <f>IFERROR(INDEX('Hợp đồng'!$E$4:$E$203,MATCH($C180,'Hợp đồng'!$A$4:$A$203,0)),"")</f>
        <v/>
      </c>
      <c r="E180" s="50" t="n"/>
      <c r="F180" s="48" t="n"/>
      <c r="G180" s="48" t="n"/>
      <c r="H180" s="54">
        <f>IFERROR(MONTH($B180),"")</f>
        <v/>
      </c>
      <c r="I180" s="54">
        <f>IFERROR(YEAR($B180),"")</f>
        <v/>
      </c>
    </row>
    <row r="181" ht="15" customHeight="1" s="30">
      <c r="A181" s="48" t="n"/>
      <c r="B181" s="52" t="n"/>
      <c r="C181" s="48" t="n"/>
      <c r="D181" s="35">
        <f>IFERROR(INDEX('Hợp đồng'!$E$4:$E$203,MATCH($C181,'Hợp đồng'!$A$4:$A$203,0)),"")</f>
        <v/>
      </c>
      <c r="E181" s="50" t="n"/>
      <c r="F181" s="48" t="n"/>
      <c r="G181" s="48" t="n"/>
      <c r="H181" s="54">
        <f>IFERROR(MONTH($B181),"")</f>
        <v/>
      </c>
      <c r="I181" s="54">
        <f>IFERROR(YEAR($B181),"")</f>
        <v/>
      </c>
    </row>
    <row r="182" ht="15" customHeight="1" s="30">
      <c r="A182" s="48" t="n"/>
      <c r="B182" s="52" t="n"/>
      <c r="C182" s="48" t="n"/>
      <c r="D182" s="35">
        <f>IFERROR(INDEX('Hợp đồng'!$E$4:$E$203,MATCH($C182,'Hợp đồng'!$A$4:$A$203,0)),"")</f>
        <v/>
      </c>
      <c r="E182" s="50" t="n"/>
      <c r="F182" s="48" t="n"/>
      <c r="G182" s="48" t="n"/>
      <c r="H182" s="54">
        <f>IFERROR(MONTH($B182),"")</f>
        <v/>
      </c>
      <c r="I182" s="54">
        <f>IFERROR(YEAR($B182),"")</f>
        <v/>
      </c>
    </row>
    <row r="183" ht="15" customHeight="1" s="30">
      <c r="A183" s="48" t="n"/>
      <c r="B183" s="52" t="n"/>
      <c r="C183" s="48" t="n"/>
      <c r="D183" s="35">
        <f>IFERROR(INDEX('Hợp đồng'!$E$4:$E$203,MATCH($C183,'Hợp đồng'!$A$4:$A$203,0)),"")</f>
        <v/>
      </c>
      <c r="E183" s="50" t="n"/>
      <c r="F183" s="48" t="n"/>
      <c r="G183" s="48" t="n"/>
      <c r="H183" s="54">
        <f>IFERROR(MONTH($B183),"")</f>
        <v/>
      </c>
      <c r="I183" s="54">
        <f>IFERROR(YEAR($B183),"")</f>
        <v/>
      </c>
    </row>
    <row r="184" ht="15" customHeight="1" s="30">
      <c r="A184" s="48" t="n"/>
      <c r="B184" s="52" t="n"/>
      <c r="C184" s="48" t="n"/>
      <c r="D184" s="35">
        <f>IFERROR(INDEX('Hợp đồng'!$E$4:$E$203,MATCH($C184,'Hợp đồng'!$A$4:$A$203,0)),"")</f>
        <v/>
      </c>
      <c r="E184" s="50" t="n"/>
      <c r="F184" s="48" t="n"/>
      <c r="G184" s="48" t="n"/>
      <c r="H184" s="54">
        <f>IFERROR(MONTH($B184),"")</f>
        <v/>
      </c>
      <c r="I184" s="54">
        <f>IFERROR(YEAR($B184),"")</f>
        <v/>
      </c>
    </row>
    <row r="185" ht="15" customHeight="1" s="30">
      <c r="A185" s="48" t="n"/>
      <c r="B185" s="52" t="n"/>
      <c r="C185" s="48" t="n"/>
      <c r="D185" s="35">
        <f>IFERROR(INDEX('Hợp đồng'!$E$4:$E$203,MATCH($C185,'Hợp đồng'!$A$4:$A$203,0)),"")</f>
        <v/>
      </c>
      <c r="E185" s="50" t="n"/>
      <c r="F185" s="48" t="n"/>
      <c r="G185" s="48" t="n"/>
      <c r="H185" s="54">
        <f>IFERROR(MONTH($B185),"")</f>
        <v/>
      </c>
      <c r="I185" s="54">
        <f>IFERROR(YEAR($B185),"")</f>
        <v/>
      </c>
    </row>
    <row r="186" ht="15" customHeight="1" s="30">
      <c r="A186" s="48" t="n"/>
      <c r="B186" s="52" t="n"/>
      <c r="C186" s="48" t="n"/>
      <c r="D186" s="35">
        <f>IFERROR(INDEX('Hợp đồng'!$E$4:$E$203,MATCH($C186,'Hợp đồng'!$A$4:$A$203,0)),"")</f>
        <v/>
      </c>
      <c r="E186" s="50" t="n"/>
      <c r="F186" s="48" t="n"/>
      <c r="G186" s="48" t="n"/>
      <c r="H186" s="54">
        <f>IFERROR(MONTH($B186),"")</f>
        <v/>
      </c>
      <c r="I186" s="54">
        <f>IFERROR(YEAR($B186),"")</f>
        <v/>
      </c>
    </row>
    <row r="187" ht="15" customHeight="1" s="30">
      <c r="A187" s="48" t="n"/>
      <c r="B187" s="52" t="n"/>
      <c r="C187" s="48" t="n"/>
      <c r="D187" s="35">
        <f>IFERROR(INDEX('Hợp đồng'!$E$4:$E$203,MATCH($C187,'Hợp đồng'!$A$4:$A$203,0)),"")</f>
        <v/>
      </c>
      <c r="E187" s="50" t="n"/>
      <c r="F187" s="48" t="n"/>
      <c r="G187" s="48" t="n"/>
      <c r="H187" s="54">
        <f>IFERROR(MONTH($B187),"")</f>
        <v/>
      </c>
      <c r="I187" s="54">
        <f>IFERROR(YEAR($B187),"")</f>
        <v/>
      </c>
    </row>
    <row r="188" ht="15" customHeight="1" s="30">
      <c r="A188" s="48" t="n"/>
      <c r="B188" s="52" t="n"/>
      <c r="C188" s="48" t="n"/>
      <c r="D188" s="35">
        <f>IFERROR(INDEX('Hợp đồng'!$E$4:$E$203,MATCH($C188,'Hợp đồng'!$A$4:$A$203,0)),"")</f>
        <v/>
      </c>
      <c r="E188" s="50" t="n"/>
      <c r="F188" s="48" t="n"/>
      <c r="G188" s="48" t="n"/>
      <c r="H188" s="54">
        <f>IFERROR(MONTH($B188),"")</f>
        <v/>
      </c>
      <c r="I188" s="54">
        <f>IFERROR(YEAR($B188),"")</f>
        <v/>
      </c>
    </row>
    <row r="189" ht="15" customHeight="1" s="30">
      <c r="A189" s="48" t="n"/>
      <c r="B189" s="52" t="n"/>
      <c r="C189" s="48" t="n"/>
      <c r="D189" s="35">
        <f>IFERROR(INDEX('Hợp đồng'!$E$4:$E$203,MATCH($C189,'Hợp đồng'!$A$4:$A$203,0)),"")</f>
        <v/>
      </c>
      <c r="E189" s="50" t="n"/>
      <c r="F189" s="48" t="n"/>
      <c r="G189" s="48" t="n"/>
      <c r="H189" s="54">
        <f>IFERROR(MONTH($B189),"")</f>
        <v/>
      </c>
      <c r="I189" s="54">
        <f>IFERROR(YEAR($B189),"")</f>
        <v/>
      </c>
    </row>
    <row r="190" ht="15" customHeight="1" s="30">
      <c r="A190" s="48" t="n"/>
      <c r="B190" s="52" t="n"/>
      <c r="C190" s="48" t="n"/>
      <c r="D190" s="35">
        <f>IFERROR(INDEX('Hợp đồng'!$E$4:$E$203,MATCH($C190,'Hợp đồng'!$A$4:$A$203,0)),"")</f>
        <v/>
      </c>
      <c r="E190" s="50" t="n"/>
      <c r="F190" s="48" t="n"/>
      <c r="G190" s="48" t="n"/>
      <c r="H190" s="54">
        <f>IFERROR(MONTH($B190),"")</f>
        <v/>
      </c>
      <c r="I190" s="54">
        <f>IFERROR(YEAR($B190),"")</f>
        <v/>
      </c>
    </row>
    <row r="191" ht="15" customHeight="1" s="30">
      <c r="A191" s="48" t="n"/>
      <c r="B191" s="52" t="n"/>
      <c r="C191" s="48" t="n"/>
      <c r="D191" s="35">
        <f>IFERROR(INDEX('Hợp đồng'!$E$4:$E$203,MATCH($C191,'Hợp đồng'!$A$4:$A$203,0)),"")</f>
        <v/>
      </c>
      <c r="E191" s="50" t="n"/>
      <c r="F191" s="48" t="n"/>
      <c r="G191" s="48" t="n"/>
      <c r="H191" s="54">
        <f>IFERROR(MONTH($B191),"")</f>
        <v/>
      </c>
      <c r="I191" s="54">
        <f>IFERROR(YEAR($B191),"")</f>
        <v/>
      </c>
    </row>
    <row r="192" ht="15" customHeight="1" s="30">
      <c r="A192" s="48" t="n"/>
      <c r="B192" s="52" t="n"/>
      <c r="C192" s="48" t="n"/>
      <c r="D192" s="35">
        <f>IFERROR(INDEX('Hợp đồng'!$E$4:$E$203,MATCH($C192,'Hợp đồng'!$A$4:$A$203,0)),"")</f>
        <v/>
      </c>
      <c r="E192" s="50" t="n"/>
      <c r="F192" s="48" t="n"/>
      <c r="G192" s="48" t="n"/>
      <c r="H192" s="54">
        <f>IFERROR(MONTH($B192),"")</f>
        <v/>
      </c>
      <c r="I192" s="54">
        <f>IFERROR(YEAR($B192),"")</f>
        <v/>
      </c>
    </row>
    <row r="193" ht="15" customHeight="1" s="30">
      <c r="A193" s="48" t="n"/>
      <c r="B193" s="52" t="n"/>
      <c r="C193" s="48" t="n"/>
      <c r="D193" s="35">
        <f>IFERROR(INDEX('Hợp đồng'!$E$4:$E$203,MATCH($C193,'Hợp đồng'!$A$4:$A$203,0)),"")</f>
        <v/>
      </c>
      <c r="E193" s="50" t="n"/>
      <c r="F193" s="48" t="n"/>
      <c r="G193" s="48" t="n"/>
      <c r="H193" s="54">
        <f>IFERROR(MONTH($B193),"")</f>
        <v/>
      </c>
      <c r="I193" s="54">
        <f>IFERROR(YEAR($B193),"")</f>
        <v/>
      </c>
    </row>
    <row r="194" ht="15" customHeight="1" s="30">
      <c r="A194" s="48" t="n"/>
      <c r="B194" s="52" t="n"/>
      <c r="C194" s="48" t="n"/>
      <c r="D194" s="35">
        <f>IFERROR(INDEX('Hợp đồng'!$E$4:$E$203,MATCH($C194,'Hợp đồng'!$A$4:$A$203,0)),"")</f>
        <v/>
      </c>
      <c r="E194" s="50" t="n"/>
      <c r="F194" s="48" t="n"/>
      <c r="G194" s="48" t="n"/>
      <c r="H194" s="54">
        <f>IFERROR(MONTH($B194),"")</f>
        <v/>
      </c>
      <c r="I194" s="54">
        <f>IFERROR(YEAR($B194),"")</f>
        <v/>
      </c>
    </row>
    <row r="195" ht="15" customHeight="1" s="30">
      <c r="A195" s="48" t="n"/>
      <c r="B195" s="52" t="n"/>
      <c r="C195" s="48" t="n"/>
      <c r="D195" s="35">
        <f>IFERROR(INDEX('Hợp đồng'!$E$4:$E$203,MATCH($C195,'Hợp đồng'!$A$4:$A$203,0)),"")</f>
        <v/>
      </c>
      <c r="E195" s="50" t="n"/>
      <c r="F195" s="48" t="n"/>
      <c r="G195" s="48" t="n"/>
      <c r="H195" s="54">
        <f>IFERROR(MONTH($B195),"")</f>
        <v/>
      </c>
      <c r="I195" s="54">
        <f>IFERROR(YEAR($B195),"")</f>
        <v/>
      </c>
    </row>
    <row r="196" ht="15" customHeight="1" s="30">
      <c r="A196" s="48" t="n"/>
      <c r="B196" s="52" t="n"/>
      <c r="C196" s="48" t="n"/>
      <c r="D196" s="35">
        <f>IFERROR(INDEX('Hợp đồng'!$E$4:$E$203,MATCH($C196,'Hợp đồng'!$A$4:$A$203,0)),"")</f>
        <v/>
      </c>
      <c r="E196" s="50" t="n"/>
      <c r="F196" s="48" t="n"/>
      <c r="G196" s="48" t="n"/>
      <c r="H196" s="54">
        <f>IFERROR(MONTH($B196),"")</f>
        <v/>
      </c>
      <c r="I196" s="54">
        <f>IFERROR(YEAR($B196),"")</f>
        <v/>
      </c>
    </row>
    <row r="197" ht="15" customHeight="1" s="30">
      <c r="A197" s="48" t="n"/>
      <c r="B197" s="52" t="n"/>
      <c r="C197" s="48" t="n"/>
      <c r="D197" s="35">
        <f>IFERROR(INDEX('Hợp đồng'!$E$4:$E$203,MATCH($C197,'Hợp đồng'!$A$4:$A$203,0)),"")</f>
        <v/>
      </c>
      <c r="E197" s="50" t="n"/>
      <c r="F197" s="48" t="n"/>
      <c r="G197" s="48" t="n"/>
      <c r="H197" s="54">
        <f>IFERROR(MONTH($B197),"")</f>
        <v/>
      </c>
      <c r="I197" s="54">
        <f>IFERROR(YEAR($B197),"")</f>
        <v/>
      </c>
    </row>
    <row r="198" ht="15" customHeight="1" s="30">
      <c r="A198" s="48" t="n"/>
      <c r="B198" s="52" t="n"/>
      <c r="C198" s="48" t="n"/>
      <c r="D198" s="35">
        <f>IFERROR(INDEX('Hợp đồng'!$E$4:$E$203,MATCH($C198,'Hợp đồng'!$A$4:$A$203,0)),"")</f>
        <v/>
      </c>
      <c r="E198" s="50" t="n"/>
      <c r="F198" s="48" t="n"/>
      <c r="G198" s="48" t="n"/>
      <c r="H198" s="54">
        <f>IFERROR(MONTH($B198),"")</f>
        <v/>
      </c>
      <c r="I198" s="54">
        <f>IFERROR(YEAR($B198),"")</f>
        <v/>
      </c>
    </row>
    <row r="199" ht="15" customHeight="1" s="30">
      <c r="A199" s="48" t="n"/>
      <c r="B199" s="52" t="n"/>
      <c r="C199" s="48" t="n"/>
      <c r="D199" s="35">
        <f>IFERROR(INDEX('Hợp đồng'!$E$4:$E$203,MATCH($C199,'Hợp đồng'!$A$4:$A$203,0)),"")</f>
        <v/>
      </c>
      <c r="E199" s="50" t="n"/>
      <c r="F199" s="48" t="n"/>
      <c r="G199" s="48" t="n"/>
      <c r="H199" s="54">
        <f>IFERROR(MONTH($B199),"")</f>
        <v/>
      </c>
      <c r="I199" s="54">
        <f>IFERROR(YEAR($B199),"")</f>
        <v/>
      </c>
    </row>
    <row r="200" ht="15" customHeight="1" s="30">
      <c r="A200" s="48" t="n"/>
      <c r="B200" s="52" t="n"/>
      <c r="C200" s="48" t="n"/>
      <c r="D200" s="35">
        <f>IFERROR(INDEX('Hợp đồng'!$E$4:$E$203,MATCH($C200,'Hợp đồng'!$A$4:$A$203,0)),"")</f>
        <v/>
      </c>
      <c r="E200" s="50" t="n"/>
      <c r="F200" s="48" t="n"/>
      <c r="G200" s="48" t="n"/>
      <c r="H200" s="54">
        <f>IFERROR(MONTH($B200),"")</f>
        <v/>
      </c>
      <c r="I200" s="54">
        <f>IFERROR(YEAR($B200),"")</f>
        <v/>
      </c>
    </row>
    <row r="201" ht="15" customHeight="1" s="30">
      <c r="A201" s="48" t="n"/>
      <c r="B201" s="52" t="n"/>
      <c r="C201" s="48" t="n"/>
      <c r="D201" s="35">
        <f>IFERROR(INDEX('Hợp đồng'!$E$4:$E$203,MATCH($C201,'Hợp đồng'!$A$4:$A$203,0)),"")</f>
        <v/>
      </c>
      <c r="E201" s="50" t="n"/>
      <c r="F201" s="48" t="n"/>
      <c r="G201" s="48" t="n"/>
      <c r="H201" s="54">
        <f>IFERROR(MONTH($B201),"")</f>
        <v/>
      </c>
      <c r="I201" s="54">
        <f>IFERROR(YEAR($B201),"")</f>
        <v/>
      </c>
    </row>
    <row r="202" ht="15" customHeight="1" s="30">
      <c r="A202" s="48" t="n"/>
      <c r="B202" s="52" t="n"/>
      <c r="C202" s="48" t="n"/>
      <c r="D202" s="35">
        <f>IFERROR(INDEX('Hợp đồng'!$E$4:$E$203,MATCH($C202,'Hợp đồng'!$A$4:$A$203,0)),"")</f>
        <v/>
      </c>
      <c r="E202" s="50" t="n"/>
      <c r="F202" s="48" t="n"/>
      <c r="G202" s="48" t="n"/>
      <c r="H202" s="54">
        <f>IFERROR(MONTH($B202),"")</f>
        <v/>
      </c>
      <c r="I202" s="54">
        <f>IFERROR(YEAR($B202),"")</f>
        <v/>
      </c>
    </row>
    <row r="203" ht="15" customHeight="1" s="30">
      <c r="A203" s="48" t="n"/>
      <c r="B203" s="52" t="n"/>
      <c r="C203" s="48" t="n"/>
      <c r="D203" s="35">
        <f>IFERROR(INDEX('Hợp đồng'!$E$4:$E$203,MATCH($C203,'Hợp đồng'!$A$4:$A$203,0)),"")</f>
        <v/>
      </c>
      <c r="E203" s="50" t="n"/>
      <c r="F203" s="48" t="n"/>
      <c r="G203" s="48" t="n"/>
      <c r="H203" s="54">
        <f>IFERROR(MONTH($B203),"")</f>
        <v/>
      </c>
      <c r="I203" s="54">
        <f>IFERROR(YEAR($B203),"")</f>
        <v/>
      </c>
    </row>
    <row r="204" ht="15" customHeight="1" s="30">
      <c r="A204" s="48" t="n"/>
      <c r="B204" s="52" t="n"/>
      <c r="C204" s="48" t="n"/>
      <c r="D204" s="35">
        <f>IFERROR(INDEX('Hợp đồng'!$E$4:$E$203,MATCH($C204,'Hợp đồng'!$A$4:$A$203,0)),"")</f>
        <v/>
      </c>
      <c r="E204" s="50" t="n"/>
      <c r="F204" s="48" t="n"/>
      <c r="G204" s="48" t="n"/>
      <c r="H204" s="54">
        <f>IFERROR(MONTH($B204),"")</f>
        <v/>
      </c>
      <c r="I204" s="54">
        <f>IFERROR(YEAR($B204),"")</f>
        <v/>
      </c>
    </row>
    <row r="205" ht="15" customHeight="1" s="30">
      <c r="A205" s="48" t="n"/>
      <c r="B205" s="52" t="n"/>
      <c r="C205" s="48" t="n"/>
      <c r="D205" s="35">
        <f>IFERROR(INDEX('Hợp đồng'!$E$4:$E$203,MATCH($C205,'Hợp đồng'!$A$4:$A$203,0)),"")</f>
        <v/>
      </c>
      <c r="E205" s="50" t="n"/>
      <c r="F205" s="48" t="n"/>
      <c r="G205" s="48" t="n"/>
      <c r="H205" s="54">
        <f>IFERROR(MONTH($B205),"")</f>
        <v/>
      </c>
      <c r="I205" s="54">
        <f>IFERROR(YEAR($B205),"")</f>
        <v/>
      </c>
    </row>
    <row r="206" ht="15" customHeight="1" s="30">
      <c r="A206" s="48" t="n"/>
      <c r="B206" s="52" t="n"/>
      <c r="C206" s="48" t="n"/>
      <c r="D206" s="35">
        <f>IFERROR(INDEX('Hợp đồng'!$E$4:$E$203,MATCH($C206,'Hợp đồng'!$A$4:$A$203,0)),"")</f>
        <v/>
      </c>
      <c r="E206" s="50" t="n"/>
      <c r="F206" s="48" t="n"/>
      <c r="G206" s="48" t="n"/>
      <c r="H206" s="54">
        <f>IFERROR(MONTH($B206),"")</f>
        <v/>
      </c>
      <c r="I206" s="54">
        <f>IFERROR(YEAR($B206),"")</f>
        <v/>
      </c>
    </row>
    <row r="207" ht="15" customHeight="1" s="30">
      <c r="A207" s="48" t="n"/>
      <c r="B207" s="52" t="n"/>
      <c r="C207" s="48" t="n"/>
      <c r="D207" s="35">
        <f>IFERROR(INDEX('Hợp đồng'!$E$4:$E$203,MATCH($C207,'Hợp đồng'!$A$4:$A$203,0)),"")</f>
        <v/>
      </c>
      <c r="E207" s="50" t="n"/>
      <c r="F207" s="48" t="n"/>
      <c r="G207" s="48" t="n"/>
      <c r="H207" s="54">
        <f>IFERROR(MONTH($B207),"")</f>
        <v/>
      </c>
      <c r="I207" s="54">
        <f>IFERROR(YEAR($B207),"")</f>
        <v/>
      </c>
    </row>
    <row r="208" ht="15" customHeight="1" s="30">
      <c r="A208" s="48" t="n"/>
      <c r="B208" s="52" t="n"/>
      <c r="C208" s="48" t="n"/>
      <c r="D208" s="35">
        <f>IFERROR(INDEX('Hợp đồng'!$E$4:$E$203,MATCH($C208,'Hợp đồng'!$A$4:$A$203,0)),"")</f>
        <v/>
      </c>
      <c r="E208" s="50" t="n"/>
      <c r="F208" s="48" t="n"/>
      <c r="G208" s="48" t="n"/>
      <c r="H208" s="54">
        <f>IFERROR(MONTH($B208),"")</f>
        <v/>
      </c>
      <c r="I208" s="54">
        <f>IFERROR(YEAR($B208),"")</f>
        <v/>
      </c>
    </row>
    <row r="209" ht="15" customHeight="1" s="30">
      <c r="A209" s="48" t="n"/>
      <c r="B209" s="52" t="n"/>
      <c r="C209" s="48" t="n"/>
      <c r="D209" s="35">
        <f>IFERROR(INDEX('Hợp đồng'!$E$4:$E$203,MATCH($C209,'Hợp đồng'!$A$4:$A$203,0)),"")</f>
        <v/>
      </c>
      <c r="E209" s="50" t="n"/>
      <c r="F209" s="48" t="n"/>
      <c r="G209" s="48" t="n"/>
      <c r="H209" s="54">
        <f>IFERROR(MONTH($B209),"")</f>
        <v/>
      </c>
      <c r="I209" s="54">
        <f>IFERROR(YEAR($B209),"")</f>
        <v/>
      </c>
    </row>
    <row r="210" ht="15" customHeight="1" s="30">
      <c r="A210" s="48" t="n"/>
      <c r="B210" s="52" t="n"/>
      <c r="C210" s="48" t="n"/>
      <c r="D210" s="35">
        <f>IFERROR(INDEX('Hợp đồng'!$E$4:$E$203,MATCH($C210,'Hợp đồng'!$A$4:$A$203,0)),"")</f>
        <v/>
      </c>
      <c r="E210" s="50" t="n"/>
      <c r="F210" s="48" t="n"/>
      <c r="G210" s="48" t="n"/>
      <c r="H210" s="54">
        <f>IFERROR(MONTH($B210),"")</f>
        <v/>
      </c>
      <c r="I210" s="54">
        <f>IFERROR(YEAR($B210),"")</f>
        <v/>
      </c>
    </row>
    <row r="211" ht="15" customHeight="1" s="30">
      <c r="A211" s="48" t="n"/>
      <c r="B211" s="52" t="n"/>
      <c r="C211" s="48" t="n"/>
      <c r="D211" s="35">
        <f>IFERROR(INDEX('Hợp đồng'!$E$4:$E$203,MATCH($C211,'Hợp đồng'!$A$4:$A$203,0)),"")</f>
        <v/>
      </c>
      <c r="E211" s="50" t="n"/>
      <c r="F211" s="48" t="n"/>
      <c r="G211" s="48" t="n"/>
      <c r="H211" s="54">
        <f>IFERROR(MONTH($B211),"")</f>
        <v/>
      </c>
      <c r="I211" s="54">
        <f>IFERROR(YEAR($B211),"")</f>
        <v/>
      </c>
    </row>
    <row r="212" ht="15" customHeight="1" s="30">
      <c r="A212" s="48" t="n"/>
      <c r="B212" s="52" t="n"/>
      <c r="C212" s="48" t="n"/>
      <c r="D212" s="35">
        <f>IFERROR(INDEX('Hợp đồng'!$E$4:$E$203,MATCH($C212,'Hợp đồng'!$A$4:$A$203,0)),"")</f>
        <v/>
      </c>
      <c r="E212" s="50" t="n"/>
      <c r="F212" s="48" t="n"/>
      <c r="G212" s="48" t="n"/>
      <c r="H212" s="54">
        <f>IFERROR(MONTH($B212),"")</f>
        <v/>
      </c>
      <c r="I212" s="54">
        <f>IFERROR(YEAR($B212),"")</f>
        <v/>
      </c>
    </row>
    <row r="213" ht="15" customHeight="1" s="30">
      <c r="A213" s="48" t="n"/>
      <c r="B213" s="52" t="n"/>
      <c r="C213" s="48" t="n"/>
      <c r="D213" s="35">
        <f>IFERROR(INDEX('Hợp đồng'!$E$4:$E$203,MATCH($C213,'Hợp đồng'!$A$4:$A$203,0)),"")</f>
        <v/>
      </c>
      <c r="E213" s="50" t="n"/>
      <c r="F213" s="48" t="n"/>
      <c r="G213" s="48" t="n"/>
      <c r="H213" s="54">
        <f>IFERROR(MONTH($B213),"")</f>
        <v/>
      </c>
      <c r="I213" s="54">
        <f>IFERROR(YEAR($B213),"")</f>
        <v/>
      </c>
    </row>
    <row r="214" ht="15" customHeight="1" s="30">
      <c r="A214" s="48" t="n"/>
      <c r="B214" s="52" t="n"/>
      <c r="C214" s="48" t="n"/>
      <c r="D214" s="35">
        <f>IFERROR(INDEX('Hợp đồng'!$E$4:$E$203,MATCH($C214,'Hợp đồng'!$A$4:$A$203,0)),"")</f>
        <v/>
      </c>
      <c r="E214" s="50" t="n"/>
      <c r="F214" s="48" t="n"/>
      <c r="G214" s="48" t="n"/>
      <c r="H214" s="54">
        <f>IFERROR(MONTH($B214),"")</f>
        <v/>
      </c>
      <c r="I214" s="54">
        <f>IFERROR(YEAR($B214),"")</f>
        <v/>
      </c>
    </row>
    <row r="215" ht="15" customHeight="1" s="30">
      <c r="A215" s="48" t="n"/>
      <c r="B215" s="52" t="n"/>
      <c r="C215" s="48" t="n"/>
      <c r="D215" s="35">
        <f>IFERROR(INDEX('Hợp đồng'!$E$4:$E$203,MATCH($C215,'Hợp đồng'!$A$4:$A$203,0)),"")</f>
        <v/>
      </c>
      <c r="E215" s="50" t="n"/>
      <c r="F215" s="48" t="n"/>
      <c r="G215" s="48" t="n"/>
      <c r="H215" s="54">
        <f>IFERROR(MONTH($B215),"")</f>
        <v/>
      </c>
      <c r="I215" s="54">
        <f>IFERROR(YEAR($B215),"")</f>
        <v/>
      </c>
    </row>
    <row r="216" ht="15" customHeight="1" s="30">
      <c r="A216" s="48" t="n"/>
      <c r="B216" s="52" t="n"/>
      <c r="C216" s="48" t="n"/>
      <c r="D216" s="35">
        <f>IFERROR(INDEX('Hợp đồng'!$E$4:$E$203,MATCH($C216,'Hợp đồng'!$A$4:$A$203,0)),"")</f>
        <v/>
      </c>
      <c r="E216" s="50" t="n"/>
      <c r="F216" s="48" t="n"/>
      <c r="G216" s="48" t="n"/>
      <c r="H216" s="54">
        <f>IFERROR(MONTH($B216),"")</f>
        <v/>
      </c>
      <c r="I216" s="54">
        <f>IFERROR(YEAR($B216),"")</f>
        <v/>
      </c>
    </row>
    <row r="217" ht="15" customHeight="1" s="30">
      <c r="A217" s="48" t="n"/>
      <c r="B217" s="52" t="n"/>
      <c r="C217" s="48" t="n"/>
      <c r="D217" s="35">
        <f>IFERROR(INDEX('Hợp đồng'!$E$4:$E$203,MATCH($C217,'Hợp đồng'!$A$4:$A$203,0)),"")</f>
        <v/>
      </c>
      <c r="E217" s="50" t="n"/>
      <c r="F217" s="48" t="n"/>
      <c r="G217" s="48" t="n"/>
      <c r="H217" s="54">
        <f>IFERROR(MONTH($B217),"")</f>
        <v/>
      </c>
      <c r="I217" s="54">
        <f>IFERROR(YEAR($B217),"")</f>
        <v/>
      </c>
    </row>
    <row r="218" ht="15" customHeight="1" s="30">
      <c r="A218" s="48" t="n"/>
      <c r="B218" s="52" t="n"/>
      <c r="C218" s="48" t="n"/>
      <c r="D218" s="35">
        <f>IFERROR(INDEX('Hợp đồng'!$E$4:$E$203,MATCH($C218,'Hợp đồng'!$A$4:$A$203,0)),"")</f>
        <v/>
      </c>
      <c r="E218" s="50" t="n"/>
      <c r="F218" s="48" t="n"/>
      <c r="G218" s="48" t="n"/>
      <c r="H218" s="54">
        <f>IFERROR(MONTH($B218),"")</f>
        <v/>
      </c>
      <c r="I218" s="54">
        <f>IFERROR(YEAR($B218),"")</f>
        <v/>
      </c>
    </row>
    <row r="219" ht="15" customHeight="1" s="30">
      <c r="A219" s="48" t="n"/>
      <c r="B219" s="52" t="n"/>
      <c r="C219" s="48" t="n"/>
      <c r="D219" s="35">
        <f>IFERROR(INDEX('Hợp đồng'!$E$4:$E$203,MATCH($C219,'Hợp đồng'!$A$4:$A$203,0)),"")</f>
        <v/>
      </c>
      <c r="E219" s="50" t="n"/>
      <c r="F219" s="48" t="n"/>
      <c r="G219" s="48" t="n"/>
      <c r="H219" s="54">
        <f>IFERROR(MONTH($B219),"")</f>
        <v/>
      </c>
      <c r="I219" s="54">
        <f>IFERROR(YEAR($B219),"")</f>
        <v/>
      </c>
    </row>
    <row r="220" ht="15" customHeight="1" s="30">
      <c r="A220" s="48" t="n"/>
      <c r="B220" s="52" t="n"/>
      <c r="C220" s="48" t="n"/>
      <c r="D220" s="35">
        <f>IFERROR(INDEX('Hợp đồng'!$E$4:$E$203,MATCH($C220,'Hợp đồng'!$A$4:$A$203,0)),"")</f>
        <v/>
      </c>
      <c r="E220" s="50" t="n"/>
      <c r="F220" s="48" t="n"/>
      <c r="G220" s="48" t="n"/>
      <c r="H220" s="54">
        <f>IFERROR(MONTH($B220),"")</f>
        <v/>
      </c>
      <c r="I220" s="54">
        <f>IFERROR(YEAR($B220),"")</f>
        <v/>
      </c>
    </row>
    <row r="221" ht="15" customHeight="1" s="30">
      <c r="A221" s="48" t="n"/>
      <c r="B221" s="52" t="n"/>
      <c r="C221" s="48" t="n"/>
      <c r="D221" s="35">
        <f>IFERROR(INDEX('Hợp đồng'!$E$4:$E$203,MATCH($C221,'Hợp đồng'!$A$4:$A$203,0)),"")</f>
        <v/>
      </c>
      <c r="E221" s="50" t="n"/>
      <c r="F221" s="48" t="n"/>
      <c r="G221" s="48" t="n"/>
      <c r="H221" s="54">
        <f>IFERROR(MONTH($B221),"")</f>
        <v/>
      </c>
      <c r="I221" s="54">
        <f>IFERROR(YEAR($B221),"")</f>
        <v/>
      </c>
    </row>
    <row r="222" ht="15" customHeight="1" s="30">
      <c r="A222" s="48" t="n"/>
      <c r="B222" s="52" t="n"/>
      <c r="C222" s="48" t="n"/>
      <c r="D222" s="35">
        <f>IFERROR(INDEX('Hợp đồng'!$E$4:$E$203,MATCH($C222,'Hợp đồng'!$A$4:$A$203,0)),"")</f>
        <v/>
      </c>
      <c r="E222" s="50" t="n"/>
      <c r="F222" s="48" t="n"/>
      <c r="G222" s="48" t="n"/>
      <c r="H222" s="54">
        <f>IFERROR(MONTH($B222),"")</f>
        <v/>
      </c>
      <c r="I222" s="54">
        <f>IFERROR(YEAR($B222),"")</f>
        <v/>
      </c>
    </row>
    <row r="223" ht="15" customHeight="1" s="30">
      <c r="A223" s="48" t="n"/>
      <c r="B223" s="52" t="n"/>
      <c r="C223" s="48" t="n"/>
      <c r="D223" s="35">
        <f>IFERROR(INDEX('Hợp đồng'!$E$4:$E$203,MATCH($C223,'Hợp đồng'!$A$4:$A$203,0)),"")</f>
        <v/>
      </c>
      <c r="E223" s="50" t="n"/>
      <c r="F223" s="48" t="n"/>
      <c r="G223" s="48" t="n"/>
      <c r="H223" s="54">
        <f>IFERROR(MONTH($B223),"")</f>
        <v/>
      </c>
      <c r="I223" s="54">
        <f>IFERROR(YEAR($B223),"")</f>
        <v/>
      </c>
    </row>
    <row r="224" ht="15" customHeight="1" s="30">
      <c r="A224" s="48" t="n"/>
      <c r="B224" s="52" t="n"/>
      <c r="C224" s="48" t="n"/>
      <c r="D224" s="35">
        <f>IFERROR(INDEX('Hợp đồng'!$E$4:$E$203,MATCH($C224,'Hợp đồng'!$A$4:$A$203,0)),"")</f>
        <v/>
      </c>
      <c r="E224" s="50" t="n"/>
      <c r="F224" s="48" t="n"/>
      <c r="G224" s="48" t="n"/>
      <c r="H224" s="54">
        <f>IFERROR(MONTH($B224),"")</f>
        <v/>
      </c>
      <c r="I224" s="54">
        <f>IFERROR(YEAR($B224),"")</f>
        <v/>
      </c>
    </row>
    <row r="225" ht="15" customHeight="1" s="30">
      <c r="A225" s="48" t="n"/>
      <c r="B225" s="52" t="n"/>
      <c r="C225" s="48" t="n"/>
      <c r="D225" s="35">
        <f>IFERROR(INDEX('Hợp đồng'!$E$4:$E$203,MATCH($C225,'Hợp đồng'!$A$4:$A$203,0)),"")</f>
        <v/>
      </c>
      <c r="E225" s="50" t="n"/>
      <c r="F225" s="48" t="n"/>
      <c r="G225" s="48" t="n"/>
      <c r="H225" s="54">
        <f>IFERROR(MONTH($B225),"")</f>
        <v/>
      </c>
      <c r="I225" s="54">
        <f>IFERROR(YEAR($B225),"")</f>
        <v/>
      </c>
    </row>
    <row r="226" ht="15" customHeight="1" s="30">
      <c r="A226" s="48" t="n"/>
      <c r="B226" s="52" t="n"/>
      <c r="C226" s="48" t="n"/>
      <c r="D226" s="35">
        <f>IFERROR(INDEX('Hợp đồng'!$E$4:$E$203,MATCH($C226,'Hợp đồng'!$A$4:$A$203,0)),"")</f>
        <v/>
      </c>
      <c r="E226" s="50" t="n"/>
      <c r="F226" s="48" t="n"/>
      <c r="G226" s="48" t="n"/>
      <c r="H226" s="54">
        <f>IFERROR(MONTH($B226),"")</f>
        <v/>
      </c>
      <c r="I226" s="54">
        <f>IFERROR(YEAR($B226),"")</f>
        <v/>
      </c>
    </row>
    <row r="227" ht="15" customHeight="1" s="30">
      <c r="A227" s="48" t="n"/>
      <c r="B227" s="52" t="n"/>
      <c r="C227" s="48" t="n"/>
      <c r="D227" s="35">
        <f>IFERROR(INDEX('Hợp đồng'!$E$4:$E$203,MATCH($C227,'Hợp đồng'!$A$4:$A$203,0)),"")</f>
        <v/>
      </c>
      <c r="E227" s="50" t="n"/>
      <c r="F227" s="48" t="n"/>
      <c r="G227" s="48" t="n"/>
      <c r="H227" s="54">
        <f>IFERROR(MONTH($B227),"")</f>
        <v/>
      </c>
      <c r="I227" s="54">
        <f>IFERROR(YEAR($B227),"")</f>
        <v/>
      </c>
    </row>
    <row r="228" ht="15" customHeight="1" s="30">
      <c r="A228" s="48" t="n"/>
      <c r="B228" s="52" t="n"/>
      <c r="C228" s="48" t="n"/>
      <c r="D228" s="35">
        <f>IFERROR(INDEX('Hợp đồng'!$E$4:$E$203,MATCH($C228,'Hợp đồng'!$A$4:$A$203,0)),"")</f>
        <v/>
      </c>
      <c r="E228" s="50" t="n"/>
      <c r="F228" s="48" t="n"/>
      <c r="G228" s="48" t="n"/>
      <c r="H228" s="54">
        <f>IFERROR(MONTH($B228),"")</f>
        <v/>
      </c>
      <c r="I228" s="54">
        <f>IFERROR(YEAR($B228),"")</f>
        <v/>
      </c>
    </row>
    <row r="229" ht="15" customHeight="1" s="30">
      <c r="A229" s="48" t="n"/>
      <c r="B229" s="52" t="n"/>
      <c r="C229" s="48" t="n"/>
      <c r="D229" s="35">
        <f>IFERROR(INDEX('Hợp đồng'!$E$4:$E$203,MATCH($C229,'Hợp đồng'!$A$4:$A$203,0)),"")</f>
        <v/>
      </c>
      <c r="E229" s="50" t="n"/>
      <c r="F229" s="48" t="n"/>
      <c r="G229" s="48" t="n"/>
      <c r="H229" s="54">
        <f>IFERROR(MONTH($B229),"")</f>
        <v/>
      </c>
      <c r="I229" s="54">
        <f>IFERROR(YEAR($B229),"")</f>
        <v/>
      </c>
    </row>
    <row r="230" ht="15" customHeight="1" s="30">
      <c r="A230" s="48" t="n"/>
      <c r="B230" s="52" t="n"/>
      <c r="C230" s="48" t="n"/>
      <c r="D230" s="35">
        <f>IFERROR(INDEX('Hợp đồng'!$E$4:$E$203,MATCH($C230,'Hợp đồng'!$A$4:$A$203,0)),"")</f>
        <v/>
      </c>
      <c r="E230" s="50" t="n"/>
      <c r="F230" s="48" t="n"/>
      <c r="G230" s="48" t="n"/>
      <c r="H230" s="54">
        <f>IFERROR(MONTH($B230),"")</f>
        <v/>
      </c>
      <c r="I230" s="54">
        <f>IFERROR(YEAR($B230),"")</f>
        <v/>
      </c>
    </row>
    <row r="231" ht="15" customHeight="1" s="30">
      <c r="A231" s="48" t="n"/>
      <c r="B231" s="52" t="n"/>
      <c r="C231" s="48" t="n"/>
      <c r="D231" s="35">
        <f>IFERROR(INDEX('Hợp đồng'!$E$4:$E$203,MATCH($C231,'Hợp đồng'!$A$4:$A$203,0)),"")</f>
        <v/>
      </c>
      <c r="E231" s="50" t="n"/>
      <c r="F231" s="48" t="n"/>
      <c r="G231" s="48" t="n"/>
      <c r="H231" s="54">
        <f>IFERROR(MONTH($B231),"")</f>
        <v/>
      </c>
      <c r="I231" s="54">
        <f>IFERROR(YEAR($B231),"")</f>
        <v/>
      </c>
    </row>
    <row r="232" ht="15" customHeight="1" s="30">
      <c r="A232" s="48" t="n"/>
      <c r="B232" s="52" t="n"/>
      <c r="C232" s="48" t="n"/>
      <c r="D232" s="35">
        <f>IFERROR(INDEX('Hợp đồng'!$E$4:$E$203,MATCH($C232,'Hợp đồng'!$A$4:$A$203,0)),"")</f>
        <v/>
      </c>
      <c r="E232" s="50" t="n"/>
      <c r="F232" s="48" t="n"/>
      <c r="G232" s="48" t="n"/>
      <c r="H232" s="54">
        <f>IFERROR(MONTH($B232),"")</f>
        <v/>
      </c>
      <c r="I232" s="54">
        <f>IFERROR(YEAR($B232),"")</f>
        <v/>
      </c>
    </row>
    <row r="233" ht="15" customHeight="1" s="30">
      <c r="A233" s="48" t="n"/>
      <c r="B233" s="52" t="n"/>
      <c r="C233" s="48" t="n"/>
      <c r="D233" s="35">
        <f>IFERROR(INDEX('Hợp đồng'!$E$4:$E$203,MATCH($C233,'Hợp đồng'!$A$4:$A$203,0)),"")</f>
        <v/>
      </c>
      <c r="E233" s="50" t="n"/>
      <c r="F233" s="48" t="n"/>
      <c r="G233" s="48" t="n"/>
      <c r="H233" s="54">
        <f>IFERROR(MONTH($B233),"")</f>
        <v/>
      </c>
      <c r="I233" s="54">
        <f>IFERROR(YEAR($B233),"")</f>
        <v/>
      </c>
    </row>
    <row r="234" ht="15" customHeight="1" s="30">
      <c r="A234" s="48" t="n"/>
      <c r="B234" s="52" t="n"/>
      <c r="C234" s="48" t="n"/>
      <c r="D234" s="35">
        <f>IFERROR(INDEX('Hợp đồng'!$E$4:$E$203,MATCH($C234,'Hợp đồng'!$A$4:$A$203,0)),"")</f>
        <v/>
      </c>
      <c r="E234" s="50" t="n"/>
      <c r="F234" s="48" t="n"/>
      <c r="G234" s="48" t="n"/>
      <c r="H234" s="54">
        <f>IFERROR(MONTH($B234),"")</f>
        <v/>
      </c>
      <c r="I234" s="54">
        <f>IFERROR(YEAR($B234),"")</f>
        <v/>
      </c>
    </row>
    <row r="235" ht="15" customHeight="1" s="30">
      <c r="A235" s="48" t="n"/>
      <c r="B235" s="52" t="n"/>
      <c r="C235" s="48" t="n"/>
      <c r="D235" s="35">
        <f>IFERROR(INDEX('Hợp đồng'!$E$4:$E$203,MATCH($C235,'Hợp đồng'!$A$4:$A$203,0)),"")</f>
        <v/>
      </c>
      <c r="E235" s="50" t="n"/>
      <c r="F235" s="48" t="n"/>
      <c r="G235" s="48" t="n"/>
      <c r="H235" s="54">
        <f>IFERROR(MONTH($B235),"")</f>
        <v/>
      </c>
      <c r="I235" s="54">
        <f>IFERROR(YEAR($B235),"")</f>
        <v/>
      </c>
    </row>
    <row r="236" ht="15" customHeight="1" s="30">
      <c r="A236" s="48" t="n"/>
      <c r="B236" s="52" t="n"/>
      <c r="C236" s="48" t="n"/>
      <c r="D236" s="35">
        <f>IFERROR(INDEX('Hợp đồng'!$E$4:$E$203,MATCH($C236,'Hợp đồng'!$A$4:$A$203,0)),"")</f>
        <v/>
      </c>
      <c r="E236" s="50" t="n"/>
      <c r="F236" s="48" t="n"/>
      <c r="G236" s="48" t="n"/>
      <c r="H236" s="54">
        <f>IFERROR(MONTH($B236),"")</f>
        <v/>
      </c>
      <c r="I236" s="54">
        <f>IFERROR(YEAR($B236),"")</f>
        <v/>
      </c>
    </row>
    <row r="237" ht="15" customHeight="1" s="30">
      <c r="A237" s="48" t="n"/>
      <c r="B237" s="52" t="n"/>
      <c r="C237" s="48" t="n"/>
      <c r="D237" s="35">
        <f>IFERROR(INDEX('Hợp đồng'!$E$4:$E$203,MATCH($C237,'Hợp đồng'!$A$4:$A$203,0)),"")</f>
        <v/>
      </c>
      <c r="E237" s="50" t="n"/>
      <c r="F237" s="48" t="n"/>
      <c r="G237" s="48" t="n"/>
      <c r="H237" s="54">
        <f>IFERROR(MONTH($B237),"")</f>
        <v/>
      </c>
      <c r="I237" s="54">
        <f>IFERROR(YEAR($B237),"")</f>
        <v/>
      </c>
    </row>
    <row r="238" ht="15" customHeight="1" s="30">
      <c r="A238" s="48" t="n"/>
      <c r="B238" s="52" t="n"/>
      <c r="C238" s="48" t="n"/>
      <c r="D238" s="35">
        <f>IFERROR(INDEX('Hợp đồng'!$E$4:$E$203,MATCH($C238,'Hợp đồng'!$A$4:$A$203,0)),"")</f>
        <v/>
      </c>
      <c r="E238" s="50" t="n"/>
      <c r="F238" s="48" t="n"/>
      <c r="G238" s="48" t="n"/>
      <c r="H238" s="54">
        <f>IFERROR(MONTH($B238),"")</f>
        <v/>
      </c>
      <c r="I238" s="54">
        <f>IFERROR(YEAR($B238),"")</f>
        <v/>
      </c>
    </row>
    <row r="239" ht="15" customHeight="1" s="30">
      <c r="A239" s="48" t="n"/>
      <c r="B239" s="52" t="n"/>
      <c r="C239" s="48" t="n"/>
      <c r="D239" s="35">
        <f>IFERROR(INDEX('Hợp đồng'!$E$4:$E$203,MATCH($C239,'Hợp đồng'!$A$4:$A$203,0)),"")</f>
        <v/>
      </c>
      <c r="E239" s="50" t="n"/>
      <c r="F239" s="48" t="n"/>
      <c r="G239" s="48" t="n"/>
      <c r="H239" s="54">
        <f>IFERROR(MONTH($B239),"")</f>
        <v/>
      </c>
      <c r="I239" s="54">
        <f>IFERROR(YEAR($B239),"")</f>
        <v/>
      </c>
    </row>
    <row r="240" ht="15" customHeight="1" s="30">
      <c r="A240" s="48" t="n"/>
      <c r="B240" s="52" t="n"/>
      <c r="C240" s="48" t="n"/>
      <c r="D240" s="35">
        <f>IFERROR(INDEX('Hợp đồng'!$E$4:$E$203,MATCH($C240,'Hợp đồng'!$A$4:$A$203,0)),"")</f>
        <v/>
      </c>
      <c r="E240" s="50" t="n"/>
      <c r="F240" s="48" t="n"/>
      <c r="G240" s="48" t="n"/>
      <c r="H240" s="54">
        <f>IFERROR(MONTH($B240),"")</f>
        <v/>
      </c>
      <c r="I240" s="54">
        <f>IFERROR(YEAR($B240),"")</f>
        <v/>
      </c>
    </row>
    <row r="241" ht="15" customHeight="1" s="30">
      <c r="A241" s="48" t="n"/>
      <c r="B241" s="52" t="n"/>
      <c r="C241" s="48" t="n"/>
      <c r="D241" s="35">
        <f>IFERROR(INDEX('Hợp đồng'!$E$4:$E$203,MATCH($C241,'Hợp đồng'!$A$4:$A$203,0)),"")</f>
        <v/>
      </c>
      <c r="E241" s="50" t="n"/>
      <c r="F241" s="48" t="n"/>
      <c r="G241" s="48" t="n"/>
      <c r="H241" s="54">
        <f>IFERROR(MONTH($B241),"")</f>
        <v/>
      </c>
      <c r="I241" s="54">
        <f>IFERROR(YEAR($B241),"")</f>
        <v/>
      </c>
    </row>
    <row r="242" ht="15" customHeight="1" s="30">
      <c r="A242" s="48" t="n"/>
      <c r="B242" s="52" t="n"/>
      <c r="C242" s="48" t="n"/>
      <c r="D242" s="35">
        <f>IFERROR(INDEX('Hợp đồng'!$E$4:$E$203,MATCH($C242,'Hợp đồng'!$A$4:$A$203,0)),"")</f>
        <v/>
      </c>
      <c r="E242" s="50" t="n"/>
      <c r="F242" s="48" t="n"/>
      <c r="G242" s="48" t="n"/>
      <c r="H242" s="54">
        <f>IFERROR(MONTH($B242),"")</f>
        <v/>
      </c>
      <c r="I242" s="54">
        <f>IFERROR(YEAR($B242),"")</f>
        <v/>
      </c>
    </row>
    <row r="243" ht="15" customHeight="1" s="30">
      <c r="A243" s="48" t="n"/>
      <c r="B243" s="52" t="n"/>
      <c r="C243" s="48" t="n"/>
      <c r="D243" s="35">
        <f>IFERROR(INDEX('Hợp đồng'!$E$4:$E$203,MATCH($C243,'Hợp đồng'!$A$4:$A$203,0)),"")</f>
        <v/>
      </c>
      <c r="E243" s="50" t="n"/>
      <c r="F243" s="48" t="n"/>
      <c r="G243" s="48" t="n"/>
      <c r="H243" s="54">
        <f>IFERROR(MONTH($B243),"")</f>
        <v/>
      </c>
      <c r="I243" s="54">
        <f>IFERROR(YEAR($B243),"")</f>
        <v/>
      </c>
    </row>
    <row r="244" ht="15" customHeight="1" s="30">
      <c r="A244" s="48" t="n"/>
      <c r="B244" s="52" t="n"/>
      <c r="C244" s="48" t="n"/>
      <c r="D244" s="35">
        <f>IFERROR(INDEX('Hợp đồng'!$E$4:$E$203,MATCH($C244,'Hợp đồng'!$A$4:$A$203,0)),"")</f>
        <v/>
      </c>
      <c r="E244" s="50" t="n"/>
      <c r="F244" s="48" t="n"/>
      <c r="G244" s="48" t="n"/>
      <c r="H244" s="54">
        <f>IFERROR(MONTH($B244),"")</f>
        <v/>
      </c>
      <c r="I244" s="54">
        <f>IFERROR(YEAR($B244),"")</f>
        <v/>
      </c>
    </row>
    <row r="245" ht="15" customHeight="1" s="30">
      <c r="A245" s="48" t="n"/>
      <c r="B245" s="52" t="n"/>
      <c r="C245" s="48" t="n"/>
      <c r="D245" s="35">
        <f>IFERROR(INDEX('Hợp đồng'!$E$4:$E$203,MATCH($C245,'Hợp đồng'!$A$4:$A$203,0)),"")</f>
        <v/>
      </c>
      <c r="E245" s="50" t="n"/>
      <c r="F245" s="48" t="n"/>
      <c r="G245" s="48" t="n"/>
      <c r="H245" s="54">
        <f>IFERROR(MONTH($B245),"")</f>
        <v/>
      </c>
      <c r="I245" s="54">
        <f>IFERROR(YEAR($B245),"")</f>
        <v/>
      </c>
    </row>
    <row r="246" ht="15" customHeight="1" s="30">
      <c r="A246" s="48" t="n"/>
      <c r="B246" s="52" t="n"/>
      <c r="C246" s="48" t="n"/>
      <c r="D246" s="35">
        <f>IFERROR(INDEX('Hợp đồng'!$E$4:$E$203,MATCH($C246,'Hợp đồng'!$A$4:$A$203,0)),"")</f>
        <v/>
      </c>
      <c r="E246" s="50" t="n"/>
      <c r="F246" s="48" t="n"/>
      <c r="G246" s="48" t="n"/>
      <c r="H246" s="54">
        <f>IFERROR(MONTH($B246),"")</f>
        <v/>
      </c>
      <c r="I246" s="54">
        <f>IFERROR(YEAR($B246),"")</f>
        <v/>
      </c>
    </row>
    <row r="247" ht="15" customHeight="1" s="30">
      <c r="A247" s="48" t="n"/>
      <c r="B247" s="52" t="n"/>
      <c r="C247" s="48" t="n"/>
      <c r="D247" s="35">
        <f>IFERROR(INDEX('Hợp đồng'!$E$4:$E$203,MATCH($C247,'Hợp đồng'!$A$4:$A$203,0)),"")</f>
        <v/>
      </c>
      <c r="E247" s="50" t="n"/>
      <c r="F247" s="48" t="n"/>
      <c r="G247" s="48" t="n"/>
      <c r="H247" s="54">
        <f>IFERROR(MONTH($B247),"")</f>
        <v/>
      </c>
      <c r="I247" s="54">
        <f>IFERROR(YEAR($B247),"")</f>
        <v/>
      </c>
    </row>
    <row r="248" ht="15" customHeight="1" s="30">
      <c r="A248" s="48" t="n"/>
      <c r="B248" s="52" t="n"/>
      <c r="C248" s="48" t="n"/>
      <c r="D248" s="35">
        <f>IFERROR(INDEX('Hợp đồng'!$E$4:$E$203,MATCH($C248,'Hợp đồng'!$A$4:$A$203,0)),"")</f>
        <v/>
      </c>
      <c r="E248" s="50" t="n"/>
      <c r="F248" s="48" t="n"/>
      <c r="G248" s="48" t="n"/>
      <c r="H248" s="54">
        <f>IFERROR(MONTH($B248),"")</f>
        <v/>
      </c>
      <c r="I248" s="54">
        <f>IFERROR(YEAR($B248),"")</f>
        <v/>
      </c>
    </row>
    <row r="249" ht="15" customHeight="1" s="30">
      <c r="A249" s="48" t="n"/>
      <c r="B249" s="52" t="n"/>
      <c r="C249" s="48" t="n"/>
      <c r="D249" s="35">
        <f>IFERROR(INDEX('Hợp đồng'!$E$4:$E$203,MATCH($C249,'Hợp đồng'!$A$4:$A$203,0)),"")</f>
        <v/>
      </c>
      <c r="E249" s="50" t="n"/>
      <c r="F249" s="48" t="n"/>
      <c r="G249" s="48" t="n"/>
      <c r="H249" s="54">
        <f>IFERROR(MONTH($B249),"")</f>
        <v/>
      </c>
      <c r="I249" s="54">
        <f>IFERROR(YEAR($B249),"")</f>
        <v/>
      </c>
    </row>
    <row r="250" ht="15" customHeight="1" s="30">
      <c r="A250" s="48" t="n"/>
      <c r="B250" s="52" t="n"/>
      <c r="C250" s="48" t="n"/>
      <c r="D250" s="35">
        <f>IFERROR(INDEX('Hợp đồng'!$E$4:$E$203,MATCH($C250,'Hợp đồng'!$A$4:$A$203,0)),"")</f>
        <v/>
      </c>
      <c r="E250" s="50" t="n"/>
      <c r="F250" s="48" t="n"/>
      <c r="G250" s="48" t="n"/>
      <c r="H250" s="54">
        <f>IFERROR(MONTH($B250),"")</f>
        <v/>
      </c>
      <c r="I250" s="54">
        <f>IFERROR(YEAR($B250),"")</f>
        <v/>
      </c>
    </row>
    <row r="251" ht="15" customHeight="1" s="30">
      <c r="A251" s="48" t="n"/>
      <c r="B251" s="52" t="n"/>
      <c r="C251" s="48" t="n"/>
      <c r="D251" s="35">
        <f>IFERROR(INDEX('Hợp đồng'!$E$4:$E$203,MATCH($C251,'Hợp đồng'!$A$4:$A$203,0)),"")</f>
        <v/>
      </c>
      <c r="E251" s="50" t="n"/>
      <c r="F251" s="48" t="n"/>
      <c r="G251" s="48" t="n"/>
      <c r="H251" s="54">
        <f>IFERROR(MONTH($B251),"")</f>
        <v/>
      </c>
      <c r="I251" s="54">
        <f>IFERROR(YEAR($B251),"")</f>
        <v/>
      </c>
    </row>
    <row r="252" ht="15" customHeight="1" s="30">
      <c r="A252" s="48" t="n"/>
      <c r="B252" s="52" t="n"/>
      <c r="C252" s="48" t="n"/>
      <c r="D252" s="35">
        <f>IFERROR(INDEX('Hợp đồng'!$E$4:$E$203,MATCH($C252,'Hợp đồng'!$A$4:$A$203,0)),"")</f>
        <v/>
      </c>
      <c r="E252" s="50" t="n"/>
      <c r="F252" s="48" t="n"/>
      <c r="G252" s="48" t="n"/>
      <c r="H252" s="54">
        <f>IFERROR(MONTH($B252),"")</f>
        <v/>
      </c>
      <c r="I252" s="54">
        <f>IFERROR(YEAR($B252),"")</f>
        <v/>
      </c>
    </row>
    <row r="253" ht="15" customHeight="1" s="30">
      <c r="A253" s="48" t="n"/>
      <c r="B253" s="52" t="n"/>
      <c r="C253" s="48" t="n"/>
      <c r="D253" s="35">
        <f>IFERROR(INDEX('Hợp đồng'!$E$4:$E$203,MATCH($C253,'Hợp đồng'!$A$4:$A$203,0)),"")</f>
        <v/>
      </c>
      <c r="E253" s="50" t="n"/>
      <c r="F253" s="48" t="n"/>
      <c r="G253" s="48" t="n"/>
      <c r="H253" s="54">
        <f>IFERROR(MONTH($B253),"")</f>
        <v/>
      </c>
      <c r="I253" s="54">
        <f>IFERROR(YEAR($B253),"")</f>
        <v/>
      </c>
    </row>
    <row r="254" ht="15" customHeight="1" s="30">
      <c r="A254" s="48" t="n"/>
      <c r="B254" s="52" t="n"/>
      <c r="C254" s="48" t="n"/>
      <c r="D254" s="35">
        <f>IFERROR(INDEX('Hợp đồng'!$E$4:$E$203,MATCH($C254,'Hợp đồng'!$A$4:$A$203,0)),"")</f>
        <v/>
      </c>
      <c r="E254" s="50" t="n"/>
      <c r="F254" s="48" t="n"/>
      <c r="G254" s="48" t="n"/>
      <c r="H254" s="54">
        <f>IFERROR(MONTH($B254),"")</f>
        <v/>
      </c>
      <c r="I254" s="54">
        <f>IFERROR(YEAR($B254),"")</f>
        <v/>
      </c>
    </row>
    <row r="255" ht="15" customHeight="1" s="30">
      <c r="A255" s="48" t="n"/>
      <c r="B255" s="52" t="n"/>
      <c r="C255" s="48" t="n"/>
      <c r="D255" s="35">
        <f>IFERROR(INDEX('Hợp đồng'!$E$4:$E$203,MATCH($C255,'Hợp đồng'!$A$4:$A$203,0)),"")</f>
        <v/>
      </c>
      <c r="E255" s="50" t="n"/>
      <c r="F255" s="48" t="n"/>
      <c r="G255" s="48" t="n"/>
      <c r="H255" s="54">
        <f>IFERROR(MONTH($B255),"")</f>
        <v/>
      </c>
      <c r="I255" s="54">
        <f>IFERROR(YEAR($B255),"")</f>
        <v/>
      </c>
    </row>
    <row r="256" ht="15" customHeight="1" s="30">
      <c r="A256" s="48" t="n"/>
      <c r="B256" s="52" t="n"/>
      <c r="C256" s="48" t="n"/>
      <c r="D256" s="35">
        <f>IFERROR(INDEX('Hợp đồng'!$E$4:$E$203,MATCH($C256,'Hợp đồng'!$A$4:$A$203,0)),"")</f>
        <v/>
      </c>
      <c r="E256" s="50" t="n"/>
      <c r="F256" s="48" t="n"/>
      <c r="G256" s="48" t="n"/>
      <c r="H256" s="54">
        <f>IFERROR(MONTH($B256),"")</f>
        <v/>
      </c>
      <c r="I256" s="54">
        <f>IFERROR(YEAR($B256),"")</f>
        <v/>
      </c>
    </row>
    <row r="257" ht="15" customHeight="1" s="30">
      <c r="A257" s="48" t="n"/>
      <c r="B257" s="52" t="n"/>
      <c r="C257" s="48" t="n"/>
      <c r="D257" s="35">
        <f>IFERROR(INDEX('Hợp đồng'!$E$4:$E$203,MATCH($C257,'Hợp đồng'!$A$4:$A$203,0)),"")</f>
        <v/>
      </c>
      <c r="E257" s="50" t="n"/>
      <c r="F257" s="48" t="n"/>
      <c r="G257" s="48" t="n"/>
      <c r="H257" s="54">
        <f>IFERROR(MONTH($B257),"")</f>
        <v/>
      </c>
      <c r="I257" s="54">
        <f>IFERROR(YEAR($B257),"")</f>
        <v/>
      </c>
    </row>
    <row r="258" ht="15" customHeight="1" s="30">
      <c r="A258" s="48" t="n"/>
      <c r="B258" s="52" t="n"/>
      <c r="C258" s="48" t="n"/>
      <c r="D258" s="35">
        <f>IFERROR(INDEX('Hợp đồng'!$E$4:$E$203,MATCH($C258,'Hợp đồng'!$A$4:$A$203,0)),"")</f>
        <v/>
      </c>
      <c r="E258" s="50" t="n"/>
      <c r="F258" s="48" t="n"/>
      <c r="G258" s="48" t="n"/>
      <c r="H258" s="54">
        <f>IFERROR(MONTH($B258),"")</f>
        <v/>
      </c>
      <c r="I258" s="54">
        <f>IFERROR(YEAR($B258),"")</f>
        <v/>
      </c>
    </row>
    <row r="259" ht="15" customHeight="1" s="30">
      <c r="A259" s="48" t="n"/>
      <c r="B259" s="52" t="n"/>
      <c r="C259" s="48" t="n"/>
      <c r="D259" s="35">
        <f>IFERROR(INDEX('Hợp đồng'!$E$4:$E$203,MATCH($C259,'Hợp đồng'!$A$4:$A$203,0)),"")</f>
        <v/>
      </c>
      <c r="E259" s="50" t="n"/>
      <c r="F259" s="48" t="n"/>
      <c r="G259" s="48" t="n"/>
      <c r="H259" s="54">
        <f>IFERROR(MONTH($B259),"")</f>
        <v/>
      </c>
      <c r="I259" s="54">
        <f>IFERROR(YEAR($B259),"")</f>
        <v/>
      </c>
    </row>
    <row r="260" ht="15" customHeight="1" s="30">
      <c r="A260" s="48" t="n"/>
      <c r="B260" s="52" t="n"/>
      <c r="C260" s="48" t="n"/>
      <c r="D260" s="35">
        <f>IFERROR(INDEX('Hợp đồng'!$E$4:$E$203,MATCH($C260,'Hợp đồng'!$A$4:$A$203,0)),"")</f>
        <v/>
      </c>
      <c r="E260" s="50" t="n"/>
      <c r="F260" s="48" t="n"/>
      <c r="G260" s="48" t="n"/>
      <c r="H260" s="54">
        <f>IFERROR(MONTH($B260),"")</f>
        <v/>
      </c>
      <c r="I260" s="54">
        <f>IFERROR(YEAR($B260),"")</f>
        <v/>
      </c>
    </row>
    <row r="261" ht="15" customHeight="1" s="30">
      <c r="A261" s="48" t="n"/>
      <c r="B261" s="52" t="n"/>
      <c r="C261" s="48" t="n"/>
      <c r="D261" s="35">
        <f>IFERROR(INDEX('Hợp đồng'!$E$4:$E$203,MATCH($C261,'Hợp đồng'!$A$4:$A$203,0)),"")</f>
        <v/>
      </c>
      <c r="E261" s="50" t="n"/>
      <c r="F261" s="48" t="n"/>
      <c r="G261" s="48" t="n"/>
      <c r="H261" s="54">
        <f>IFERROR(MONTH($B261),"")</f>
        <v/>
      </c>
      <c r="I261" s="54">
        <f>IFERROR(YEAR($B261),"")</f>
        <v/>
      </c>
    </row>
    <row r="262" ht="15" customHeight="1" s="30">
      <c r="A262" s="48" t="n"/>
      <c r="B262" s="52" t="n"/>
      <c r="C262" s="48" t="n"/>
      <c r="D262" s="35">
        <f>IFERROR(INDEX('Hợp đồng'!$E$4:$E$203,MATCH($C262,'Hợp đồng'!$A$4:$A$203,0)),"")</f>
        <v/>
      </c>
      <c r="E262" s="50" t="n"/>
      <c r="F262" s="48" t="n"/>
      <c r="G262" s="48" t="n"/>
      <c r="H262" s="54">
        <f>IFERROR(MONTH($B262),"")</f>
        <v/>
      </c>
      <c r="I262" s="54">
        <f>IFERROR(YEAR($B262),"")</f>
        <v/>
      </c>
    </row>
    <row r="263" ht="15" customHeight="1" s="30">
      <c r="A263" s="48" t="n"/>
      <c r="B263" s="52" t="n"/>
      <c r="C263" s="48" t="n"/>
      <c r="D263" s="35">
        <f>IFERROR(INDEX('Hợp đồng'!$E$4:$E$203,MATCH($C263,'Hợp đồng'!$A$4:$A$203,0)),"")</f>
        <v/>
      </c>
      <c r="E263" s="50" t="n"/>
      <c r="F263" s="48" t="n"/>
      <c r="G263" s="48" t="n"/>
      <c r="H263" s="54">
        <f>IFERROR(MONTH($B263),"")</f>
        <v/>
      </c>
      <c r="I263" s="54">
        <f>IFERROR(YEAR($B263),"")</f>
        <v/>
      </c>
    </row>
    <row r="264" ht="15" customHeight="1" s="30">
      <c r="A264" s="48" t="n"/>
      <c r="B264" s="52" t="n"/>
      <c r="C264" s="48" t="n"/>
      <c r="D264" s="35">
        <f>IFERROR(INDEX('Hợp đồng'!$E$4:$E$203,MATCH($C264,'Hợp đồng'!$A$4:$A$203,0)),"")</f>
        <v/>
      </c>
      <c r="E264" s="50" t="n"/>
      <c r="F264" s="48" t="n"/>
      <c r="G264" s="48" t="n"/>
      <c r="H264" s="54">
        <f>IFERROR(MONTH($B264),"")</f>
        <v/>
      </c>
      <c r="I264" s="54">
        <f>IFERROR(YEAR($B264),"")</f>
        <v/>
      </c>
    </row>
    <row r="265" ht="15" customHeight="1" s="30">
      <c r="A265" s="48" t="n"/>
      <c r="B265" s="52" t="n"/>
      <c r="C265" s="48" t="n"/>
      <c r="D265" s="35">
        <f>IFERROR(INDEX('Hợp đồng'!$E$4:$E$203,MATCH($C265,'Hợp đồng'!$A$4:$A$203,0)),"")</f>
        <v/>
      </c>
      <c r="E265" s="50" t="n"/>
      <c r="F265" s="48" t="n"/>
      <c r="G265" s="48" t="n"/>
      <c r="H265" s="54">
        <f>IFERROR(MONTH($B265),"")</f>
        <v/>
      </c>
      <c r="I265" s="54">
        <f>IFERROR(YEAR($B265),"")</f>
        <v/>
      </c>
    </row>
    <row r="266" ht="15" customHeight="1" s="30">
      <c r="A266" s="48" t="n"/>
      <c r="B266" s="52" t="n"/>
      <c r="C266" s="48" t="n"/>
      <c r="D266" s="35">
        <f>IFERROR(INDEX('Hợp đồng'!$E$4:$E$203,MATCH($C266,'Hợp đồng'!$A$4:$A$203,0)),"")</f>
        <v/>
      </c>
      <c r="E266" s="50" t="n"/>
      <c r="F266" s="48" t="n"/>
      <c r="G266" s="48" t="n"/>
      <c r="H266" s="54">
        <f>IFERROR(MONTH($B266),"")</f>
        <v/>
      </c>
      <c r="I266" s="54">
        <f>IFERROR(YEAR($B266),"")</f>
        <v/>
      </c>
    </row>
    <row r="267" ht="15" customHeight="1" s="30">
      <c r="A267" s="48" t="n"/>
      <c r="B267" s="52" t="n"/>
      <c r="C267" s="48" t="n"/>
      <c r="D267" s="35">
        <f>IFERROR(INDEX('Hợp đồng'!$E$4:$E$203,MATCH($C267,'Hợp đồng'!$A$4:$A$203,0)),"")</f>
        <v/>
      </c>
      <c r="E267" s="50" t="n"/>
      <c r="F267" s="48" t="n"/>
      <c r="G267" s="48" t="n"/>
      <c r="H267" s="54">
        <f>IFERROR(MONTH($B267),"")</f>
        <v/>
      </c>
      <c r="I267" s="54">
        <f>IFERROR(YEAR($B267),"")</f>
        <v/>
      </c>
    </row>
    <row r="268" ht="15" customHeight="1" s="30">
      <c r="A268" s="48" t="n"/>
      <c r="B268" s="52" t="n"/>
      <c r="C268" s="48" t="n"/>
      <c r="D268" s="35">
        <f>IFERROR(INDEX('Hợp đồng'!$E$4:$E$203,MATCH($C268,'Hợp đồng'!$A$4:$A$203,0)),"")</f>
        <v/>
      </c>
      <c r="E268" s="50" t="n"/>
      <c r="F268" s="48" t="n"/>
      <c r="G268" s="48" t="n"/>
      <c r="H268" s="54">
        <f>IFERROR(MONTH($B268),"")</f>
        <v/>
      </c>
      <c r="I268" s="54">
        <f>IFERROR(YEAR($B268),"")</f>
        <v/>
      </c>
    </row>
    <row r="269" ht="15" customHeight="1" s="30">
      <c r="A269" s="48" t="n"/>
      <c r="B269" s="52" t="n"/>
      <c r="C269" s="48" t="n"/>
      <c r="D269" s="35">
        <f>IFERROR(INDEX('Hợp đồng'!$E$4:$E$203,MATCH($C269,'Hợp đồng'!$A$4:$A$203,0)),"")</f>
        <v/>
      </c>
      <c r="E269" s="50" t="n"/>
      <c r="F269" s="48" t="n"/>
      <c r="G269" s="48" t="n"/>
      <c r="H269" s="54">
        <f>IFERROR(MONTH($B269),"")</f>
        <v/>
      </c>
      <c r="I269" s="54">
        <f>IFERROR(YEAR($B269),"")</f>
        <v/>
      </c>
    </row>
    <row r="270" ht="15" customHeight="1" s="30">
      <c r="A270" s="48" t="n"/>
      <c r="B270" s="52" t="n"/>
      <c r="C270" s="48" t="n"/>
      <c r="D270" s="35">
        <f>IFERROR(INDEX('Hợp đồng'!$E$4:$E$203,MATCH($C270,'Hợp đồng'!$A$4:$A$203,0)),"")</f>
        <v/>
      </c>
      <c r="E270" s="50" t="n"/>
      <c r="F270" s="48" t="n"/>
      <c r="G270" s="48" t="n"/>
      <c r="H270" s="54">
        <f>IFERROR(MONTH($B270),"")</f>
        <v/>
      </c>
      <c r="I270" s="54">
        <f>IFERROR(YEAR($B270),"")</f>
        <v/>
      </c>
    </row>
    <row r="271" ht="15" customHeight="1" s="30">
      <c r="A271" s="48" t="n"/>
      <c r="B271" s="52" t="n"/>
      <c r="C271" s="48" t="n"/>
      <c r="D271" s="35">
        <f>IFERROR(INDEX('Hợp đồng'!$E$4:$E$203,MATCH($C271,'Hợp đồng'!$A$4:$A$203,0)),"")</f>
        <v/>
      </c>
      <c r="E271" s="50" t="n"/>
      <c r="F271" s="48" t="n"/>
      <c r="G271" s="48" t="n"/>
      <c r="H271" s="54">
        <f>IFERROR(MONTH($B271),"")</f>
        <v/>
      </c>
      <c r="I271" s="54">
        <f>IFERROR(YEAR($B271),"")</f>
        <v/>
      </c>
    </row>
    <row r="272" ht="15" customHeight="1" s="30">
      <c r="A272" s="48" t="n"/>
      <c r="B272" s="52" t="n"/>
      <c r="C272" s="48" t="n"/>
      <c r="D272" s="35">
        <f>IFERROR(INDEX('Hợp đồng'!$E$4:$E$203,MATCH($C272,'Hợp đồng'!$A$4:$A$203,0)),"")</f>
        <v/>
      </c>
      <c r="E272" s="50" t="n"/>
      <c r="F272" s="48" t="n"/>
      <c r="G272" s="48" t="n"/>
      <c r="H272" s="54">
        <f>IFERROR(MONTH($B272),"")</f>
        <v/>
      </c>
      <c r="I272" s="54">
        <f>IFERROR(YEAR($B272),"")</f>
        <v/>
      </c>
    </row>
    <row r="273" ht="15" customHeight="1" s="30">
      <c r="A273" s="48" t="n"/>
      <c r="B273" s="52" t="n"/>
      <c r="C273" s="48" t="n"/>
      <c r="D273" s="35">
        <f>IFERROR(INDEX('Hợp đồng'!$E$4:$E$203,MATCH($C273,'Hợp đồng'!$A$4:$A$203,0)),"")</f>
        <v/>
      </c>
      <c r="E273" s="50" t="n"/>
      <c r="F273" s="48" t="n"/>
      <c r="G273" s="48" t="n"/>
      <c r="H273" s="54">
        <f>IFERROR(MONTH($B273),"")</f>
        <v/>
      </c>
      <c r="I273" s="54">
        <f>IFERROR(YEAR($B273),"")</f>
        <v/>
      </c>
    </row>
    <row r="274" ht="15" customHeight="1" s="30">
      <c r="A274" s="48" t="n"/>
      <c r="B274" s="52" t="n"/>
      <c r="C274" s="48" t="n"/>
      <c r="D274" s="35">
        <f>IFERROR(INDEX('Hợp đồng'!$E$4:$E$203,MATCH($C274,'Hợp đồng'!$A$4:$A$203,0)),"")</f>
        <v/>
      </c>
      <c r="E274" s="50" t="n"/>
      <c r="F274" s="48" t="n"/>
      <c r="G274" s="48" t="n"/>
      <c r="H274" s="54">
        <f>IFERROR(MONTH($B274),"")</f>
        <v/>
      </c>
      <c r="I274" s="54">
        <f>IFERROR(YEAR($B274),"")</f>
        <v/>
      </c>
    </row>
    <row r="275" ht="15" customHeight="1" s="30">
      <c r="A275" s="48" t="n"/>
      <c r="B275" s="52" t="n"/>
      <c r="C275" s="48" t="n"/>
      <c r="D275" s="35">
        <f>IFERROR(INDEX('Hợp đồng'!$E$4:$E$203,MATCH($C275,'Hợp đồng'!$A$4:$A$203,0)),"")</f>
        <v/>
      </c>
      <c r="E275" s="50" t="n"/>
      <c r="F275" s="48" t="n"/>
      <c r="G275" s="48" t="n"/>
      <c r="H275" s="54">
        <f>IFERROR(MONTH($B275),"")</f>
        <v/>
      </c>
      <c r="I275" s="54">
        <f>IFERROR(YEAR($B275),"")</f>
        <v/>
      </c>
    </row>
    <row r="276" ht="15" customHeight="1" s="30">
      <c r="A276" s="48" t="n"/>
      <c r="B276" s="52" t="n"/>
      <c r="C276" s="48" t="n"/>
      <c r="D276" s="35">
        <f>IFERROR(INDEX('Hợp đồng'!$E$4:$E$203,MATCH($C276,'Hợp đồng'!$A$4:$A$203,0)),"")</f>
        <v/>
      </c>
      <c r="E276" s="50" t="n"/>
      <c r="F276" s="48" t="n"/>
      <c r="G276" s="48" t="n"/>
      <c r="H276" s="54">
        <f>IFERROR(MONTH($B276),"")</f>
        <v/>
      </c>
      <c r="I276" s="54">
        <f>IFERROR(YEAR($B276),"")</f>
        <v/>
      </c>
    </row>
    <row r="277" ht="15" customHeight="1" s="30">
      <c r="A277" s="48" t="n"/>
      <c r="B277" s="52" t="n"/>
      <c r="C277" s="48" t="n"/>
      <c r="D277" s="35">
        <f>IFERROR(INDEX('Hợp đồng'!$E$4:$E$203,MATCH($C277,'Hợp đồng'!$A$4:$A$203,0)),"")</f>
        <v/>
      </c>
      <c r="E277" s="50" t="n"/>
      <c r="F277" s="48" t="n"/>
      <c r="G277" s="48" t="n"/>
      <c r="H277" s="54">
        <f>IFERROR(MONTH($B277),"")</f>
        <v/>
      </c>
      <c r="I277" s="54">
        <f>IFERROR(YEAR($B277),"")</f>
        <v/>
      </c>
    </row>
    <row r="278" ht="15" customHeight="1" s="30">
      <c r="A278" s="48" t="n"/>
      <c r="B278" s="52" t="n"/>
      <c r="C278" s="48" t="n"/>
      <c r="D278" s="35">
        <f>IFERROR(INDEX('Hợp đồng'!$E$4:$E$203,MATCH($C278,'Hợp đồng'!$A$4:$A$203,0)),"")</f>
        <v/>
      </c>
      <c r="E278" s="50" t="n"/>
      <c r="F278" s="48" t="n"/>
      <c r="G278" s="48" t="n"/>
      <c r="H278" s="54">
        <f>IFERROR(MONTH($B278),"")</f>
        <v/>
      </c>
      <c r="I278" s="54">
        <f>IFERROR(YEAR($B278),"")</f>
        <v/>
      </c>
    </row>
    <row r="279" ht="15" customHeight="1" s="30">
      <c r="A279" s="48" t="n"/>
      <c r="B279" s="52" t="n"/>
      <c r="C279" s="48" t="n"/>
      <c r="D279" s="35">
        <f>IFERROR(INDEX('Hợp đồng'!$E$4:$E$203,MATCH($C279,'Hợp đồng'!$A$4:$A$203,0)),"")</f>
        <v/>
      </c>
      <c r="E279" s="50" t="n"/>
      <c r="F279" s="48" t="n"/>
      <c r="G279" s="48" t="n"/>
      <c r="H279" s="54">
        <f>IFERROR(MONTH($B279),"")</f>
        <v/>
      </c>
      <c r="I279" s="54">
        <f>IFERROR(YEAR($B279),"")</f>
        <v/>
      </c>
    </row>
    <row r="280" ht="15" customHeight="1" s="30">
      <c r="A280" s="48" t="n"/>
      <c r="B280" s="52" t="n"/>
      <c r="C280" s="48" t="n"/>
      <c r="D280" s="35">
        <f>IFERROR(INDEX('Hợp đồng'!$E$4:$E$203,MATCH($C280,'Hợp đồng'!$A$4:$A$203,0)),"")</f>
        <v/>
      </c>
      <c r="E280" s="50" t="n"/>
      <c r="F280" s="48" t="n"/>
      <c r="G280" s="48" t="n"/>
      <c r="H280" s="54">
        <f>IFERROR(MONTH($B280),"")</f>
        <v/>
      </c>
      <c r="I280" s="54">
        <f>IFERROR(YEAR($B280),"")</f>
        <v/>
      </c>
    </row>
    <row r="281" ht="15" customHeight="1" s="30">
      <c r="A281" s="48" t="n"/>
      <c r="B281" s="52" t="n"/>
      <c r="C281" s="48" t="n"/>
      <c r="D281" s="35">
        <f>IFERROR(INDEX('Hợp đồng'!$E$4:$E$203,MATCH($C281,'Hợp đồng'!$A$4:$A$203,0)),"")</f>
        <v/>
      </c>
      <c r="E281" s="50" t="n"/>
      <c r="F281" s="48" t="n"/>
      <c r="G281" s="48" t="n"/>
      <c r="H281" s="54">
        <f>IFERROR(MONTH($B281),"")</f>
        <v/>
      </c>
      <c r="I281" s="54">
        <f>IFERROR(YEAR($B281),"")</f>
        <v/>
      </c>
    </row>
    <row r="282" ht="15" customHeight="1" s="30">
      <c r="A282" s="48" t="n"/>
      <c r="B282" s="52" t="n"/>
      <c r="C282" s="48" t="n"/>
      <c r="D282" s="35">
        <f>IFERROR(INDEX('Hợp đồng'!$E$4:$E$203,MATCH($C282,'Hợp đồng'!$A$4:$A$203,0)),"")</f>
        <v/>
      </c>
      <c r="E282" s="50" t="n"/>
      <c r="F282" s="48" t="n"/>
      <c r="G282" s="48" t="n"/>
      <c r="H282" s="54">
        <f>IFERROR(MONTH($B282),"")</f>
        <v/>
      </c>
      <c r="I282" s="54">
        <f>IFERROR(YEAR($B282),"")</f>
        <v/>
      </c>
    </row>
    <row r="283" ht="15" customHeight="1" s="30">
      <c r="A283" s="48" t="n"/>
      <c r="B283" s="52" t="n"/>
      <c r="C283" s="48" t="n"/>
      <c r="D283" s="35">
        <f>IFERROR(INDEX('Hợp đồng'!$E$4:$E$203,MATCH($C283,'Hợp đồng'!$A$4:$A$203,0)),"")</f>
        <v/>
      </c>
      <c r="E283" s="50" t="n"/>
      <c r="F283" s="48" t="n"/>
      <c r="G283" s="48" t="n"/>
      <c r="H283" s="54">
        <f>IFERROR(MONTH($B283),"")</f>
        <v/>
      </c>
      <c r="I283" s="54">
        <f>IFERROR(YEAR($B283),"")</f>
        <v/>
      </c>
    </row>
    <row r="284" ht="15" customHeight="1" s="30">
      <c r="A284" s="48" t="n"/>
      <c r="B284" s="52" t="n"/>
      <c r="C284" s="48" t="n"/>
      <c r="D284" s="35">
        <f>IFERROR(INDEX('Hợp đồng'!$E$4:$E$203,MATCH($C284,'Hợp đồng'!$A$4:$A$203,0)),"")</f>
        <v/>
      </c>
      <c r="E284" s="50" t="n"/>
      <c r="F284" s="48" t="n"/>
      <c r="G284" s="48" t="n"/>
      <c r="H284" s="54">
        <f>IFERROR(MONTH($B284),"")</f>
        <v/>
      </c>
      <c r="I284" s="54">
        <f>IFERROR(YEAR($B284),"")</f>
        <v/>
      </c>
    </row>
    <row r="285" ht="15" customHeight="1" s="30">
      <c r="A285" s="48" t="n"/>
      <c r="B285" s="52" t="n"/>
      <c r="C285" s="48" t="n"/>
      <c r="D285" s="35">
        <f>IFERROR(INDEX('Hợp đồng'!$E$4:$E$203,MATCH($C285,'Hợp đồng'!$A$4:$A$203,0)),"")</f>
        <v/>
      </c>
      <c r="E285" s="50" t="n"/>
      <c r="F285" s="48" t="n"/>
      <c r="G285" s="48" t="n"/>
      <c r="H285" s="54">
        <f>IFERROR(MONTH($B285),"")</f>
        <v/>
      </c>
      <c r="I285" s="54">
        <f>IFERROR(YEAR($B285),"")</f>
        <v/>
      </c>
    </row>
    <row r="286" ht="15" customHeight="1" s="30">
      <c r="A286" s="48" t="n"/>
      <c r="B286" s="52" t="n"/>
      <c r="C286" s="48" t="n"/>
      <c r="D286" s="35">
        <f>IFERROR(INDEX('Hợp đồng'!$E$4:$E$203,MATCH($C286,'Hợp đồng'!$A$4:$A$203,0)),"")</f>
        <v/>
      </c>
      <c r="E286" s="50" t="n"/>
      <c r="F286" s="48" t="n"/>
      <c r="G286" s="48" t="n"/>
      <c r="H286" s="54">
        <f>IFERROR(MONTH($B286),"")</f>
        <v/>
      </c>
      <c r="I286" s="54">
        <f>IFERROR(YEAR($B286),"")</f>
        <v/>
      </c>
    </row>
    <row r="287" ht="15" customHeight="1" s="30">
      <c r="A287" s="48" t="n"/>
      <c r="B287" s="52" t="n"/>
      <c r="C287" s="48" t="n"/>
      <c r="D287" s="35">
        <f>IFERROR(INDEX('Hợp đồng'!$E$4:$E$203,MATCH($C287,'Hợp đồng'!$A$4:$A$203,0)),"")</f>
        <v/>
      </c>
      <c r="E287" s="50" t="n"/>
      <c r="F287" s="48" t="n"/>
      <c r="G287" s="48" t="n"/>
      <c r="H287" s="54">
        <f>IFERROR(MONTH($B287),"")</f>
        <v/>
      </c>
      <c r="I287" s="54">
        <f>IFERROR(YEAR($B287),"")</f>
        <v/>
      </c>
    </row>
    <row r="288" ht="15" customHeight="1" s="30">
      <c r="A288" s="48" t="n"/>
      <c r="B288" s="52" t="n"/>
      <c r="C288" s="48" t="n"/>
      <c r="D288" s="35">
        <f>IFERROR(INDEX('Hợp đồng'!$E$4:$E$203,MATCH($C288,'Hợp đồng'!$A$4:$A$203,0)),"")</f>
        <v/>
      </c>
      <c r="E288" s="50" t="n"/>
      <c r="F288" s="48" t="n"/>
      <c r="G288" s="48" t="n"/>
      <c r="H288" s="54">
        <f>IFERROR(MONTH($B288),"")</f>
        <v/>
      </c>
      <c r="I288" s="54">
        <f>IFERROR(YEAR($B288),"")</f>
        <v/>
      </c>
    </row>
    <row r="289" ht="15" customHeight="1" s="30">
      <c r="A289" s="48" t="n"/>
      <c r="B289" s="52" t="n"/>
      <c r="C289" s="48" t="n"/>
      <c r="D289" s="35">
        <f>IFERROR(INDEX('Hợp đồng'!$E$4:$E$203,MATCH($C289,'Hợp đồng'!$A$4:$A$203,0)),"")</f>
        <v/>
      </c>
      <c r="E289" s="50" t="n"/>
      <c r="F289" s="48" t="n"/>
      <c r="G289" s="48" t="n"/>
      <c r="H289" s="54">
        <f>IFERROR(MONTH($B289),"")</f>
        <v/>
      </c>
      <c r="I289" s="54">
        <f>IFERROR(YEAR($B289),"")</f>
        <v/>
      </c>
    </row>
    <row r="290" ht="15" customHeight="1" s="30">
      <c r="A290" s="48" t="n"/>
      <c r="B290" s="52" t="n"/>
      <c r="C290" s="48" t="n"/>
      <c r="D290" s="35">
        <f>IFERROR(INDEX('Hợp đồng'!$E$4:$E$203,MATCH($C290,'Hợp đồng'!$A$4:$A$203,0)),"")</f>
        <v/>
      </c>
      <c r="E290" s="50" t="n"/>
      <c r="F290" s="48" t="n"/>
      <c r="G290" s="48" t="n"/>
      <c r="H290" s="54">
        <f>IFERROR(MONTH($B290),"")</f>
        <v/>
      </c>
      <c r="I290" s="54">
        <f>IFERROR(YEAR($B290),"")</f>
        <v/>
      </c>
    </row>
    <row r="291" ht="15" customHeight="1" s="30">
      <c r="A291" s="48" t="n"/>
      <c r="B291" s="52" t="n"/>
      <c r="C291" s="48" t="n"/>
      <c r="D291" s="35">
        <f>IFERROR(INDEX('Hợp đồng'!$E$4:$E$203,MATCH($C291,'Hợp đồng'!$A$4:$A$203,0)),"")</f>
        <v/>
      </c>
      <c r="E291" s="50" t="n"/>
      <c r="F291" s="48" t="n"/>
      <c r="G291" s="48" t="n"/>
      <c r="H291" s="54">
        <f>IFERROR(MONTH($B291),"")</f>
        <v/>
      </c>
      <c r="I291" s="54">
        <f>IFERROR(YEAR($B291),"")</f>
        <v/>
      </c>
    </row>
    <row r="292" ht="15" customHeight="1" s="30">
      <c r="A292" s="48" t="n"/>
      <c r="B292" s="52" t="n"/>
      <c r="C292" s="48" t="n"/>
      <c r="D292" s="35">
        <f>IFERROR(INDEX('Hợp đồng'!$E$4:$E$203,MATCH($C292,'Hợp đồng'!$A$4:$A$203,0)),"")</f>
        <v/>
      </c>
      <c r="E292" s="50" t="n"/>
      <c r="F292" s="48" t="n"/>
      <c r="G292" s="48" t="n"/>
      <c r="H292" s="54">
        <f>IFERROR(MONTH($B292),"")</f>
        <v/>
      </c>
      <c r="I292" s="54">
        <f>IFERROR(YEAR($B292),"")</f>
        <v/>
      </c>
    </row>
    <row r="293" ht="15" customHeight="1" s="30">
      <c r="A293" s="48" t="n"/>
      <c r="B293" s="52" t="n"/>
      <c r="C293" s="48" t="n"/>
      <c r="D293" s="35">
        <f>IFERROR(INDEX('Hợp đồng'!$E$4:$E$203,MATCH($C293,'Hợp đồng'!$A$4:$A$203,0)),"")</f>
        <v/>
      </c>
      <c r="E293" s="50" t="n"/>
      <c r="F293" s="48" t="n"/>
      <c r="G293" s="48" t="n"/>
      <c r="H293" s="54">
        <f>IFERROR(MONTH($B293),"")</f>
        <v/>
      </c>
      <c r="I293" s="54">
        <f>IFERROR(YEAR($B293),"")</f>
        <v/>
      </c>
    </row>
    <row r="294" ht="15" customHeight="1" s="30">
      <c r="A294" s="48" t="n"/>
      <c r="B294" s="52" t="n"/>
      <c r="C294" s="48" t="n"/>
      <c r="D294" s="35">
        <f>IFERROR(INDEX('Hợp đồng'!$E$4:$E$203,MATCH($C294,'Hợp đồng'!$A$4:$A$203,0)),"")</f>
        <v/>
      </c>
      <c r="E294" s="50" t="n"/>
      <c r="F294" s="48" t="n"/>
      <c r="G294" s="48" t="n"/>
      <c r="H294" s="54">
        <f>IFERROR(MONTH($B294),"")</f>
        <v/>
      </c>
      <c r="I294" s="54">
        <f>IFERROR(YEAR($B294),"")</f>
        <v/>
      </c>
    </row>
    <row r="295" ht="15" customHeight="1" s="30">
      <c r="A295" s="48" t="n"/>
      <c r="B295" s="52" t="n"/>
      <c r="C295" s="48" t="n"/>
      <c r="D295" s="35">
        <f>IFERROR(INDEX('Hợp đồng'!$E$4:$E$203,MATCH($C295,'Hợp đồng'!$A$4:$A$203,0)),"")</f>
        <v/>
      </c>
      <c r="E295" s="50" t="n"/>
      <c r="F295" s="48" t="n"/>
      <c r="G295" s="48" t="n"/>
      <c r="H295" s="54">
        <f>IFERROR(MONTH($B295),"")</f>
        <v/>
      </c>
      <c r="I295" s="54">
        <f>IFERROR(YEAR($B295),"")</f>
        <v/>
      </c>
    </row>
    <row r="296" ht="15" customHeight="1" s="30">
      <c r="A296" s="48" t="n"/>
      <c r="B296" s="52" t="n"/>
      <c r="C296" s="48" t="n"/>
      <c r="D296" s="35">
        <f>IFERROR(INDEX('Hợp đồng'!$E$4:$E$203,MATCH($C296,'Hợp đồng'!$A$4:$A$203,0)),"")</f>
        <v/>
      </c>
      <c r="E296" s="50" t="n"/>
      <c r="F296" s="48" t="n"/>
      <c r="G296" s="48" t="n"/>
      <c r="H296" s="54">
        <f>IFERROR(MONTH($B296),"")</f>
        <v/>
      </c>
      <c r="I296" s="54">
        <f>IFERROR(YEAR($B296),"")</f>
        <v/>
      </c>
    </row>
    <row r="297" ht="15" customHeight="1" s="30">
      <c r="A297" s="48" t="n"/>
      <c r="B297" s="52" t="n"/>
      <c r="C297" s="48" t="n"/>
      <c r="D297" s="35">
        <f>IFERROR(INDEX('Hợp đồng'!$E$4:$E$203,MATCH($C297,'Hợp đồng'!$A$4:$A$203,0)),"")</f>
        <v/>
      </c>
      <c r="E297" s="50" t="n"/>
      <c r="F297" s="48" t="n"/>
      <c r="G297" s="48" t="n"/>
      <c r="H297" s="54">
        <f>IFERROR(MONTH($B297),"")</f>
        <v/>
      </c>
      <c r="I297" s="54">
        <f>IFERROR(YEAR($B297),"")</f>
        <v/>
      </c>
    </row>
    <row r="298" ht="15" customHeight="1" s="30">
      <c r="A298" s="48" t="n"/>
      <c r="B298" s="52" t="n"/>
      <c r="C298" s="48" t="n"/>
      <c r="D298" s="35">
        <f>IFERROR(INDEX('Hợp đồng'!$E$4:$E$203,MATCH($C298,'Hợp đồng'!$A$4:$A$203,0)),"")</f>
        <v/>
      </c>
      <c r="E298" s="50" t="n"/>
      <c r="F298" s="48" t="n"/>
      <c r="G298" s="48" t="n"/>
      <c r="H298" s="54">
        <f>IFERROR(MONTH($B298),"")</f>
        <v/>
      </c>
      <c r="I298" s="54">
        <f>IFERROR(YEAR($B298),"")</f>
        <v/>
      </c>
    </row>
    <row r="299" ht="15" customHeight="1" s="30">
      <c r="A299" s="48" t="n"/>
      <c r="B299" s="52" t="n"/>
      <c r="C299" s="48" t="n"/>
      <c r="D299" s="35">
        <f>IFERROR(INDEX('Hợp đồng'!$E$4:$E$203,MATCH($C299,'Hợp đồng'!$A$4:$A$203,0)),"")</f>
        <v/>
      </c>
      <c r="E299" s="50" t="n"/>
      <c r="F299" s="48" t="n"/>
      <c r="G299" s="48" t="n"/>
      <c r="H299" s="54">
        <f>IFERROR(MONTH($B299),"")</f>
        <v/>
      </c>
      <c r="I299" s="54">
        <f>IFERROR(YEAR($B299),"")</f>
        <v/>
      </c>
    </row>
    <row r="300" ht="15" customHeight="1" s="30">
      <c r="A300" s="48" t="n"/>
      <c r="B300" s="52" t="n"/>
      <c r="C300" s="48" t="n"/>
      <c r="D300" s="35">
        <f>IFERROR(INDEX('Hợp đồng'!$E$4:$E$203,MATCH($C300,'Hợp đồng'!$A$4:$A$203,0)),"")</f>
        <v/>
      </c>
      <c r="E300" s="50" t="n"/>
      <c r="F300" s="48" t="n"/>
      <c r="G300" s="48" t="n"/>
      <c r="H300" s="54">
        <f>IFERROR(MONTH($B300),"")</f>
        <v/>
      </c>
      <c r="I300" s="54">
        <f>IFERROR(YEAR($B300),"")</f>
        <v/>
      </c>
    </row>
    <row r="301" ht="15" customHeight="1" s="30">
      <c r="A301" s="48" t="n"/>
      <c r="B301" s="52" t="n"/>
      <c r="C301" s="48" t="n"/>
      <c r="D301" s="35">
        <f>IFERROR(INDEX('Hợp đồng'!$E$4:$E$203,MATCH($C301,'Hợp đồng'!$A$4:$A$203,0)),"")</f>
        <v/>
      </c>
      <c r="E301" s="50" t="n"/>
      <c r="F301" s="48" t="n"/>
      <c r="G301" s="48" t="n"/>
      <c r="H301" s="54">
        <f>IFERROR(MONTH($B301),"")</f>
        <v/>
      </c>
      <c r="I301" s="54">
        <f>IFERROR(YEAR($B301),"")</f>
        <v/>
      </c>
    </row>
    <row r="302" ht="15" customHeight="1" s="30">
      <c r="A302" s="48" t="n"/>
      <c r="B302" s="52" t="n"/>
      <c r="C302" s="48" t="n"/>
      <c r="D302" s="35">
        <f>IFERROR(INDEX('Hợp đồng'!$E$4:$E$203,MATCH($C302,'Hợp đồng'!$A$4:$A$203,0)),"")</f>
        <v/>
      </c>
      <c r="E302" s="50" t="n"/>
      <c r="F302" s="48" t="n"/>
      <c r="G302" s="48" t="n"/>
      <c r="H302" s="54">
        <f>IFERROR(MONTH($B302),"")</f>
        <v/>
      </c>
      <c r="I302" s="54">
        <f>IFERROR(YEAR($B302),"")</f>
        <v/>
      </c>
    </row>
    <row r="303" ht="15" customHeight="1" s="30">
      <c r="A303" s="48" t="n"/>
      <c r="B303" s="52" t="n"/>
      <c r="C303" s="48" t="n"/>
      <c r="D303" s="35">
        <f>IFERROR(INDEX('Hợp đồng'!$E$4:$E$203,MATCH($C303,'Hợp đồng'!$A$4:$A$203,0)),"")</f>
        <v/>
      </c>
      <c r="E303" s="50" t="n"/>
      <c r="F303" s="48" t="n"/>
      <c r="G303" s="48" t="n"/>
      <c r="H303" s="54">
        <f>IFERROR(MONTH($B303),"")</f>
        <v/>
      </c>
      <c r="I303" s="54">
        <f>IFERROR(YEAR($B303),"")</f>
        <v/>
      </c>
    </row>
  </sheetData>
  <autoFilter ref="A3:I30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5" customWidth="1" style="29" min="1" max="1"/>
    <col width="30" customWidth="1" style="29" min="2" max="2"/>
    <col width="22" customWidth="1" style="29" min="3" max="3"/>
    <col width="20" customWidth="1" style="29" min="4" max="5"/>
    <col width="15" customWidth="1" style="29" min="6" max="7"/>
    <col width="18" customWidth="1" style="29" min="8" max="8"/>
    <col width="12" customWidth="1" style="29" min="9" max="9"/>
  </cols>
  <sheetData>
    <row r="1" ht="17.35" customHeight="1" s="30">
      <c r="A1" s="31" t="inlineStr">
        <is>
          <t>THEO DÕI CÔNG NỢ THEO PO</t>
        </is>
      </c>
    </row>
    <row r="2" ht="15" customHeight="1" s="30">
      <c r="A2" s="32" t="inlineStr">
        <is>
          <t>Toàn bộ tự động - số ngày quá hạn tính theo ngày hiện tại</t>
        </is>
      </c>
    </row>
    <row r="3" ht="31.5" customHeight="1" s="30">
      <c r="A3" s="39" t="inlineStr">
        <is>
          <t>Mã PO</t>
        </is>
      </c>
      <c r="B3" s="39" t="inlineStr">
        <is>
          <t>Khách hàng</t>
        </is>
      </c>
      <c r="C3" s="39" t="inlineStr">
        <is>
          <t>Giá trị hợp đồng (VNĐ)</t>
        </is>
      </c>
      <c r="D3" s="39" t="inlineStr">
        <is>
          <t>Đã thu (VNĐ)</t>
        </is>
      </c>
      <c r="E3" s="39" t="inlineStr">
        <is>
          <t>Còn phải thu (VNĐ)</t>
        </is>
      </c>
      <c r="F3" s="39" t="inlineStr">
        <is>
          <t>Hạn thanh toán</t>
        </is>
      </c>
      <c r="G3" s="39" t="inlineStr">
        <is>
          <t>Số ngày quá hạn</t>
        </is>
      </c>
      <c r="H3" s="39" t="inlineStr">
        <is>
          <t>Nhóm tuổi nợ</t>
        </is>
      </c>
      <c r="I3" s="39" t="inlineStr">
        <is>
          <t>% đã thu</t>
        </is>
      </c>
    </row>
    <row r="4" ht="15" customHeight="1" s="30">
      <c r="A4" s="35">
        <f>IF('Hợp đồng'!A4="","",'Hợp đồng'!A4)</f>
        <v/>
      </c>
      <c r="B4" s="35">
        <f>IF($A4="","",'Hợp đồng'!E4)</f>
        <v/>
      </c>
      <c r="C4" s="41">
        <f>IF($A4="","",'Hợp đồng'!H4)</f>
        <v/>
      </c>
      <c r="D4" s="41">
        <f>IF($A4="","",SUMIFS('Thanh toán'!$E$4:$E$303,'Thanh toán'!$C$4:$C$303,$A4))</f>
        <v/>
      </c>
      <c r="E4" s="41">
        <f>IF($A4="","",$C4-$D4)</f>
        <v/>
      </c>
      <c r="F4" s="57">
        <f>IF($A4="","",'Hợp đồng'!P4)</f>
        <v/>
      </c>
      <c r="G4" s="41">
        <f>IF($A4="",0,IF($E4&lt;=0,0,IF($F4="",0,MAX(0,TODAY()-$F4))))</f>
        <v/>
      </c>
      <c r="H4" s="35">
        <f>IF($A4="","",IF($E4&lt;=0,"Đã thu đủ",IF($G4=0,"Trong hạn",IF($G4&lt;=30,"Quá hạn 1-30 ngày",IF($G4&lt;=60,"Quá hạn 31-60 ngày",IF($G4&lt;=90,"Quá hạn 61-90 ngày","Quá hạn trên 90 ngày"))))))</f>
        <v/>
      </c>
      <c r="I4" s="42">
        <f>IFERROR($D4/$C4,"")</f>
        <v/>
      </c>
    </row>
    <row r="5" ht="15" customHeight="1" s="30">
      <c r="A5" s="35">
        <f>IF('Hợp đồng'!A5="","",'Hợp đồng'!A5)</f>
        <v/>
      </c>
      <c r="B5" s="35">
        <f>IF($A5="","",'Hợp đồng'!E5)</f>
        <v/>
      </c>
      <c r="C5" s="41">
        <f>IF($A5="","",'Hợp đồng'!H5)</f>
        <v/>
      </c>
      <c r="D5" s="41">
        <f>IF($A5="","",SUMIFS('Thanh toán'!$E$4:$E$303,'Thanh toán'!$C$4:$C$303,$A5))</f>
        <v/>
      </c>
      <c r="E5" s="41">
        <f>IF($A5="","",$C5-$D5)</f>
        <v/>
      </c>
      <c r="F5" s="57">
        <f>IF($A5="","",'Hợp đồng'!P5)</f>
        <v/>
      </c>
      <c r="G5" s="41">
        <f>IF($A5="",0,IF($E5&lt;=0,0,IF($F5="",0,MAX(0,TODAY()-$F5))))</f>
        <v/>
      </c>
      <c r="H5" s="35">
        <f>IF($A5="","",IF($E5&lt;=0,"Đã thu đủ",IF($G5=0,"Trong hạn",IF($G5&lt;=30,"Quá hạn 1-30 ngày",IF($G5&lt;=60,"Quá hạn 31-60 ngày",IF($G5&lt;=90,"Quá hạn 61-90 ngày","Quá hạn trên 90 ngày"))))))</f>
        <v/>
      </c>
      <c r="I5" s="42">
        <f>IFERROR($D5/$C5,"")</f>
        <v/>
      </c>
    </row>
    <row r="6" ht="15" customHeight="1" s="30">
      <c r="A6" s="35">
        <f>IF('Hợp đồng'!A6="","",'Hợp đồng'!A6)</f>
        <v/>
      </c>
      <c r="B6" s="35">
        <f>IF($A6="","",'Hợp đồng'!E6)</f>
        <v/>
      </c>
      <c r="C6" s="41">
        <f>IF($A6="","",'Hợp đồng'!H6)</f>
        <v/>
      </c>
      <c r="D6" s="41">
        <f>IF($A6="","",SUMIFS('Thanh toán'!$E$4:$E$303,'Thanh toán'!$C$4:$C$303,$A6))</f>
        <v/>
      </c>
      <c r="E6" s="41">
        <f>IF($A6="","",$C6-$D6)</f>
        <v/>
      </c>
      <c r="F6" s="57">
        <f>IF($A6="","",'Hợp đồng'!P6)</f>
        <v/>
      </c>
      <c r="G6" s="41">
        <f>IF($A6="",0,IF($E6&lt;=0,0,IF($F6="",0,MAX(0,TODAY()-$F6))))</f>
        <v/>
      </c>
      <c r="H6" s="35">
        <f>IF($A6="","",IF($E6&lt;=0,"Đã thu đủ",IF($G6=0,"Trong hạn",IF($G6&lt;=30,"Quá hạn 1-30 ngày",IF($G6&lt;=60,"Quá hạn 31-60 ngày",IF($G6&lt;=90,"Quá hạn 61-90 ngày","Quá hạn trên 90 ngày"))))))</f>
        <v/>
      </c>
      <c r="I6" s="42">
        <f>IFERROR($D6/$C6,"")</f>
        <v/>
      </c>
    </row>
    <row r="7" ht="15" customHeight="1" s="30">
      <c r="A7" s="35">
        <f>IF('Hợp đồng'!A7="","",'Hợp đồng'!A7)</f>
        <v/>
      </c>
      <c r="B7" s="35">
        <f>IF($A7="","",'Hợp đồng'!E7)</f>
        <v/>
      </c>
      <c r="C7" s="41">
        <f>IF($A7="","",'Hợp đồng'!H7)</f>
        <v/>
      </c>
      <c r="D7" s="41">
        <f>IF($A7="","",SUMIFS('Thanh toán'!$E$4:$E$303,'Thanh toán'!$C$4:$C$303,$A7))</f>
        <v/>
      </c>
      <c r="E7" s="41">
        <f>IF($A7="","",$C7-$D7)</f>
        <v/>
      </c>
      <c r="F7" s="57">
        <f>IF($A7="","",'Hợp đồng'!P7)</f>
        <v/>
      </c>
      <c r="G7" s="41">
        <f>IF($A7="",0,IF($E7&lt;=0,0,IF($F7="",0,MAX(0,TODAY()-$F7))))</f>
        <v/>
      </c>
      <c r="H7" s="35">
        <f>IF($A7="","",IF($E7&lt;=0,"Đã thu đủ",IF($G7=0,"Trong hạn",IF($G7&lt;=30,"Quá hạn 1-30 ngày",IF($G7&lt;=60,"Quá hạn 31-60 ngày",IF($G7&lt;=90,"Quá hạn 61-90 ngày","Quá hạn trên 90 ngày"))))))</f>
        <v/>
      </c>
      <c r="I7" s="42">
        <f>IFERROR($D7/$C7,"")</f>
        <v/>
      </c>
    </row>
    <row r="8" ht="15" customHeight="1" s="30">
      <c r="A8" s="35">
        <f>IF('Hợp đồng'!A8="","",'Hợp đồng'!A8)</f>
        <v/>
      </c>
      <c r="B8" s="35">
        <f>IF($A8="","",'Hợp đồng'!E8)</f>
        <v/>
      </c>
      <c r="C8" s="41">
        <f>IF($A8="","",'Hợp đồng'!H8)</f>
        <v/>
      </c>
      <c r="D8" s="41">
        <f>IF($A8="","",SUMIFS('Thanh toán'!$E$4:$E$303,'Thanh toán'!$C$4:$C$303,$A8))</f>
        <v/>
      </c>
      <c r="E8" s="41">
        <f>IF($A8="","",$C8-$D8)</f>
        <v/>
      </c>
      <c r="F8" s="57">
        <f>IF($A8="","",'Hợp đồng'!P8)</f>
        <v/>
      </c>
      <c r="G8" s="41">
        <f>IF($A8="",0,IF($E8&lt;=0,0,IF($F8="",0,MAX(0,TODAY()-$F8))))</f>
        <v/>
      </c>
      <c r="H8" s="35">
        <f>IF($A8="","",IF($E8&lt;=0,"Đã thu đủ",IF($G8=0,"Trong hạn",IF($G8&lt;=30,"Quá hạn 1-30 ngày",IF($G8&lt;=60,"Quá hạn 31-60 ngày",IF($G8&lt;=90,"Quá hạn 61-90 ngày","Quá hạn trên 90 ngày"))))))</f>
        <v/>
      </c>
      <c r="I8" s="42">
        <f>IFERROR($D8/$C8,"")</f>
        <v/>
      </c>
    </row>
    <row r="9" ht="15" customHeight="1" s="30">
      <c r="A9" s="35">
        <f>IF('Hợp đồng'!A9="","",'Hợp đồng'!A9)</f>
        <v/>
      </c>
      <c r="B9" s="35">
        <f>IF($A9="","",'Hợp đồng'!E9)</f>
        <v/>
      </c>
      <c r="C9" s="41">
        <f>IF($A9="","",'Hợp đồng'!H9)</f>
        <v/>
      </c>
      <c r="D9" s="41">
        <f>IF($A9="","",SUMIFS('Thanh toán'!$E$4:$E$303,'Thanh toán'!$C$4:$C$303,$A9))</f>
        <v/>
      </c>
      <c r="E9" s="41">
        <f>IF($A9="","",$C9-$D9)</f>
        <v/>
      </c>
      <c r="F9" s="57">
        <f>IF($A9="","",'Hợp đồng'!P9)</f>
        <v/>
      </c>
      <c r="G9" s="41">
        <f>IF($A9="",0,IF($E9&lt;=0,0,IF($F9="",0,MAX(0,TODAY()-$F9))))</f>
        <v/>
      </c>
      <c r="H9" s="35">
        <f>IF($A9="","",IF($E9&lt;=0,"Đã thu đủ",IF($G9=0,"Trong hạn",IF($G9&lt;=30,"Quá hạn 1-30 ngày",IF($G9&lt;=60,"Quá hạn 31-60 ngày",IF($G9&lt;=90,"Quá hạn 61-90 ngày","Quá hạn trên 90 ngày"))))))</f>
        <v/>
      </c>
      <c r="I9" s="42">
        <f>IFERROR($D9/$C9,"")</f>
        <v/>
      </c>
    </row>
    <row r="10" ht="15" customHeight="1" s="30">
      <c r="A10" s="35">
        <f>IF('Hợp đồng'!A10="","",'Hợp đồng'!A10)</f>
        <v/>
      </c>
      <c r="B10" s="35">
        <f>IF($A10="","",'Hợp đồng'!E10)</f>
        <v/>
      </c>
      <c r="C10" s="41">
        <f>IF($A10="","",'Hợp đồng'!H10)</f>
        <v/>
      </c>
      <c r="D10" s="41">
        <f>IF($A10="","",SUMIFS('Thanh toán'!$E$4:$E$303,'Thanh toán'!$C$4:$C$303,$A10))</f>
        <v/>
      </c>
      <c r="E10" s="41">
        <f>IF($A10="","",$C10-$D10)</f>
        <v/>
      </c>
      <c r="F10" s="57">
        <f>IF($A10="","",'Hợp đồng'!P10)</f>
        <v/>
      </c>
      <c r="G10" s="41">
        <f>IF($A10="",0,IF($E10&lt;=0,0,IF($F10="",0,MAX(0,TODAY()-$F10))))</f>
        <v/>
      </c>
      <c r="H10" s="35">
        <f>IF($A10="","",IF($E10&lt;=0,"Đã thu đủ",IF($G10=0,"Trong hạn",IF($G10&lt;=30,"Quá hạn 1-30 ngày",IF($G10&lt;=60,"Quá hạn 31-60 ngày",IF($G10&lt;=90,"Quá hạn 61-90 ngày","Quá hạn trên 90 ngày"))))))</f>
        <v/>
      </c>
      <c r="I10" s="42">
        <f>IFERROR($D10/$C10,"")</f>
        <v/>
      </c>
    </row>
    <row r="11" ht="15" customHeight="1" s="30">
      <c r="A11" s="35">
        <f>IF('Hợp đồng'!A11="","",'Hợp đồng'!A11)</f>
        <v/>
      </c>
      <c r="B11" s="35">
        <f>IF($A11="","",'Hợp đồng'!E11)</f>
        <v/>
      </c>
      <c r="C11" s="41">
        <f>IF($A11="","",'Hợp đồng'!H11)</f>
        <v/>
      </c>
      <c r="D11" s="41">
        <f>IF($A11="","",SUMIFS('Thanh toán'!$E$4:$E$303,'Thanh toán'!$C$4:$C$303,$A11))</f>
        <v/>
      </c>
      <c r="E11" s="41">
        <f>IF($A11="","",$C11-$D11)</f>
        <v/>
      </c>
      <c r="F11" s="57">
        <f>IF($A11="","",'Hợp đồng'!P11)</f>
        <v/>
      </c>
      <c r="G11" s="41">
        <f>IF($A11="",0,IF($E11&lt;=0,0,IF($F11="",0,MAX(0,TODAY()-$F11))))</f>
        <v/>
      </c>
      <c r="H11" s="35">
        <f>IF($A11="","",IF($E11&lt;=0,"Đã thu đủ",IF($G11=0,"Trong hạn",IF($G11&lt;=30,"Quá hạn 1-30 ngày",IF($G11&lt;=60,"Quá hạn 31-60 ngày",IF($G11&lt;=90,"Quá hạn 61-90 ngày","Quá hạn trên 90 ngày"))))))</f>
        <v/>
      </c>
      <c r="I11" s="42">
        <f>IFERROR($D11/$C11,"")</f>
        <v/>
      </c>
    </row>
    <row r="12" ht="15" customHeight="1" s="30">
      <c r="A12" s="35">
        <f>IF('Hợp đồng'!A12="","",'Hợp đồng'!A12)</f>
        <v/>
      </c>
      <c r="B12" s="35">
        <f>IF($A12="","",'Hợp đồng'!E12)</f>
        <v/>
      </c>
      <c r="C12" s="41">
        <f>IF($A12="","",'Hợp đồng'!H12)</f>
        <v/>
      </c>
      <c r="D12" s="41">
        <f>IF($A12="","",SUMIFS('Thanh toán'!$E$4:$E$303,'Thanh toán'!$C$4:$C$303,$A12))</f>
        <v/>
      </c>
      <c r="E12" s="41">
        <f>IF($A12="","",$C12-$D12)</f>
        <v/>
      </c>
      <c r="F12" s="57">
        <f>IF($A12="","",'Hợp đồng'!P12)</f>
        <v/>
      </c>
      <c r="G12" s="41">
        <f>IF($A12="",0,IF($E12&lt;=0,0,IF($F12="",0,MAX(0,TODAY()-$F12))))</f>
        <v/>
      </c>
      <c r="H12" s="35">
        <f>IF($A12="","",IF($E12&lt;=0,"Đã thu đủ",IF($G12=0,"Trong hạn",IF($G12&lt;=30,"Quá hạn 1-30 ngày",IF($G12&lt;=60,"Quá hạn 31-60 ngày",IF($G12&lt;=90,"Quá hạn 61-90 ngày","Quá hạn trên 90 ngày"))))))</f>
        <v/>
      </c>
      <c r="I12" s="42">
        <f>IFERROR($D12/$C12,"")</f>
        <v/>
      </c>
    </row>
    <row r="13" ht="15" customHeight="1" s="30">
      <c r="A13" s="35">
        <f>IF('Hợp đồng'!A13="","",'Hợp đồng'!A13)</f>
        <v/>
      </c>
      <c r="B13" s="35">
        <f>IF($A13="","",'Hợp đồng'!E13)</f>
        <v/>
      </c>
      <c r="C13" s="41">
        <f>IF($A13="","",'Hợp đồng'!H13)</f>
        <v/>
      </c>
      <c r="D13" s="41">
        <f>IF($A13="","",SUMIFS('Thanh toán'!$E$4:$E$303,'Thanh toán'!$C$4:$C$303,$A13))</f>
        <v/>
      </c>
      <c r="E13" s="41">
        <f>IF($A13="","",$C13-$D13)</f>
        <v/>
      </c>
      <c r="F13" s="57">
        <f>IF($A13="","",'Hợp đồng'!P13)</f>
        <v/>
      </c>
      <c r="G13" s="41">
        <f>IF($A13="",0,IF($E13&lt;=0,0,IF($F13="",0,MAX(0,TODAY()-$F13))))</f>
        <v/>
      </c>
      <c r="H13" s="35">
        <f>IF($A13="","",IF($E13&lt;=0,"Đã thu đủ",IF($G13=0,"Trong hạn",IF($G13&lt;=30,"Quá hạn 1-30 ngày",IF($G13&lt;=60,"Quá hạn 31-60 ngày",IF($G13&lt;=90,"Quá hạn 61-90 ngày","Quá hạn trên 90 ngày"))))))</f>
        <v/>
      </c>
      <c r="I13" s="42">
        <f>IFERROR($D13/$C13,"")</f>
        <v/>
      </c>
    </row>
    <row r="14" ht="15" customHeight="1" s="30">
      <c r="A14" s="35">
        <f>IF('Hợp đồng'!A14="","",'Hợp đồng'!A14)</f>
        <v/>
      </c>
      <c r="B14" s="35">
        <f>IF($A14="","",'Hợp đồng'!E14)</f>
        <v/>
      </c>
      <c r="C14" s="41">
        <f>IF($A14="","",'Hợp đồng'!H14)</f>
        <v/>
      </c>
      <c r="D14" s="41">
        <f>IF($A14="","",SUMIFS('Thanh toán'!$E$4:$E$303,'Thanh toán'!$C$4:$C$303,$A14))</f>
        <v/>
      </c>
      <c r="E14" s="41">
        <f>IF($A14="","",$C14-$D14)</f>
        <v/>
      </c>
      <c r="F14" s="57">
        <f>IF($A14="","",'Hợp đồng'!P14)</f>
        <v/>
      </c>
      <c r="G14" s="41">
        <f>IF($A14="",0,IF($E14&lt;=0,0,IF($F14="",0,MAX(0,TODAY()-$F14))))</f>
        <v/>
      </c>
      <c r="H14" s="35">
        <f>IF($A14="","",IF($E14&lt;=0,"Đã thu đủ",IF($G14=0,"Trong hạn",IF($G14&lt;=30,"Quá hạn 1-30 ngày",IF($G14&lt;=60,"Quá hạn 31-60 ngày",IF($G14&lt;=90,"Quá hạn 61-90 ngày","Quá hạn trên 90 ngày"))))))</f>
        <v/>
      </c>
      <c r="I14" s="42">
        <f>IFERROR($D14/$C14,"")</f>
        <v/>
      </c>
    </row>
    <row r="15" ht="15" customHeight="1" s="30">
      <c r="A15" s="35">
        <f>IF('Hợp đồng'!A15="","",'Hợp đồng'!A15)</f>
        <v/>
      </c>
      <c r="B15" s="35">
        <f>IF($A15="","",'Hợp đồng'!E15)</f>
        <v/>
      </c>
      <c r="C15" s="41">
        <f>IF($A15="","",'Hợp đồng'!H15)</f>
        <v/>
      </c>
      <c r="D15" s="41">
        <f>IF($A15="","",SUMIFS('Thanh toán'!$E$4:$E$303,'Thanh toán'!$C$4:$C$303,$A15))</f>
        <v/>
      </c>
      <c r="E15" s="41">
        <f>IF($A15="","",$C15-$D15)</f>
        <v/>
      </c>
      <c r="F15" s="57">
        <f>IF($A15="","",'Hợp đồng'!P15)</f>
        <v/>
      </c>
      <c r="G15" s="41">
        <f>IF($A15="",0,IF($E15&lt;=0,0,IF($F15="",0,MAX(0,TODAY()-$F15))))</f>
        <v/>
      </c>
      <c r="H15" s="35">
        <f>IF($A15="","",IF($E15&lt;=0,"Đã thu đủ",IF($G15=0,"Trong hạn",IF($G15&lt;=30,"Quá hạn 1-30 ngày",IF($G15&lt;=60,"Quá hạn 31-60 ngày",IF($G15&lt;=90,"Quá hạn 61-90 ngày","Quá hạn trên 90 ngày"))))))</f>
        <v/>
      </c>
      <c r="I15" s="42">
        <f>IFERROR($D15/$C15,"")</f>
        <v/>
      </c>
    </row>
    <row r="16" ht="15" customHeight="1" s="30">
      <c r="A16" s="35">
        <f>IF('Hợp đồng'!A16="","",'Hợp đồng'!A16)</f>
        <v/>
      </c>
      <c r="B16" s="35">
        <f>IF($A16="","",'Hợp đồng'!E16)</f>
        <v/>
      </c>
      <c r="C16" s="41">
        <f>IF($A16="","",'Hợp đồng'!H16)</f>
        <v/>
      </c>
      <c r="D16" s="41">
        <f>IF($A16="","",SUMIFS('Thanh toán'!$E$4:$E$303,'Thanh toán'!$C$4:$C$303,$A16))</f>
        <v/>
      </c>
      <c r="E16" s="41">
        <f>IF($A16="","",$C16-$D16)</f>
        <v/>
      </c>
      <c r="F16" s="57">
        <f>IF($A16="","",'Hợp đồng'!P16)</f>
        <v/>
      </c>
      <c r="G16" s="41">
        <f>IF($A16="",0,IF($E16&lt;=0,0,IF($F16="",0,MAX(0,TODAY()-$F16))))</f>
        <v/>
      </c>
      <c r="H16" s="35">
        <f>IF($A16="","",IF($E16&lt;=0,"Đã thu đủ",IF($G16=0,"Trong hạn",IF($G16&lt;=30,"Quá hạn 1-30 ngày",IF($G16&lt;=60,"Quá hạn 31-60 ngày",IF($G16&lt;=90,"Quá hạn 61-90 ngày","Quá hạn trên 90 ngày"))))))</f>
        <v/>
      </c>
      <c r="I16" s="42">
        <f>IFERROR($D16/$C16,"")</f>
        <v/>
      </c>
    </row>
    <row r="17" ht="15" customHeight="1" s="30">
      <c r="A17" s="35">
        <f>IF('Hợp đồng'!A17="","",'Hợp đồng'!A17)</f>
        <v/>
      </c>
      <c r="B17" s="35">
        <f>IF($A17="","",'Hợp đồng'!E17)</f>
        <v/>
      </c>
      <c r="C17" s="41">
        <f>IF($A17="","",'Hợp đồng'!H17)</f>
        <v/>
      </c>
      <c r="D17" s="41">
        <f>IF($A17="","",SUMIFS('Thanh toán'!$E$4:$E$303,'Thanh toán'!$C$4:$C$303,$A17))</f>
        <v/>
      </c>
      <c r="E17" s="41">
        <f>IF($A17="","",$C17-$D17)</f>
        <v/>
      </c>
      <c r="F17" s="57">
        <f>IF($A17="","",'Hợp đồng'!P17)</f>
        <v/>
      </c>
      <c r="G17" s="41">
        <f>IF($A17="",0,IF($E17&lt;=0,0,IF($F17="",0,MAX(0,TODAY()-$F17))))</f>
        <v/>
      </c>
      <c r="H17" s="35">
        <f>IF($A17="","",IF($E17&lt;=0,"Đã thu đủ",IF($G17=0,"Trong hạn",IF($G17&lt;=30,"Quá hạn 1-30 ngày",IF($G17&lt;=60,"Quá hạn 31-60 ngày",IF($G17&lt;=90,"Quá hạn 61-90 ngày","Quá hạn trên 90 ngày"))))))</f>
        <v/>
      </c>
      <c r="I17" s="42">
        <f>IFERROR($D17/$C17,"")</f>
        <v/>
      </c>
    </row>
    <row r="18" ht="15" customHeight="1" s="30">
      <c r="A18" s="35">
        <f>IF('Hợp đồng'!A18="","",'Hợp đồng'!A18)</f>
        <v/>
      </c>
      <c r="B18" s="35">
        <f>IF($A18="","",'Hợp đồng'!E18)</f>
        <v/>
      </c>
      <c r="C18" s="41">
        <f>IF($A18="","",'Hợp đồng'!H18)</f>
        <v/>
      </c>
      <c r="D18" s="41">
        <f>IF($A18="","",SUMIFS('Thanh toán'!$E$4:$E$303,'Thanh toán'!$C$4:$C$303,$A18))</f>
        <v/>
      </c>
      <c r="E18" s="41">
        <f>IF($A18="","",$C18-$D18)</f>
        <v/>
      </c>
      <c r="F18" s="57">
        <f>IF($A18="","",'Hợp đồng'!P18)</f>
        <v/>
      </c>
      <c r="G18" s="41">
        <f>IF($A18="",0,IF($E18&lt;=0,0,IF($F18="",0,MAX(0,TODAY()-$F18))))</f>
        <v/>
      </c>
      <c r="H18" s="35">
        <f>IF($A18="","",IF($E18&lt;=0,"Đã thu đủ",IF($G18=0,"Trong hạn",IF($G18&lt;=30,"Quá hạn 1-30 ngày",IF($G18&lt;=60,"Quá hạn 31-60 ngày",IF($G18&lt;=90,"Quá hạn 61-90 ngày","Quá hạn trên 90 ngày"))))))</f>
        <v/>
      </c>
      <c r="I18" s="42">
        <f>IFERROR($D18/$C18,"")</f>
        <v/>
      </c>
    </row>
    <row r="19" ht="15" customHeight="1" s="30">
      <c r="A19" s="35">
        <f>IF('Hợp đồng'!A19="","",'Hợp đồng'!A19)</f>
        <v/>
      </c>
      <c r="B19" s="35">
        <f>IF($A19="","",'Hợp đồng'!E19)</f>
        <v/>
      </c>
      <c r="C19" s="41">
        <f>IF($A19="","",'Hợp đồng'!H19)</f>
        <v/>
      </c>
      <c r="D19" s="41">
        <f>IF($A19="","",SUMIFS('Thanh toán'!$E$4:$E$303,'Thanh toán'!$C$4:$C$303,$A19))</f>
        <v/>
      </c>
      <c r="E19" s="41">
        <f>IF($A19="","",$C19-$D19)</f>
        <v/>
      </c>
      <c r="F19" s="57">
        <f>IF($A19="","",'Hợp đồng'!P19)</f>
        <v/>
      </c>
      <c r="G19" s="41">
        <f>IF($A19="",0,IF($E19&lt;=0,0,IF($F19="",0,MAX(0,TODAY()-$F19))))</f>
        <v/>
      </c>
      <c r="H19" s="35">
        <f>IF($A19="","",IF($E19&lt;=0,"Đã thu đủ",IF($G19=0,"Trong hạn",IF($G19&lt;=30,"Quá hạn 1-30 ngày",IF($G19&lt;=60,"Quá hạn 31-60 ngày",IF($G19&lt;=90,"Quá hạn 61-90 ngày","Quá hạn trên 90 ngày"))))))</f>
        <v/>
      </c>
      <c r="I19" s="42">
        <f>IFERROR($D19/$C19,"")</f>
        <v/>
      </c>
    </row>
    <row r="20" ht="15" customHeight="1" s="30">
      <c r="A20" s="35">
        <f>IF('Hợp đồng'!A20="","",'Hợp đồng'!A20)</f>
        <v/>
      </c>
      <c r="B20" s="35">
        <f>IF($A20="","",'Hợp đồng'!E20)</f>
        <v/>
      </c>
      <c r="C20" s="41">
        <f>IF($A20="","",'Hợp đồng'!H20)</f>
        <v/>
      </c>
      <c r="D20" s="41">
        <f>IF($A20="","",SUMIFS('Thanh toán'!$E$4:$E$303,'Thanh toán'!$C$4:$C$303,$A20))</f>
        <v/>
      </c>
      <c r="E20" s="41">
        <f>IF($A20="","",$C20-$D20)</f>
        <v/>
      </c>
      <c r="F20" s="57">
        <f>IF($A20="","",'Hợp đồng'!P20)</f>
        <v/>
      </c>
      <c r="G20" s="41">
        <f>IF($A20="",0,IF($E20&lt;=0,0,IF($F20="",0,MAX(0,TODAY()-$F20))))</f>
        <v/>
      </c>
      <c r="H20" s="35">
        <f>IF($A20="","",IF($E20&lt;=0,"Đã thu đủ",IF($G20=0,"Trong hạn",IF($G20&lt;=30,"Quá hạn 1-30 ngày",IF($G20&lt;=60,"Quá hạn 31-60 ngày",IF($G20&lt;=90,"Quá hạn 61-90 ngày","Quá hạn trên 90 ngày"))))))</f>
        <v/>
      </c>
      <c r="I20" s="42">
        <f>IFERROR($D20/$C20,"")</f>
        <v/>
      </c>
    </row>
    <row r="21" ht="15" customHeight="1" s="30">
      <c r="A21" s="35">
        <f>IF('Hợp đồng'!A21="","",'Hợp đồng'!A21)</f>
        <v/>
      </c>
      <c r="B21" s="35">
        <f>IF($A21="","",'Hợp đồng'!E21)</f>
        <v/>
      </c>
      <c r="C21" s="41">
        <f>IF($A21="","",'Hợp đồng'!H21)</f>
        <v/>
      </c>
      <c r="D21" s="41">
        <f>IF($A21="","",SUMIFS('Thanh toán'!$E$4:$E$303,'Thanh toán'!$C$4:$C$303,$A21))</f>
        <v/>
      </c>
      <c r="E21" s="41">
        <f>IF($A21="","",$C21-$D21)</f>
        <v/>
      </c>
      <c r="F21" s="57">
        <f>IF($A21="","",'Hợp đồng'!P21)</f>
        <v/>
      </c>
      <c r="G21" s="41">
        <f>IF($A21="",0,IF($E21&lt;=0,0,IF($F21="",0,MAX(0,TODAY()-$F21))))</f>
        <v/>
      </c>
      <c r="H21" s="35">
        <f>IF($A21="","",IF($E21&lt;=0,"Đã thu đủ",IF($G21=0,"Trong hạn",IF($G21&lt;=30,"Quá hạn 1-30 ngày",IF($G21&lt;=60,"Quá hạn 31-60 ngày",IF($G21&lt;=90,"Quá hạn 61-90 ngày","Quá hạn trên 90 ngày"))))))</f>
        <v/>
      </c>
      <c r="I21" s="42">
        <f>IFERROR($D21/$C21,"")</f>
        <v/>
      </c>
    </row>
    <row r="22" ht="15" customHeight="1" s="30">
      <c r="A22" s="35">
        <f>IF('Hợp đồng'!A22="","",'Hợp đồng'!A22)</f>
        <v/>
      </c>
      <c r="B22" s="35">
        <f>IF($A22="","",'Hợp đồng'!E22)</f>
        <v/>
      </c>
      <c r="C22" s="41">
        <f>IF($A22="","",'Hợp đồng'!H22)</f>
        <v/>
      </c>
      <c r="D22" s="41">
        <f>IF($A22="","",SUMIFS('Thanh toán'!$E$4:$E$303,'Thanh toán'!$C$4:$C$303,$A22))</f>
        <v/>
      </c>
      <c r="E22" s="41">
        <f>IF($A22="","",$C22-$D22)</f>
        <v/>
      </c>
      <c r="F22" s="57">
        <f>IF($A22="","",'Hợp đồng'!P22)</f>
        <v/>
      </c>
      <c r="G22" s="41">
        <f>IF($A22="",0,IF($E22&lt;=0,0,IF($F22="",0,MAX(0,TODAY()-$F22))))</f>
        <v/>
      </c>
      <c r="H22" s="35">
        <f>IF($A22="","",IF($E22&lt;=0,"Đã thu đủ",IF($G22=0,"Trong hạn",IF($G22&lt;=30,"Quá hạn 1-30 ngày",IF($G22&lt;=60,"Quá hạn 31-60 ngày",IF($G22&lt;=90,"Quá hạn 61-90 ngày","Quá hạn trên 90 ngày"))))))</f>
        <v/>
      </c>
      <c r="I22" s="42">
        <f>IFERROR($D22/$C22,"")</f>
        <v/>
      </c>
    </row>
    <row r="23" ht="15" customHeight="1" s="30">
      <c r="A23" s="35">
        <f>IF('Hợp đồng'!A23="","",'Hợp đồng'!A23)</f>
        <v/>
      </c>
      <c r="B23" s="35">
        <f>IF($A23="","",'Hợp đồng'!E23)</f>
        <v/>
      </c>
      <c r="C23" s="41">
        <f>IF($A23="","",'Hợp đồng'!H23)</f>
        <v/>
      </c>
      <c r="D23" s="41">
        <f>IF($A23="","",SUMIFS('Thanh toán'!$E$4:$E$303,'Thanh toán'!$C$4:$C$303,$A23))</f>
        <v/>
      </c>
      <c r="E23" s="41">
        <f>IF($A23="","",$C23-$D23)</f>
        <v/>
      </c>
      <c r="F23" s="57">
        <f>IF($A23="","",'Hợp đồng'!P23)</f>
        <v/>
      </c>
      <c r="G23" s="41">
        <f>IF($A23="",0,IF($E23&lt;=0,0,IF($F23="",0,MAX(0,TODAY()-$F23))))</f>
        <v/>
      </c>
      <c r="H23" s="35">
        <f>IF($A23="","",IF($E23&lt;=0,"Đã thu đủ",IF($G23=0,"Trong hạn",IF($G23&lt;=30,"Quá hạn 1-30 ngày",IF($G23&lt;=60,"Quá hạn 31-60 ngày",IF($G23&lt;=90,"Quá hạn 61-90 ngày","Quá hạn trên 90 ngày"))))))</f>
        <v/>
      </c>
      <c r="I23" s="42">
        <f>IFERROR($D23/$C23,"")</f>
        <v/>
      </c>
    </row>
    <row r="24" ht="15" customHeight="1" s="30">
      <c r="A24" s="35">
        <f>IF('Hợp đồng'!A24="","",'Hợp đồng'!A24)</f>
        <v/>
      </c>
      <c r="B24" s="35">
        <f>IF($A24="","",'Hợp đồng'!E24)</f>
        <v/>
      </c>
      <c r="C24" s="41">
        <f>IF($A24="","",'Hợp đồng'!H24)</f>
        <v/>
      </c>
      <c r="D24" s="41">
        <f>IF($A24="","",SUMIFS('Thanh toán'!$E$4:$E$303,'Thanh toán'!$C$4:$C$303,$A24))</f>
        <v/>
      </c>
      <c r="E24" s="41">
        <f>IF($A24="","",$C24-$D24)</f>
        <v/>
      </c>
      <c r="F24" s="57">
        <f>IF($A24="","",'Hợp đồng'!P24)</f>
        <v/>
      </c>
      <c r="G24" s="41">
        <f>IF($A24="",0,IF($E24&lt;=0,0,IF($F24="",0,MAX(0,TODAY()-$F24))))</f>
        <v/>
      </c>
      <c r="H24" s="35">
        <f>IF($A24="","",IF($E24&lt;=0,"Đã thu đủ",IF($G24=0,"Trong hạn",IF($G24&lt;=30,"Quá hạn 1-30 ngày",IF($G24&lt;=60,"Quá hạn 31-60 ngày",IF($G24&lt;=90,"Quá hạn 61-90 ngày","Quá hạn trên 90 ngày"))))))</f>
        <v/>
      </c>
      <c r="I24" s="42">
        <f>IFERROR($D24/$C24,"")</f>
        <v/>
      </c>
    </row>
    <row r="25" ht="15" customHeight="1" s="30">
      <c r="A25" s="35">
        <f>IF('Hợp đồng'!A25="","",'Hợp đồng'!A25)</f>
        <v/>
      </c>
      <c r="B25" s="35">
        <f>IF($A25="","",'Hợp đồng'!E25)</f>
        <v/>
      </c>
      <c r="C25" s="41">
        <f>IF($A25="","",'Hợp đồng'!H25)</f>
        <v/>
      </c>
      <c r="D25" s="41">
        <f>IF($A25="","",SUMIFS('Thanh toán'!$E$4:$E$303,'Thanh toán'!$C$4:$C$303,$A25))</f>
        <v/>
      </c>
      <c r="E25" s="41">
        <f>IF($A25="","",$C25-$D25)</f>
        <v/>
      </c>
      <c r="F25" s="57">
        <f>IF($A25="","",'Hợp đồng'!P25)</f>
        <v/>
      </c>
      <c r="G25" s="41">
        <f>IF($A25="",0,IF($E25&lt;=0,0,IF($F25="",0,MAX(0,TODAY()-$F25))))</f>
        <v/>
      </c>
      <c r="H25" s="35">
        <f>IF($A25="","",IF($E25&lt;=0,"Đã thu đủ",IF($G25=0,"Trong hạn",IF($G25&lt;=30,"Quá hạn 1-30 ngày",IF($G25&lt;=60,"Quá hạn 31-60 ngày",IF($G25&lt;=90,"Quá hạn 61-90 ngày","Quá hạn trên 90 ngày"))))))</f>
        <v/>
      </c>
      <c r="I25" s="42">
        <f>IFERROR($D25/$C25,"")</f>
        <v/>
      </c>
    </row>
    <row r="26" ht="15" customHeight="1" s="30">
      <c r="A26" s="35">
        <f>IF('Hợp đồng'!A26="","",'Hợp đồng'!A26)</f>
        <v/>
      </c>
      <c r="B26" s="35">
        <f>IF($A26="","",'Hợp đồng'!E26)</f>
        <v/>
      </c>
      <c r="C26" s="41">
        <f>IF($A26="","",'Hợp đồng'!H26)</f>
        <v/>
      </c>
      <c r="D26" s="41">
        <f>IF($A26="","",SUMIFS('Thanh toán'!$E$4:$E$303,'Thanh toán'!$C$4:$C$303,$A26))</f>
        <v/>
      </c>
      <c r="E26" s="41">
        <f>IF($A26="","",$C26-$D26)</f>
        <v/>
      </c>
      <c r="F26" s="57">
        <f>IF($A26="","",'Hợp đồng'!P26)</f>
        <v/>
      </c>
      <c r="G26" s="41">
        <f>IF($A26="",0,IF($E26&lt;=0,0,IF($F26="",0,MAX(0,TODAY()-$F26))))</f>
        <v/>
      </c>
      <c r="H26" s="35">
        <f>IF($A26="","",IF($E26&lt;=0,"Đã thu đủ",IF($G26=0,"Trong hạn",IF($G26&lt;=30,"Quá hạn 1-30 ngày",IF($G26&lt;=60,"Quá hạn 31-60 ngày",IF($G26&lt;=90,"Quá hạn 61-90 ngày","Quá hạn trên 90 ngày"))))))</f>
        <v/>
      </c>
      <c r="I26" s="42">
        <f>IFERROR($D26/$C26,"")</f>
        <v/>
      </c>
    </row>
    <row r="27" ht="15" customHeight="1" s="30">
      <c r="A27" s="35">
        <f>IF('Hợp đồng'!A27="","",'Hợp đồng'!A27)</f>
        <v/>
      </c>
      <c r="B27" s="35">
        <f>IF($A27="","",'Hợp đồng'!E27)</f>
        <v/>
      </c>
      <c r="C27" s="41">
        <f>IF($A27="","",'Hợp đồng'!H27)</f>
        <v/>
      </c>
      <c r="D27" s="41">
        <f>IF($A27="","",SUMIFS('Thanh toán'!$E$4:$E$303,'Thanh toán'!$C$4:$C$303,$A27))</f>
        <v/>
      </c>
      <c r="E27" s="41">
        <f>IF($A27="","",$C27-$D27)</f>
        <v/>
      </c>
      <c r="F27" s="57">
        <f>IF($A27="","",'Hợp đồng'!P27)</f>
        <v/>
      </c>
      <c r="G27" s="41">
        <f>IF($A27="",0,IF($E27&lt;=0,0,IF($F27="",0,MAX(0,TODAY()-$F27))))</f>
        <v/>
      </c>
      <c r="H27" s="35">
        <f>IF($A27="","",IF($E27&lt;=0,"Đã thu đủ",IF($G27=0,"Trong hạn",IF($G27&lt;=30,"Quá hạn 1-30 ngày",IF($G27&lt;=60,"Quá hạn 31-60 ngày",IF($G27&lt;=90,"Quá hạn 61-90 ngày","Quá hạn trên 90 ngày"))))))</f>
        <v/>
      </c>
      <c r="I27" s="42">
        <f>IFERROR($D27/$C27,"")</f>
        <v/>
      </c>
    </row>
    <row r="28" ht="15" customHeight="1" s="30">
      <c r="A28" s="35">
        <f>IF('Hợp đồng'!A28="","",'Hợp đồng'!A28)</f>
        <v/>
      </c>
      <c r="B28" s="35">
        <f>IF($A28="","",'Hợp đồng'!E28)</f>
        <v/>
      </c>
      <c r="C28" s="41">
        <f>IF($A28="","",'Hợp đồng'!H28)</f>
        <v/>
      </c>
      <c r="D28" s="41">
        <f>IF($A28="","",SUMIFS('Thanh toán'!$E$4:$E$303,'Thanh toán'!$C$4:$C$303,$A28))</f>
        <v/>
      </c>
      <c r="E28" s="41">
        <f>IF($A28="","",$C28-$D28)</f>
        <v/>
      </c>
      <c r="F28" s="57">
        <f>IF($A28="","",'Hợp đồng'!P28)</f>
        <v/>
      </c>
      <c r="G28" s="41">
        <f>IF($A28="",0,IF($E28&lt;=0,0,IF($F28="",0,MAX(0,TODAY()-$F28))))</f>
        <v/>
      </c>
      <c r="H28" s="35">
        <f>IF($A28="","",IF($E28&lt;=0,"Đã thu đủ",IF($G28=0,"Trong hạn",IF($G28&lt;=30,"Quá hạn 1-30 ngày",IF($G28&lt;=60,"Quá hạn 31-60 ngày",IF($G28&lt;=90,"Quá hạn 61-90 ngày","Quá hạn trên 90 ngày"))))))</f>
        <v/>
      </c>
      <c r="I28" s="42">
        <f>IFERROR($D28/$C28,"")</f>
        <v/>
      </c>
    </row>
    <row r="29" ht="15" customHeight="1" s="30">
      <c r="A29" s="35">
        <f>IF('Hợp đồng'!A29="","",'Hợp đồng'!A29)</f>
        <v/>
      </c>
      <c r="B29" s="35">
        <f>IF($A29="","",'Hợp đồng'!E29)</f>
        <v/>
      </c>
      <c r="C29" s="41">
        <f>IF($A29="","",'Hợp đồng'!H29)</f>
        <v/>
      </c>
      <c r="D29" s="41">
        <f>IF($A29="","",SUMIFS('Thanh toán'!$E$4:$E$303,'Thanh toán'!$C$4:$C$303,$A29))</f>
        <v/>
      </c>
      <c r="E29" s="41">
        <f>IF($A29="","",$C29-$D29)</f>
        <v/>
      </c>
      <c r="F29" s="57">
        <f>IF($A29="","",'Hợp đồng'!P29)</f>
        <v/>
      </c>
      <c r="G29" s="41">
        <f>IF($A29="",0,IF($E29&lt;=0,0,IF($F29="",0,MAX(0,TODAY()-$F29))))</f>
        <v/>
      </c>
      <c r="H29" s="35">
        <f>IF($A29="","",IF($E29&lt;=0,"Đã thu đủ",IF($G29=0,"Trong hạn",IF($G29&lt;=30,"Quá hạn 1-30 ngày",IF($G29&lt;=60,"Quá hạn 31-60 ngày",IF($G29&lt;=90,"Quá hạn 61-90 ngày","Quá hạn trên 90 ngày"))))))</f>
        <v/>
      </c>
      <c r="I29" s="42">
        <f>IFERROR($D29/$C29,"")</f>
        <v/>
      </c>
    </row>
    <row r="30" ht="15" customHeight="1" s="30">
      <c r="A30" s="35">
        <f>IF('Hợp đồng'!A30="","",'Hợp đồng'!A30)</f>
        <v/>
      </c>
      <c r="B30" s="35">
        <f>IF($A30="","",'Hợp đồng'!E30)</f>
        <v/>
      </c>
      <c r="C30" s="41">
        <f>IF($A30="","",'Hợp đồng'!H30)</f>
        <v/>
      </c>
      <c r="D30" s="41">
        <f>IF($A30="","",SUMIFS('Thanh toán'!$E$4:$E$303,'Thanh toán'!$C$4:$C$303,$A30))</f>
        <v/>
      </c>
      <c r="E30" s="41">
        <f>IF($A30="","",$C30-$D30)</f>
        <v/>
      </c>
      <c r="F30" s="57">
        <f>IF($A30="","",'Hợp đồng'!P30)</f>
        <v/>
      </c>
      <c r="G30" s="41">
        <f>IF($A30="",0,IF($E30&lt;=0,0,IF($F30="",0,MAX(0,TODAY()-$F30))))</f>
        <v/>
      </c>
      <c r="H30" s="35">
        <f>IF($A30="","",IF($E30&lt;=0,"Đã thu đủ",IF($G30=0,"Trong hạn",IF($G30&lt;=30,"Quá hạn 1-30 ngày",IF($G30&lt;=60,"Quá hạn 31-60 ngày",IF($G30&lt;=90,"Quá hạn 61-90 ngày","Quá hạn trên 90 ngày"))))))</f>
        <v/>
      </c>
      <c r="I30" s="42">
        <f>IFERROR($D30/$C30,"")</f>
        <v/>
      </c>
    </row>
    <row r="31" ht="15" customHeight="1" s="30">
      <c r="A31" s="35">
        <f>IF('Hợp đồng'!A31="","",'Hợp đồng'!A31)</f>
        <v/>
      </c>
      <c r="B31" s="35">
        <f>IF($A31="","",'Hợp đồng'!E31)</f>
        <v/>
      </c>
      <c r="C31" s="41">
        <f>IF($A31="","",'Hợp đồng'!H31)</f>
        <v/>
      </c>
      <c r="D31" s="41">
        <f>IF($A31="","",SUMIFS('Thanh toán'!$E$4:$E$303,'Thanh toán'!$C$4:$C$303,$A31))</f>
        <v/>
      </c>
      <c r="E31" s="41">
        <f>IF($A31="","",$C31-$D31)</f>
        <v/>
      </c>
      <c r="F31" s="57">
        <f>IF($A31="","",'Hợp đồng'!P31)</f>
        <v/>
      </c>
      <c r="G31" s="41">
        <f>IF($A31="",0,IF($E31&lt;=0,0,IF($F31="",0,MAX(0,TODAY()-$F31))))</f>
        <v/>
      </c>
      <c r="H31" s="35">
        <f>IF($A31="","",IF($E31&lt;=0,"Đã thu đủ",IF($G31=0,"Trong hạn",IF($G31&lt;=30,"Quá hạn 1-30 ngày",IF($G31&lt;=60,"Quá hạn 31-60 ngày",IF($G31&lt;=90,"Quá hạn 61-90 ngày","Quá hạn trên 90 ngày"))))))</f>
        <v/>
      </c>
      <c r="I31" s="42">
        <f>IFERROR($D31/$C31,"")</f>
        <v/>
      </c>
    </row>
    <row r="32" ht="15" customHeight="1" s="30">
      <c r="A32" s="35">
        <f>IF('Hợp đồng'!A32="","",'Hợp đồng'!A32)</f>
        <v/>
      </c>
      <c r="B32" s="35">
        <f>IF($A32="","",'Hợp đồng'!E32)</f>
        <v/>
      </c>
      <c r="C32" s="41">
        <f>IF($A32="","",'Hợp đồng'!H32)</f>
        <v/>
      </c>
      <c r="D32" s="41">
        <f>IF($A32="","",SUMIFS('Thanh toán'!$E$4:$E$303,'Thanh toán'!$C$4:$C$303,$A32))</f>
        <v/>
      </c>
      <c r="E32" s="41">
        <f>IF($A32="","",$C32-$D32)</f>
        <v/>
      </c>
      <c r="F32" s="57">
        <f>IF($A32="","",'Hợp đồng'!P32)</f>
        <v/>
      </c>
      <c r="G32" s="41">
        <f>IF($A32="",0,IF($E32&lt;=0,0,IF($F32="",0,MAX(0,TODAY()-$F32))))</f>
        <v/>
      </c>
      <c r="H32" s="35">
        <f>IF($A32="","",IF($E32&lt;=0,"Đã thu đủ",IF($G32=0,"Trong hạn",IF($G32&lt;=30,"Quá hạn 1-30 ngày",IF($G32&lt;=60,"Quá hạn 31-60 ngày",IF($G32&lt;=90,"Quá hạn 61-90 ngày","Quá hạn trên 90 ngày"))))))</f>
        <v/>
      </c>
      <c r="I32" s="42">
        <f>IFERROR($D32/$C32,"")</f>
        <v/>
      </c>
    </row>
    <row r="33" ht="15" customHeight="1" s="30">
      <c r="A33" s="35">
        <f>IF('Hợp đồng'!A33="","",'Hợp đồng'!A33)</f>
        <v/>
      </c>
      <c r="B33" s="35">
        <f>IF($A33="","",'Hợp đồng'!E33)</f>
        <v/>
      </c>
      <c r="C33" s="41">
        <f>IF($A33="","",'Hợp đồng'!H33)</f>
        <v/>
      </c>
      <c r="D33" s="41">
        <f>IF($A33="","",SUMIFS('Thanh toán'!$E$4:$E$303,'Thanh toán'!$C$4:$C$303,$A33))</f>
        <v/>
      </c>
      <c r="E33" s="41">
        <f>IF($A33="","",$C33-$D33)</f>
        <v/>
      </c>
      <c r="F33" s="57">
        <f>IF($A33="","",'Hợp đồng'!P33)</f>
        <v/>
      </c>
      <c r="G33" s="41">
        <f>IF($A33="",0,IF($E33&lt;=0,0,IF($F33="",0,MAX(0,TODAY()-$F33))))</f>
        <v/>
      </c>
      <c r="H33" s="35">
        <f>IF($A33="","",IF($E33&lt;=0,"Đã thu đủ",IF($G33=0,"Trong hạn",IF($G33&lt;=30,"Quá hạn 1-30 ngày",IF($G33&lt;=60,"Quá hạn 31-60 ngày",IF($G33&lt;=90,"Quá hạn 61-90 ngày","Quá hạn trên 90 ngày"))))))</f>
        <v/>
      </c>
      <c r="I33" s="42">
        <f>IFERROR($D33/$C33,"")</f>
        <v/>
      </c>
    </row>
    <row r="34" ht="15" customHeight="1" s="30">
      <c r="A34" s="35">
        <f>IF('Hợp đồng'!A34="","",'Hợp đồng'!A34)</f>
        <v/>
      </c>
      <c r="B34" s="35">
        <f>IF($A34="","",'Hợp đồng'!E34)</f>
        <v/>
      </c>
      <c r="C34" s="41">
        <f>IF($A34="","",'Hợp đồng'!H34)</f>
        <v/>
      </c>
      <c r="D34" s="41">
        <f>IF($A34="","",SUMIFS('Thanh toán'!$E$4:$E$303,'Thanh toán'!$C$4:$C$303,$A34))</f>
        <v/>
      </c>
      <c r="E34" s="41">
        <f>IF($A34="","",$C34-$D34)</f>
        <v/>
      </c>
      <c r="F34" s="57">
        <f>IF($A34="","",'Hợp đồng'!P34)</f>
        <v/>
      </c>
      <c r="G34" s="41">
        <f>IF($A34="",0,IF($E34&lt;=0,0,IF($F34="",0,MAX(0,TODAY()-$F34))))</f>
        <v/>
      </c>
      <c r="H34" s="35">
        <f>IF($A34="","",IF($E34&lt;=0,"Đã thu đủ",IF($G34=0,"Trong hạn",IF($G34&lt;=30,"Quá hạn 1-30 ngày",IF($G34&lt;=60,"Quá hạn 31-60 ngày",IF($G34&lt;=90,"Quá hạn 61-90 ngày","Quá hạn trên 90 ngày"))))))</f>
        <v/>
      </c>
      <c r="I34" s="42">
        <f>IFERROR($D34/$C34,"")</f>
        <v/>
      </c>
    </row>
    <row r="35" ht="15" customHeight="1" s="30">
      <c r="A35" s="35">
        <f>IF('Hợp đồng'!A35="","",'Hợp đồng'!A35)</f>
        <v/>
      </c>
      <c r="B35" s="35">
        <f>IF($A35="","",'Hợp đồng'!E35)</f>
        <v/>
      </c>
      <c r="C35" s="41">
        <f>IF($A35="","",'Hợp đồng'!H35)</f>
        <v/>
      </c>
      <c r="D35" s="41">
        <f>IF($A35="","",SUMIFS('Thanh toán'!$E$4:$E$303,'Thanh toán'!$C$4:$C$303,$A35))</f>
        <v/>
      </c>
      <c r="E35" s="41">
        <f>IF($A35="","",$C35-$D35)</f>
        <v/>
      </c>
      <c r="F35" s="57">
        <f>IF($A35="","",'Hợp đồng'!P35)</f>
        <v/>
      </c>
      <c r="G35" s="41">
        <f>IF($A35="",0,IF($E35&lt;=0,0,IF($F35="",0,MAX(0,TODAY()-$F35))))</f>
        <v/>
      </c>
      <c r="H35" s="35">
        <f>IF($A35="","",IF($E35&lt;=0,"Đã thu đủ",IF($G35=0,"Trong hạn",IF($G35&lt;=30,"Quá hạn 1-30 ngày",IF($G35&lt;=60,"Quá hạn 31-60 ngày",IF($G35&lt;=90,"Quá hạn 61-90 ngày","Quá hạn trên 90 ngày"))))))</f>
        <v/>
      </c>
      <c r="I35" s="42">
        <f>IFERROR($D35/$C35,"")</f>
        <v/>
      </c>
    </row>
    <row r="36" ht="15" customHeight="1" s="30">
      <c r="A36" s="35">
        <f>IF('Hợp đồng'!A36="","",'Hợp đồng'!A36)</f>
        <v/>
      </c>
      <c r="B36" s="35">
        <f>IF($A36="","",'Hợp đồng'!E36)</f>
        <v/>
      </c>
      <c r="C36" s="41">
        <f>IF($A36="","",'Hợp đồng'!H36)</f>
        <v/>
      </c>
      <c r="D36" s="41">
        <f>IF($A36="","",SUMIFS('Thanh toán'!$E$4:$E$303,'Thanh toán'!$C$4:$C$303,$A36))</f>
        <v/>
      </c>
      <c r="E36" s="41">
        <f>IF($A36="","",$C36-$D36)</f>
        <v/>
      </c>
      <c r="F36" s="57">
        <f>IF($A36="","",'Hợp đồng'!P36)</f>
        <v/>
      </c>
      <c r="G36" s="41">
        <f>IF($A36="",0,IF($E36&lt;=0,0,IF($F36="",0,MAX(0,TODAY()-$F36))))</f>
        <v/>
      </c>
      <c r="H36" s="35">
        <f>IF($A36="","",IF($E36&lt;=0,"Đã thu đủ",IF($G36=0,"Trong hạn",IF($G36&lt;=30,"Quá hạn 1-30 ngày",IF($G36&lt;=60,"Quá hạn 31-60 ngày",IF($G36&lt;=90,"Quá hạn 61-90 ngày","Quá hạn trên 90 ngày"))))))</f>
        <v/>
      </c>
      <c r="I36" s="42">
        <f>IFERROR($D36/$C36,"")</f>
        <v/>
      </c>
    </row>
    <row r="37" ht="15" customHeight="1" s="30">
      <c r="A37" s="35">
        <f>IF('Hợp đồng'!A37="","",'Hợp đồng'!A37)</f>
        <v/>
      </c>
      <c r="B37" s="35">
        <f>IF($A37="","",'Hợp đồng'!E37)</f>
        <v/>
      </c>
      <c r="C37" s="41">
        <f>IF($A37="","",'Hợp đồng'!H37)</f>
        <v/>
      </c>
      <c r="D37" s="41">
        <f>IF($A37="","",SUMIFS('Thanh toán'!$E$4:$E$303,'Thanh toán'!$C$4:$C$303,$A37))</f>
        <v/>
      </c>
      <c r="E37" s="41">
        <f>IF($A37="","",$C37-$D37)</f>
        <v/>
      </c>
      <c r="F37" s="57">
        <f>IF($A37="","",'Hợp đồng'!P37)</f>
        <v/>
      </c>
      <c r="G37" s="41">
        <f>IF($A37="",0,IF($E37&lt;=0,0,IF($F37="",0,MAX(0,TODAY()-$F37))))</f>
        <v/>
      </c>
      <c r="H37" s="35">
        <f>IF($A37="","",IF($E37&lt;=0,"Đã thu đủ",IF($G37=0,"Trong hạn",IF($G37&lt;=30,"Quá hạn 1-30 ngày",IF($G37&lt;=60,"Quá hạn 31-60 ngày",IF($G37&lt;=90,"Quá hạn 61-90 ngày","Quá hạn trên 90 ngày"))))))</f>
        <v/>
      </c>
      <c r="I37" s="42">
        <f>IFERROR($D37/$C37,"")</f>
        <v/>
      </c>
    </row>
    <row r="38" ht="15" customHeight="1" s="30">
      <c r="A38" s="35">
        <f>IF('Hợp đồng'!A38="","",'Hợp đồng'!A38)</f>
        <v/>
      </c>
      <c r="B38" s="35">
        <f>IF($A38="","",'Hợp đồng'!E38)</f>
        <v/>
      </c>
      <c r="C38" s="41">
        <f>IF($A38="","",'Hợp đồng'!H38)</f>
        <v/>
      </c>
      <c r="D38" s="41">
        <f>IF($A38="","",SUMIFS('Thanh toán'!$E$4:$E$303,'Thanh toán'!$C$4:$C$303,$A38))</f>
        <v/>
      </c>
      <c r="E38" s="41">
        <f>IF($A38="","",$C38-$D38)</f>
        <v/>
      </c>
      <c r="F38" s="57">
        <f>IF($A38="","",'Hợp đồng'!P38)</f>
        <v/>
      </c>
      <c r="G38" s="41">
        <f>IF($A38="",0,IF($E38&lt;=0,0,IF($F38="",0,MAX(0,TODAY()-$F38))))</f>
        <v/>
      </c>
      <c r="H38" s="35">
        <f>IF($A38="","",IF($E38&lt;=0,"Đã thu đủ",IF($G38=0,"Trong hạn",IF($G38&lt;=30,"Quá hạn 1-30 ngày",IF($G38&lt;=60,"Quá hạn 31-60 ngày",IF($G38&lt;=90,"Quá hạn 61-90 ngày","Quá hạn trên 90 ngày"))))))</f>
        <v/>
      </c>
      <c r="I38" s="42">
        <f>IFERROR($D38/$C38,"")</f>
        <v/>
      </c>
    </row>
    <row r="39" ht="15" customHeight="1" s="30">
      <c r="A39" s="35">
        <f>IF('Hợp đồng'!A39="","",'Hợp đồng'!A39)</f>
        <v/>
      </c>
      <c r="B39" s="35">
        <f>IF($A39="","",'Hợp đồng'!E39)</f>
        <v/>
      </c>
      <c r="C39" s="41">
        <f>IF($A39="","",'Hợp đồng'!H39)</f>
        <v/>
      </c>
      <c r="D39" s="41">
        <f>IF($A39="","",SUMIFS('Thanh toán'!$E$4:$E$303,'Thanh toán'!$C$4:$C$303,$A39))</f>
        <v/>
      </c>
      <c r="E39" s="41">
        <f>IF($A39="","",$C39-$D39)</f>
        <v/>
      </c>
      <c r="F39" s="57">
        <f>IF($A39="","",'Hợp đồng'!P39)</f>
        <v/>
      </c>
      <c r="G39" s="41">
        <f>IF($A39="",0,IF($E39&lt;=0,0,IF($F39="",0,MAX(0,TODAY()-$F39))))</f>
        <v/>
      </c>
      <c r="H39" s="35">
        <f>IF($A39="","",IF($E39&lt;=0,"Đã thu đủ",IF($G39=0,"Trong hạn",IF($G39&lt;=30,"Quá hạn 1-30 ngày",IF($G39&lt;=60,"Quá hạn 31-60 ngày",IF($G39&lt;=90,"Quá hạn 61-90 ngày","Quá hạn trên 90 ngày"))))))</f>
        <v/>
      </c>
      <c r="I39" s="42">
        <f>IFERROR($D39/$C39,"")</f>
        <v/>
      </c>
    </row>
    <row r="40" ht="15" customHeight="1" s="30">
      <c r="A40" s="35">
        <f>IF('Hợp đồng'!A40="","",'Hợp đồng'!A40)</f>
        <v/>
      </c>
      <c r="B40" s="35">
        <f>IF($A40="","",'Hợp đồng'!E40)</f>
        <v/>
      </c>
      <c r="C40" s="41">
        <f>IF($A40="","",'Hợp đồng'!H40)</f>
        <v/>
      </c>
      <c r="D40" s="41">
        <f>IF($A40="","",SUMIFS('Thanh toán'!$E$4:$E$303,'Thanh toán'!$C$4:$C$303,$A40))</f>
        <v/>
      </c>
      <c r="E40" s="41">
        <f>IF($A40="","",$C40-$D40)</f>
        <v/>
      </c>
      <c r="F40" s="57">
        <f>IF($A40="","",'Hợp đồng'!P40)</f>
        <v/>
      </c>
      <c r="G40" s="41">
        <f>IF($A40="",0,IF($E40&lt;=0,0,IF($F40="",0,MAX(0,TODAY()-$F40))))</f>
        <v/>
      </c>
      <c r="H40" s="35">
        <f>IF($A40="","",IF($E40&lt;=0,"Đã thu đủ",IF($G40=0,"Trong hạn",IF($G40&lt;=30,"Quá hạn 1-30 ngày",IF($G40&lt;=60,"Quá hạn 31-60 ngày",IF($G40&lt;=90,"Quá hạn 61-90 ngày","Quá hạn trên 90 ngày"))))))</f>
        <v/>
      </c>
      <c r="I40" s="42">
        <f>IFERROR($D40/$C40,"")</f>
        <v/>
      </c>
    </row>
    <row r="41" ht="15" customHeight="1" s="30">
      <c r="A41" s="35">
        <f>IF('Hợp đồng'!A41="","",'Hợp đồng'!A41)</f>
        <v/>
      </c>
      <c r="B41" s="35">
        <f>IF($A41="","",'Hợp đồng'!E41)</f>
        <v/>
      </c>
      <c r="C41" s="41">
        <f>IF($A41="","",'Hợp đồng'!H41)</f>
        <v/>
      </c>
      <c r="D41" s="41">
        <f>IF($A41="","",SUMIFS('Thanh toán'!$E$4:$E$303,'Thanh toán'!$C$4:$C$303,$A41))</f>
        <v/>
      </c>
      <c r="E41" s="41">
        <f>IF($A41="","",$C41-$D41)</f>
        <v/>
      </c>
      <c r="F41" s="57">
        <f>IF($A41="","",'Hợp đồng'!P41)</f>
        <v/>
      </c>
      <c r="G41" s="41">
        <f>IF($A41="",0,IF($E41&lt;=0,0,IF($F41="",0,MAX(0,TODAY()-$F41))))</f>
        <v/>
      </c>
      <c r="H41" s="35">
        <f>IF($A41="","",IF($E41&lt;=0,"Đã thu đủ",IF($G41=0,"Trong hạn",IF($G41&lt;=30,"Quá hạn 1-30 ngày",IF($G41&lt;=60,"Quá hạn 31-60 ngày",IF($G41&lt;=90,"Quá hạn 61-90 ngày","Quá hạn trên 90 ngày"))))))</f>
        <v/>
      </c>
      <c r="I41" s="42">
        <f>IFERROR($D41/$C41,"")</f>
        <v/>
      </c>
    </row>
    <row r="42" ht="15" customHeight="1" s="30">
      <c r="A42" s="35">
        <f>IF('Hợp đồng'!A42="","",'Hợp đồng'!A42)</f>
        <v/>
      </c>
      <c r="B42" s="35">
        <f>IF($A42="","",'Hợp đồng'!E42)</f>
        <v/>
      </c>
      <c r="C42" s="41">
        <f>IF($A42="","",'Hợp đồng'!H42)</f>
        <v/>
      </c>
      <c r="D42" s="41">
        <f>IF($A42="","",SUMIFS('Thanh toán'!$E$4:$E$303,'Thanh toán'!$C$4:$C$303,$A42))</f>
        <v/>
      </c>
      <c r="E42" s="41">
        <f>IF($A42="","",$C42-$D42)</f>
        <v/>
      </c>
      <c r="F42" s="57">
        <f>IF($A42="","",'Hợp đồng'!P42)</f>
        <v/>
      </c>
      <c r="G42" s="41">
        <f>IF($A42="",0,IF($E42&lt;=0,0,IF($F42="",0,MAX(0,TODAY()-$F42))))</f>
        <v/>
      </c>
      <c r="H42" s="35">
        <f>IF($A42="","",IF($E42&lt;=0,"Đã thu đủ",IF($G42=0,"Trong hạn",IF($G42&lt;=30,"Quá hạn 1-30 ngày",IF($G42&lt;=60,"Quá hạn 31-60 ngày",IF($G42&lt;=90,"Quá hạn 61-90 ngày","Quá hạn trên 90 ngày"))))))</f>
        <v/>
      </c>
      <c r="I42" s="42">
        <f>IFERROR($D42/$C42,"")</f>
        <v/>
      </c>
    </row>
    <row r="43" ht="15" customHeight="1" s="30">
      <c r="A43" s="35">
        <f>IF('Hợp đồng'!A43="","",'Hợp đồng'!A43)</f>
        <v/>
      </c>
      <c r="B43" s="35">
        <f>IF($A43="","",'Hợp đồng'!E43)</f>
        <v/>
      </c>
      <c r="C43" s="41">
        <f>IF($A43="","",'Hợp đồng'!H43)</f>
        <v/>
      </c>
      <c r="D43" s="41">
        <f>IF($A43="","",SUMIFS('Thanh toán'!$E$4:$E$303,'Thanh toán'!$C$4:$C$303,$A43))</f>
        <v/>
      </c>
      <c r="E43" s="41">
        <f>IF($A43="","",$C43-$D43)</f>
        <v/>
      </c>
      <c r="F43" s="57">
        <f>IF($A43="","",'Hợp đồng'!P43)</f>
        <v/>
      </c>
      <c r="G43" s="41">
        <f>IF($A43="",0,IF($E43&lt;=0,0,IF($F43="",0,MAX(0,TODAY()-$F43))))</f>
        <v/>
      </c>
      <c r="H43" s="35">
        <f>IF($A43="","",IF($E43&lt;=0,"Đã thu đủ",IF($G43=0,"Trong hạn",IF($G43&lt;=30,"Quá hạn 1-30 ngày",IF($G43&lt;=60,"Quá hạn 31-60 ngày",IF($G43&lt;=90,"Quá hạn 61-90 ngày","Quá hạn trên 90 ngày"))))))</f>
        <v/>
      </c>
      <c r="I43" s="42">
        <f>IFERROR($D43/$C43,"")</f>
        <v/>
      </c>
    </row>
    <row r="44" ht="15" customHeight="1" s="30">
      <c r="A44" s="35">
        <f>IF('Hợp đồng'!A44="","",'Hợp đồng'!A44)</f>
        <v/>
      </c>
      <c r="B44" s="35">
        <f>IF($A44="","",'Hợp đồng'!E44)</f>
        <v/>
      </c>
      <c r="C44" s="41">
        <f>IF($A44="","",'Hợp đồng'!H44)</f>
        <v/>
      </c>
      <c r="D44" s="41">
        <f>IF($A44="","",SUMIFS('Thanh toán'!$E$4:$E$303,'Thanh toán'!$C$4:$C$303,$A44))</f>
        <v/>
      </c>
      <c r="E44" s="41">
        <f>IF($A44="","",$C44-$D44)</f>
        <v/>
      </c>
      <c r="F44" s="57">
        <f>IF($A44="","",'Hợp đồng'!P44)</f>
        <v/>
      </c>
      <c r="G44" s="41">
        <f>IF($A44="",0,IF($E44&lt;=0,0,IF($F44="",0,MAX(0,TODAY()-$F44))))</f>
        <v/>
      </c>
      <c r="H44" s="35">
        <f>IF($A44="","",IF($E44&lt;=0,"Đã thu đủ",IF($G44=0,"Trong hạn",IF($G44&lt;=30,"Quá hạn 1-30 ngày",IF($G44&lt;=60,"Quá hạn 31-60 ngày",IF($G44&lt;=90,"Quá hạn 61-90 ngày","Quá hạn trên 90 ngày"))))))</f>
        <v/>
      </c>
      <c r="I44" s="42">
        <f>IFERROR($D44/$C44,"")</f>
        <v/>
      </c>
    </row>
    <row r="45" ht="15" customHeight="1" s="30">
      <c r="A45" s="35">
        <f>IF('Hợp đồng'!A45="","",'Hợp đồng'!A45)</f>
        <v/>
      </c>
      <c r="B45" s="35">
        <f>IF($A45="","",'Hợp đồng'!E45)</f>
        <v/>
      </c>
      <c r="C45" s="41">
        <f>IF($A45="","",'Hợp đồng'!H45)</f>
        <v/>
      </c>
      <c r="D45" s="41">
        <f>IF($A45="","",SUMIFS('Thanh toán'!$E$4:$E$303,'Thanh toán'!$C$4:$C$303,$A45))</f>
        <v/>
      </c>
      <c r="E45" s="41">
        <f>IF($A45="","",$C45-$D45)</f>
        <v/>
      </c>
      <c r="F45" s="57">
        <f>IF($A45="","",'Hợp đồng'!P45)</f>
        <v/>
      </c>
      <c r="G45" s="41">
        <f>IF($A45="",0,IF($E45&lt;=0,0,IF($F45="",0,MAX(0,TODAY()-$F45))))</f>
        <v/>
      </c>
      <c r="H45" s="35">
        <f>IF($A45="","",IF($E45&lt;=0,"Đã thu đủ",IF($G45=0,"Trong hạn",IF($G45&lt;=30,"Quá hạn 1-30 ngày",IF($G45&lt;=60,"Quá hạn 31-60 ngày",IF($G45&lt;=90,"Quá hạn 61-90 ngày","Quá hạn trên 90 ngày"))))))</f>
        <v/>
      </c>
      <c r="I45" s="42">
        <f>IFERROR($D45/$C45,"")</f>
        <v/>
      </c>
    </row>
    <row r="46" ht="15" customHeight="1" s="30">
      <c r="A46" s="35">
        <f>IF('Hợp đồng'!A46="","",'Hợp đồng'!A46)</f>
        <v/>
      </c>
      <c r="B46" s="35">
        <f>IF($A46="","",'Hợp đồng'!E46)</f>
        <v/>
      </c>
      <c r="C46" s="41">
        <f>IF($A46="","",'Hợp đồng'!H46)</f>
        <v/>
      </c>
      <c r="D46" s="41">
        <f>IF($A46="","",SUMIFS('Thanh toán'!$E$4:$E$303,'Thanh toán'!$C$4:$C$303,$A46))</f>
        <v/>
      </c>
      <c r="E46" s="41">
        <f>IF($A46="","",$C46-$D46)</f>
        <v/>
      </c>
      <c r="F46" s="57">
        <f>IF($A46="","",'Hợp đồng'!P46)</f>
        <v/>
      </c>
      <c r="G46" s="41">
        <f>IF($A46="",0,IF($E46&lt;=0,0,IF($F46="",0,MAX(0,TODAY()-$F46))))</f>
        <v/>
      </c>
      <c r="H46" s="35">
        <f>IF($A46="","",IF($E46&lt;=0,"Đã thu đủ",IF($G46=0,"Trong hạn",IF($G46&lt;=30,"Quá hạn 1-30 ngày",IF($G46&lt;=60,"Quá hạn 31-60 ngày",IF($G46&lt;=90,"Quá hạn 61-90 ngày","Quá hạn trên 90 ngày"))))))</f>
        <v/>
      </c>
      <c r="I46" s="42">
        <f>IFERROR($D46/$C46,"")</f>
        <v/>
      </c>
    </row>
    <row r="47" ht="15" customHeight="1" s="30">
      <c r="A47" s="35">
        <f>IF('Hợp đồng'!A47="","",'Hợp đồng'!A47)</f>
        <v/>
      </c>
      <c r="B47" s="35">
        <f>IF($A47="","",'Hợp đồng'!E47)</f>
        <v/>
      </c>
      <c r="C47" s="41">
        <f>IF($A47="","",'Hợp đồng'!H47)</f>
        <v/>
      </c>
      <c r="D47" s="41">
        <f>IF($A47="","",SUMIFS('Thanh toán'!$E$4:$E$303,'Thanh toán'!$C$4:$C$303,$A47))</f>
        <v/>
      </c>
      <c r="E47" s="41">
        <f>IF($A47="","",$C47-$D47)</f>
        <v/>
      </c>
      <c r="F47" s="57">
        <f>IF($A47="","",'Hợp đồng'!P47)</f>
        <v/>
      </c>
      <c r="G47" s="41">
        <f>IF($A47="",0,IF($E47&lt;=0,0,IF($F47="",0,MAX(0,TODAY()-$F47))))</f>
        <v/>
      </c>
      <c r="H47" s="35">
        <f>IF($A47="","",IF($E47&lt;=0,"Đã thu đủ",IF($G47=0,"Trong hạn",IF($G47&lt;=30,"Quá hạn 1-30 ngày",IF($G47&lt;=60,"Quá hạn 31-60 ngày",IF($G47&lt;=90,"Quá hạn 61-90 ngày","Quá hạn trên 90 ngày"))))))</f>
        <v/>
      </c>
      <c r="I47" s="42">
        <f>IFERROR($D47/$C47,"")</f>
        <v/>
      </c>
    </row>
    <row r="48" ht="15" customHeight="1" s="30">
      <c r="A48" s="35">
        <f>IF('Hợp đồng'!A48="","",'Hợp đồng'!A48)</f>
        <v/>
      </c>
      <c r="B48" s="35">
        <f>IF($A48="","",'Hợp đồng'!E48)</f>
        <v/>
      </c>
      <c r="C48" s="41">
        <f>IF($A48="","",'Hợp đồng'!H48)</f>
        <v/>
      </c>
      <c r="D48" s="41">
        <f>IF($A48="","",SUMIFS('Thanh toán'!$E$4:$E$303,'Thanh toán'!$C$4:$C$303,$A48))</f>
        <v/>
      </c>
      <c r="E48" s="41">
        <f>IF($A48="","",$C48-$D48)</f>
        <v/>
      </c>
      <c r="F48" s="57">
        <f>IF($A48="","",'Hợp đồng'!P48)</f>
        <v/>
      </c>
      <c r="G48" s="41">
        <f>IF($A48="",0,IF($E48&lt;=0,0,IF($F48="",0,MAX(0,TODAY()-$F48))))</f>
        <v/>
      </c>
      <c r="H48" s="35">
        <f>IF($A48="","",IF($E48&lt;=0,"Đã thu đủ",IF($G48=0,"Trong hạn",IF($G48&lt;=30,"Quá hạn 1-30 ngày",IF($G48&lt;=60,"Quá hạn 31-60 ngày",IF($G48&lt;=90,"Quá hạn 61-90 ngày","Quá hạn trên 90 ngày"))))))</f>
        <v/>
      </c>
      <c r="I48" s="42">
        <f>IFERROR($D48/$C48,"")</f>
        <v/>
      </c>
    </row>
    <row r="49" ht="15" customHeight="1" s="30">
      <c r="A49" s="35">
        <f>IF('Hợp đồng'!A49="","",'Hợp đồng'!A49)</f>
        <v/>
      </c>
      <c r="B49" s="35">
        <f>IF($A49="","",'Hợp đồng'!E49)</f>
        <v/>
      </c>
      <c r="C49" s="41">
        <f>IF($A49="","",'Hợp đồng'!H49)</f>
        <v/>
      </c>
      <c r="D49" s="41">
        <f>IF($A49="","",SUMIFS('Thanh toán'!$E$4:$E$303,'Thanh toán'!$C$4:$C$303,$A49))</f>
        <v/>
      </c>
      <c r="E49" s="41">
        <f>IF($A49="","",$C49-$D49)</f>
        <v/>
      </c>
      <c r="F49" s="57">
        <f>IF($A49="","",'Hợp đồng'!P49)</f>
        <v/>
      </c>
      <c r="G49" s="41">
        <f>IF($A49="",0,IF($E49&lt;=0,0,IF($F49="",0,MAX(0,TODAY()-$F49))))</f>
        <v/>
      </c>
      <c r="H49" s="35">
        <f>IF($A49="","",IF($E49&lt;=0,"Đã thu đủ",IF($G49=0,"Trong hạn",IF($G49&lt;=30,"Quá hạn 1-30 ngày",IF($G49&lt;=60,"Quá hạn 31-60 ngày",IF($G49&lt;=90,"Quá hạn 61-90 ngày","Quá hạn trên 90 ngày"))))))</f>
        <v/>
      </c>
      <c r="I49" s="42">
        <f>IFERROR($D49/$C49,"")</f>
        <v/>
      </c>
    </row>
    <row r="50" ht="15" customHeight="1" s="30">
      <c r="A50" s="35">
        <f>IF('Hợp đồng'!A50="","",'Hợp đồng'!A50)</f>
        <v/>
      </c>
      <c r="B50" s="35">
        <f>IF($A50="","",'Hợp đồng'!E50)</f>
        <v/>
      </c>
      <c r="C50" s="41">
        <f>IF($A50="","",'Hợp đồng'!H50)</f>
        <v/>
      </c>
      <c r="D50" s="41">
        <f>IF($A50="","",SUMIFS('Thanh toán'!$E$4:$E$303,'Thanh toán'!$C$4:$C$303,$A50))</f>
        <v/>
      </c>
      <c r="E50" s="41">
        <f>IF($A50="","",$C50-$D50)</f>
        <v/>
      </c>
      <c r="F50" s="57">
        <f>IF($A50="","",'Hợp đồng'!P50)</f>
        <v/>
      </c>
      <c r="G50" s="41">
        <f>IF($A50="",0,IF($E50&lt;=0,0,IF($F50="",0,MAX(0,TODAY()-$F50))))</f>
        <v/>
      </c>
      <c r="H50" s="35">
        <f>IF($A50="","",IF($E50&lt;=0,"Đã thu đủ",IF($G50=0,"Trong hạn",IF($G50&lt;=30,"Quá hạn 1-30 ngày",IF($G50&lt;=60,"Quá hạn 31-60 ngày",IF($G50&lt;=90,"Quá hạn 61-90 ngày","Quá hạn trên 90 ngày"))))))</f>
        <v/>
      </c>
      <c r="I50" s="42">
        <f>IFERROR($D50/$C50,"")</f>
        <v/>
      </c>
    </row>
    <row r="51" ht="15" customHeight="1" s="30">
      <c r="A51" s="35">
        <f>IF('Hợp đồng'!A51="","",'Hợp đồng'!A51)</f>
        <v/>
      </c>
      <c r="B51" s="35">
        <f>IF($A51="","",'Hợp đồng'!E51)</f>
        <v/>
      </c>
      <c r="C51" s="41">
        <f>IF($A51="","",'Hợp đồng'!H51)</f>
        <v/>
      </c>
      <c r="D51" s="41">
        <f>IF($A51="","",SUMIFS('Thanh toán'!$E$4:$E$303,'Thanh toán'!$C$4:$C$303,$A51))</f>
        <v/>
      </c>
      <c r="E51" s="41">
        <f>IF($A51="","",$C51-$D51)</f>
        <v/>
      </c>
      <c r="F51" s="57">
        <f>IF($A51="","",'Hợp đồng'!P51)</f>
        <v/>
      </c>
      <c r="G51" s="41">
        <f>IF($A51="",0,IF($E51&lt;=0,0,IF($F51="",0,MAX(0,TODAY()-$F51))))</f>
        <v/>
      </c>
      <c r="H51" s="35">
        <f>IF($A51="","",IF($E51&lt;=0,"Đã thu đủ",IF($G51=0,"Trong hạn",IF($G51&lt;=30,"Quá hạn 1-30 ngày",IF($G51&lt;=60,"Quá hạn 31-60 ngày",IF($G51&lt;=90,"Quá hạn 61-90 ngày","Quá hạn trên 90 ngày"))))))</f>
        <v/>
      </c>
      <c r="I51" s="42">
        <f>IFERROR($D51/$C51,"")</f>
        <v/>
      </c>
    </row>
    <row r="52" ht="15" customHeight="1" s="30">
      <c r="A52" s="35">
        <f>IF('Hợp đồng'!A52="","",'Hợp đồng'!A52)</f>
        <v/>
      </c>
      <c r="B52" s="35">
        <f>IF($A52="","",'Hợp đồng'!E52)</f>
        <v/>
      </c>
      <c r="C52" s="41">
        <f>IF($A52="","",'Hợp đồng'!H52)</f>
        <v/>
      </c>
      <c r="D52" s="41">
        <f>IF($A52="","",SUMIFS('Thanh toán'!$E$4:$E$303,'Thanh toán'!$C$4:$C$303,$A52))</f>
        <v/>
      </c>
      <c r="E52" s="41">
        <f>IF($A52="","",$C52-$D52)</f>
        <v/>
      </c>
      <c r="F52" s="57">
        <f>IF($A52="","",'Hợp đồng'!P52)</f>
        <v/>
      </c>
      <c r="G52" s="41">
        <f>IF($A52="",0,IF($E52&lt;=0,0,IF($F52="",0,MAX(0,TODAY()-$F52))))</f>
        <v/>
      </c>
      <c r="H52" s="35">
        <f>IF($A52="","",IF($E52&lt;=0,"Đã thu đủ",IF($G52=0,"Trong hạn",IF($G52&lt;=30,"Quá hạn 1-30 ngày",IF($G52&lt;=60,"Quá hạn 31-60 ngày",IF($G52&lt;=90,"Quá hạn 61-90 ngày","Quá hạn trên 90 ngày"))))))</f>
        <v/>
      </c>
      <c r="I52" s="42">
        <f>IFERROR($D52/$C52,"")</f>
        <v/>
      </c>
    </row>
    <row r="53" ht="15" customHeight="1" s="30">
      <c r="A53" s="35">
        <f>IF('Hợp đồng'!A53="","",'Hợp đồng'!A53)</f>
        <v/>
      </c>
      <c r="B53" s="35">
        <f>IF($A53="","",'Hợp đồng'!E53)</f>
        <v/>
      </c>
      <c r="C53" s="41">
        <f>IF($A53="","",'Hợp đồng'!H53)</f>
        <v/>
      </c>
      <c r="D53" s="41">
        <f>IF($A53="","",SUMIFS('Thanh toán'!$E$4:$E$303,'Thanh toán'!$C$4:$C$303,$A53))</f>
        <v/>
      </c>
      <c r="E53" s="41">
        <f>IF($A53="","",$C53-$D53)</f>
        <v/>
      </c>
      <c r="F53" s="57">
        <f>IF($A53="","",'Hợp đồng'!P53)</f>
        <v/>
      </c>
      <c r="G53" s="41">
        <f>IF($A53="",0,IF($E53&lt;=0,0,IF($F53="",0,MAX(0,TODAY()-$F53))))</f>
        <v/>
      </c>
      <c r="H53" s="35">
        <f>IF($A53="","",IF($E53&lt;=0,"Đã thu đủ",IF($G53=0,"Trong hạn",IF($G53&lt;=30,"Quá hạn 1-30 ngày",IF($G53&lt;=60,"Quá hạn 31-60 ngày",IF($G53&lt;=90,"Quá hạn 61-90 ngày","Quá hạn trên 90 ngày"))))))</f>
        <v/>
      </c>
      <c r="I53" s="42">
        <f>IFERROR($D53/$C53,"")</f>
        <v/>
      </c>
    </row>
    <row r="54" ht="15" customHeight="1" s="30">
      <c r="A54" s="35">
        <f>IF('Hợp đồng'!A54="","",'Hợp đồng'!A54)</f>
        <v/>
      </c>
      <c r="B54" s="35">
        <f>IF($A54="","",'Hợp đồng'!E54)</f>
        <v/>
      </c>
      <c r="C54" s="41">
        <f>IF($A54="","",'Hợp đồng'!H54)</f>
        <v/>
      </c>
      <c r="D54" s="41">
        <f>IF($A54="","",SUMIFS('Thanh toán'!$E$4:$E$303,'Thanh toán'!$C$4:$C$303,$A54))</f>
        <v/>
      </c>
      <c r="E54" s="41">
        <f>IF($A54="","",$C54-$D54)</f>
        <v/>
      </c>
      <c r="F54" s="57">
        <f>IF($A54="","",'Hợp đồng'!P54)</f>
        <v/>
      </c>
      <c r="G54" s="41">
        <f>IF($A54="",0,IF($E54&lt;=0,0,IF($F54="",0,MAX(0,TODAY()-$F54))))</f>
        <v/>
      </c>
      <c r="H54" s="35">
        <f>IF($A54="","",IF($E54&lt;=0,"Đã thu đủ",IF($G54=0,"Trong hạn",IF($G54&lt;=30,"Quá hạn 1-30 ngày",IF($G54&lt;=60,"Quá hạn 31-60 ngày",IF($G54&lt;=90,"Quá hạn 61-90 ngày","Quá hạn trên 90 ngày"))))))</f>
        <v/>
      </c>
      <c r="I54" s="42">
        <f>IFERROR($D54/$C54,"")</f>
        <v/>
      </c>
    </row>
    <row r="55" ht="15" customHeight="1" s="30">
      <c r="A55" s="35">
        <f>IF('Hợp đồng'!A55="","",'Hợp đồng'!A55)</f>
        <v/>
      </c>
      <c r="B55" s="35">
        <f>IF($A55="","",'Hợp đồng'!E55)</f>
        <v/>
      </c>
      <c r="C55" s="41">
        <f>IF($A55="","",'Hợp đồng'!H55)</f>
        <v/>
      </c>
      <c r="D55" s="41">
        <f>IF($A55="","",SUMIFS('Thanh toán'!$E$4:$E$303,'Thanh toán'!$C$4:$C$303,$A55))</f>
        <v/>
      </c>
      <c r="E55" s="41">
        <f>IF($A55="","",$C55-$D55)</f>
        <v/>
      </c>
      <c r="F55" s="57">
        <f>IF($A55="","",'Hợp đồng'!P55)</f>
        <v/>
      </c>
      <c r="G55" s="41">
        <f>IF($A55="",0,IF($E55&lt;=0,0,IF($F55="",0,MAX(0,TODAY()-$F55))))</f>
        <v/>
      </c>
      <c r="H55" s="35">
        <f>IF($A55="","",IF($E55&lt;=0,"Đã thu đủ",IF($G55=0,"Trong hạn",IF($G55&lt;=30,"Quá hạn 1-30 ngày",IF($G55&lt;=60,"Quá hạn 31-60 ngày",IF($G55&lt;=90,"Quá hạn 61-90 ngày","Quá hạn trên 90 ngày"))))))</f>
        <v/>
      </c>
      <c r="I55" s="42">
        <f>IFERROR($D55/$C55,"")</f>
        <v/>
      </c>
    </row>
    <row r="56" ht="15" customHeight="1" s="30">
      <c r="A56" s="35">
        <f>IF('Hợp đồng'!A56="","",'Hợp đồng'!A56)</f>
        <v/>
      </c>
      <c r="B56" s="35">
        <f>IF($A56="","",'Hợp đồng'!E56)</f>
        <v/>
      </c>
      <c r="C56" s="41">
        <f>IF($A56="","",'Hợp đồng'!H56)</f>
        <v/>
      </c>
      <c r="D56" s="41">
        <f>IF($A56="","",SUMIFS('Thanh toán'!$E$4:$E$303,'Thanh toán'!$C$4:$C$303,$A56))</f>
        <v/>
      </c>
      <c r="E56" s="41">
        <f>IF($A56="","",$C56-$D56)</f>
        <v/>
      </c>
      <c r="F56" s="57">
        <f>IF($A56="","",'Hợp đồng'!P56)</f>
        <v/>
      </c>
      <c r="G56" s="41">
        <f>IF($A56="",0,IF($E56&lt;=0,0,IF($F56="",0,MAX(0,TODAY()-$F56))))</f>
        <v/>
      </c>
      <c r="H56" s="35">
        <f>IF($A56="","",IF($E56&lt;=0,"Đã thu đủ",IF($G56=0,"Trong hạn",IF($G56&lt;=30,"Quá hạn 1-30 ngày",IF($G56&lt;=60,"Quá hạn 31-60 ngày",IF($G56&lt;=90,"Quá hạn 61-90 ngày","Quá hạn trên 90 ngày"))))))</f>
        <v/>
      </c>
      <c r="I56" s="42">
        <f>IFERROR($D56/$C56,"")</f>
        <v/>
      </c>
    </row>
    <row r="57" ht="15" customHeight="1" s="30">
      <c r="A57" s="35">
        <f>IF('Hợp đồng'!A57="","",'Hợp đồng'!A57)</f>
        <v/>
      </c>
      <c r="B57" s="35">
        <f>IF($A57="","",'Hợp đồng'!E57)</f>
        <v/>
      </c>
      <c r="C57" s="41">
        <f>IF($A57="","",'Hợp đồng'!H57)</f>
        <v/>
      </c>
      <c r="D57" s="41">
        <f>IF($A57="","",SUMIFS('Thanh toán'!$E$4:$E$303,'Thanh toán'!$C$4:$C$303,$A57))</f>
        <v/>
      </c>
      <c r="E57" s="41">
        <f>IF($A57="","",$C57-$D57)</f>
        <v/>
      </c>
      <c r="F57" s="57">
        <f>IF($A57="","",'Hợp đồng'!P57)</f>
        <v/>
      </c>
      <c r="G57" s="41">
        <f>IF($A57="",0,IF($E57&lt;=0,0,IF($F57="",0,MAX(0,TODAY()-$F57))))</f>
        <v/>
      </c>
      <c r="H57" s="35">
        <f>IF($A57="","",IF($E57&lt;=0,"Đã thu đủ",IF($G57=0,"Trong hạn",IF($G57&lt;=30,"Quá hạn 1-30 ngày",IF($G57&lt;=60,"Quá hạn 31-60 ngày",IF($G57&lt;=90,"Quá hạn 61-90 ngày","Quá hạn trên 90 ngày"))))))</f>
        <v/>
      </c>
      <c r="I57" s="42">
        <f>IFERROR($D57/$C57,"")</f>
        <v/>
      </c>
    </row>
    <row r="58" ht="15" customHeight="1" s="30">
      <c r="A58" s="35">
        <f>IF('Hợp đồng'!A58="","",'Hợp đồng'!A58)</f>
        <v/>
      </c>
      <c r="B58" s="35">
        <f>IF($A58="","",'Hợp đồng'!E58)</f>
        <v/>
      </c>
      <c r="C58" s="41">
        <f>IF($A58="","",'Hợp đồng'!H58)</f>
        <v/>
      </c>
      <c r="D58" s="41">
        <f>IF($A58="","",SUMIFS('Thanh toán'!$E$4:$E$303,'Thanh toán'!$C$4:$C$303,$A58))</f>
        <v/>
      </c>
      <c r="E58" s="41">
        <f>IF($A58="","",$C58-$D58)</f>
        <v/>
      </c>
      <c r="F58" s="57">
        <f>IF($A58="","",'Hợp đồng'!P58)</f>
        <v/>
      </c>
      <c r="G58" s="41">
        <f>IF($A58="",0,IF($E58&lt;=0,0,IF($F58="",0,MAX(0,TODAY()-$F58))))</f>
        <v/>
      </c>
      <c r="H58" s="35">
        <f>IF($A58="","",IF($E58&lt;=0,"Đã thu đủ",IF($G58=0,"Trong hạn",IF($G58&lt;=30,"Quá hạn 1-30 ngày",IF($G58&lt;=60,"Quá hạn 31-60 ngày",IF($G58&lt;=90,"Quá hạn 61-90 ngày","Quá hạn trên 90 ngày"))))))</f>
        <v/>
      </c>
      <c r="I58" s="42">
        <f>IFERROR($D58/$C58,"")</f>
        <v/>
      </c>
    </row>
    <row r="59" ht="15" customHeight="1" s="30">
      <c r="A59" s="35">
        <f>IF('Hợp đồng'!A59="","",'Hợp đồng'!A59)</f>
        <v/>
      </c>
      <c r="B59" s="35">
        <f>IF($A59="","",'Hợp đồng'!E59)</f>
        <v/>
      </c>
      <c r="C59" s="41">
        <f>IF($A59="","",'Hợp đồng'!H59)</f>
        <v/>
      </c>
      <c r="D59" s="41">
        <f>IF($A59="","",SUMIFS('Thanh toán'!$E$4:$E$303,'Thanh toán'!$C$4:$C$303,$A59))</f>
        <v/>
      </c>
      <c r="E59" s="41">
        <f>IF($A59="","",$C59-$D59)</f>
        <v/>
      </c>
      <c r="F59" s="57">
        <f>IF($A59="","",'Hợp đồng'!P59)</f>
        <v/>
      </c>
      <c r="G59" s="41">
        <f>IF($A59="",0,IF($E59&lt;=0,0,IF($F59="",0,MAX(0,TODAY()-$F59))))</f>
        <v/>
      </c>
      <c r="H59" s="35">
        <f>IF($A59="","",IF($E59&lt;=0,"Đã thu đủ",IF($G59=0,"Trong hạn",IF($G59&lt;=30,"Quá hạn 1-30 ngày",IF($G59&lt;=60,"Quá hạn 31-60 ngày",IF($G59&lt;=90,"Quá hạn 61-90 ngày","Quá hạn trên 90 ngày"))))))</f>
        <v/>
      </c>
      <c r="I59" s="42">
        <f>IFERROR($D59/$C59,"")</f>
        <v/>
      </c>
    </row>
    <row r="60" ht="15" customHeight="1" s="30">
      <c r="A60" s="35">
        <f>IF('Hợp đồng'!A60="","",'Hợp đồng'!A60)</f>
        <v/>
      </c>
      <c r="B60" s="35">
        <f>IF($A60="","",'Hợp đồng'!E60)</f>
        <v/>
      </c>
      <c r="C60" s="41">
        <f>IF($A60="","",'Hợp đồng'!H60)</f>
        <v/>
      </c>
      <c r="D60" s="41">
        <f>IF($A60="","",SUMIFS('Thanh toán'!$E$4:$E$303,'Thanh toán'!$C$4:$C$303,$A60))</f>
        <v/>
      </c>
      <c r="E60" s="41">
        <f>IF($A60="","",$C60-$D60)</f>
        <v/>
      </c>
      <c r="F60" s="57">
        <f>IF($A60="","",'Hợp đồng'!P60)</f>
        <v/>
      </c>
      <c r="G60" s="41">
        <f>IF($A60="",0,IF($E60&lt;=0,0,IF($F60="",0,MAX(0,TODAY()-$F60))))</f>
        <v/>
      </c>
      <c r="H60" s="35">
        <f>IF($A60="","",IF($E60&lt;=0,"Đã thu đủ",IF($G60=0,"Trong hạn",IF($G60&lt;=30,"Quá hạn 1-30 ngày",IF($G60&lt;=60,"Quá hạn 31-60 ngày",IF($G60&lt;=90,"Quá hạn 61-90 ngày","Quá hạn trên 90 ngày"))))))</f>
        <v/>
      </c>
      <c r="I60" s="42">
        <f>IFERROR($D60/$C60,"")</f>
        <v/>
      </c>
    </row>
    <row r="61" ht="15" customHeight="1" s="30">
      <c r="A61" s="35">
        <f>IF('Hợp đồng'!A61="","",'Hợp đồng'!A61)</f>
        <v/>
      </c>
      <c r="B61" s="35">
        <f>IF($A61="","",'Hợp đồng'!E61)</f>
        <v/>
      </c>
      <c r="C61" s="41">
        <f>IF($A61="","",'Hợp đồng'!H61)</f>
        <v/>
      </c>
      <c r="D61" s="41">
        <f>IF($A61="","",SUMIFS('Thanh toán'!$E$4:$E$303,'Thanh toán'!$C$4:$C$303,$A61))</f>
        <v/>
      </c>
      <c r="E61" s="41">
        <f>IF($A61="","",$C61-$D61)</f>
        <v/>
      </c>
      <c r="F61" s="57">
        <f>IF($A61="","",'Hợp đồng'!P61)</f>
        <v/>
      </c>
      <c r="G61" s="41">
        <f>IF($A61="",0,IF($E61&lt;=0,0,IF($F61="",0,MAX(0,TODAY()-$F61))))</f>
        <v/>
      </c>
      <c r="H61" s="35">
        <f>IF($A61="","",IF($E61&lt;=0,"Đã thu đủ",IF($G61=0,"Trong hạn",IF($G61&lt;=30,"Quá hạn 1-30 ngày",IF($G61&lt;=60,"Quá hạn 31-60 ngày",IF($G61&lt;=90,"Quá hạn 61-90 ngày","Quá hạn trên 90 ngày"))))))</f>
        <v/>
      </c>
      <c r="I61" s="42">
        <f>IFERROR($D61/$C61,"")</f>
        <v/>
      </c>
    </row>
    <row r="62" ht="15" customHeight="1" s="30">
      <c r="A62" s="35">
        <f>IF('Hợp đồng'!A62="","",'Hợp đồng'!A62)</f>
        <v/>
      </c>
      <c r="B62" s="35">
        <f>IF($A62="","",'Hợp đồng'!E62)</f>
        <v/>
      </c>
      <c r="C62" s="41">
        <f>IF($A62="","",'Hợp đồng'!H62)</f>
        <v/>
      </c>
      <c r="D62" s="41">
        <f>IF($A62="","",SUMIFS('Thanh toán'!$E$4:$E$303,'Thanh toán'!$C$4:$C$303,$A62))</f>
        <v/>
      </c>
      <c r="E62" s="41">
        <f>IF($A62="","",$C62-$D62)</f>
        <v/>
      </c>
      <c r="F62" s="57">
        <f>IF($A62="","",'Hợp đồng'!P62)</f>
        <v/>
      </c>
      <c r="G62" s="41">
        <f>IF($A62="",0,IF($E62&lt;=0,0,IF($F62="",0,MAX(0,TODAY()-$F62))))</f>
        <v/>
      </c>
      <c r="H62" s="35">
        <f>IF($A62="","",IF($E62&lt;=0,"Đã thu đủ",IF($G62=0,"Trong hạn",IF($G62&lt;=30,"Quá hạn 1-30 ngày",IF($G62&lt;=60,"Quá hạn 31-60 ngày",IF($G62&lt;=90,"Quá hạn 61-90 ngày","Quá hạn trên 90 ngày"))))))</f>
        <v/>
      </c>
      <c r="I62" s="42">
        <f>IFERROR($D62/$C62,"")</f>
        <v/>
      </c>
    </row>
    <row r="63" ht="15" customHeight="1" s="30">
      <c r="A63" s="35">
        <f>IF('Hợp đồng'!A63="","",'Hợp đồng'!A63)</f>
        <v/>
      </c>
      <c r="B63" s="35">
        <f>IF($A63="","",'Hợp đồng'!E63)</f>
        <v/>
      </c>
      <c r="C63" s="41">
        <f>IF($A63="","",'Hợp đồng'!H63)</f>
        <v/>
      </c>
      <c r="D63" s="41">
        <f>IF($A63="","",SUMIFS('Thanh toán'!$E$4:$E$303,'Thanh toán'!$C$4:$C$303,$A63))</f>
        <v/>
      </c>
      <c r="E63" s="41">
        <f>IF($A63="","",$C63-$D63)</f>
        <v/>
      </c>
      <c r="F63" s="57">
        <f>IF($A63="","",'Hợp đồng'!P63)</f>
        <v/>
      </c>
      <c r="G63" s="41">
        <f>IF($A63="",0,IF($E63&lt;=0,0,IF($F63="",0,MAX(0,TODAY()-$F63))))</f>
        <v/>
      </c>
      <c r="H63" s="35">
        <f>IF($A63="","",IF($E63&lt;=0,"Đã thu đủ",IF($G63=0,"Trong hạn",IF($G63&lt;=30,"Quá hạn 1-30 ngày",IF($G63&lt;=60,"Quá hạn 31-60 ngày",IF($G63&lt;=90,"Quá hạn 61-90 ngày","Quá hạn trên 90 ngày"))))))</f>
        <v/>
      </c>
      <c r="I63" s="42">
        <f>IFERROR($D63/$C63,"")</f>
        <v/>
      </c>
    </row>
    <row r="64" ht="15" customHeight="1" s="30">
      <c r="A64" s="35">
        <f>IF('Hợp đồng'!A64="","",'Hợp đồng'!A64)</f>
        <v/>
      </c>
      <c r="B64" s="35">
        <f>IF($A64="","",'Hợp đồng'!E64)</f>
        <v/>
      </c>
      <c r="C64" s="41">
        <f>IF($A64="","",'Hợp đồng'!H64)</f>
        <v/>
      </c>
      <c r="D64" s="41">
        <f>IF($A64="","",SUMIFS('Thanh toán'!$E$4:$E$303,'Thanh toán'!$C$4:$C$303,$A64))</f>
        <v/>
      </c>
      <c r="E64" s="41">
        <f>IF($A64="","",$C64-$D64)</f>
        <v/>
      </c>
      <c r="F64" s="57">
        <f>IF($A64="","",'Hợp đồng'!P64)</f>
        <v/>
      </c>
      <c r="G64" s="41">
        <f>IF($A64="",0,IF($E64&lt;=0,0,IF($F64="",0,MAX(0,TODAY()-$F64))))</f>
        <v/>
      </c>
      <c r="H64" s="35">
        <f>IF($A64="","",IF($E64&lt;=0,"Đã thu đủ",IF($G64=0,"Trong hạn",IF($G64&lt;=30,"Quá hạn 1-30 ngày",IF($G64&lt;=60,"Quá hạn 31-60 ngày",IF($G64&lt;=90,"Quá hạn 61-90 ngày","Quá hạn trên 90 ngày"))))))</f>
        <v/>
      </c>
      <c r="I64" s="42">
        <f>IFERROR($D64/$C64,"")</f>
        <v/>
      </c>
    </row>
    <row r="65" ht="15" customHeight="1" s="30">
      <c r="A65" s="35">
        <f>IF('Hợp đồng'!A65="","",'Hợp đồng'!A65)</f>
        <v/>
      </c>
      <c r="B65" s="35">
        <f>IF($A65="","",'Hợp đồng'!E65)</f>
        <v/>
      </c>
      <c r="C65" s="41">
        <f>IF($A65="","",'Hợp đồng'!H65)</f>
        <v/>
      </c>
      <c r="D65" s="41">
        <f>IF($A65="","",SUMIFS('Thanh toán'!$E$4:$E$303,'Thanh toán'!$C$4:$C$303,$A65))</f>
        <v/>
      </c>
      <c r="E65" s="41">
        <f>IF($A65="","",$C65-$D65)</f>
        <v/>
      </c>
      <c r="F65" s="57">
        <f>IF($A65="","",'Hợp đồng'!P65)</f>
        <v/>
      </c>
      <c r="G65" s="41">
        <f>IF($A65="",0,IF($E65&lt;=0,0,IF($F65="",0,MAX(0,TODAY()-$F65))))</f>
        <v/>
      </c>
      <c r="H65" s="35">
        <f>IF($A65="","",IF($E65&lt;=0,"Đã thu đủ",IF($G65=0,"Trong hạn",IF($G65&lt;=30,"Quá hạn 1-30 ngày",IF($G65&lt;=60,"Quá hạn 31-60 ngày",IF($G65&lt;=90,"Quá hạn 61-90 ngày","Quá hạn trên 90 ngày"))))))</f>
        <v/>
      </c>
      <c r="I65" s="42">
        <f>IFERROR($D65/$C65,"")</f>
        <v/>
      </c>
    </row>
    <row r="66" ht="15" customHeight="1" s="30">
      <c r="A66" s="35">
        <f>IF('Hợp đồng'!A66="","",'Hợp đồng'!A66)</f>
        <v/>
      </c>
      <c r="B66" s="35">
        <f>IF($A66="","",'Hợp đồng'!E66)</f>
        <v/>
      </c>
      <c r="C66" s="41">
        <f>IF($A66="","",'Hợp đồng'!H66)</f>
        <v/>
      </c>
      <c r="D66" s="41">
        <f>IF($A66="","",SUMIFS('Thanh toán'!$E$4:$E$303,'Thanh toán'!$C$4:$C$303,$A66))</f>
        <v/>
      </c>
      <c r="E66" s="41">
        <f>IF($A66="","",$C66-$D66)</f>
        <v/>
      </c>
      <c r="F66" s="57">
        <f>IF($A66="","",'Hợp đồng'!P66)</f>
        <v/>
      </c>
      <c r="G66" s="41">
        <f>IF($A66="",0,IF($E66&lt;=0,0,IF($F66="",0,MAX(0,TODAY()-$F66))))</f>
        <v/>
      </c>
      <c r="H66" s="35">
        <f>IF($A66="","",IF($E66&lt;=0,"Đã thu đủ",IF($G66=0,"Trong hạn",IF($G66&lt;=30,"Quá hạn 1-30 ngày",IF($G66&lt;=60,"Quá hạn 31-60 ngày",IF($G66&lt;=90,"Quá hạn 61-90 ngày","Quá hạn trên 90 ngày"))))))</f>
        <v/>
      </c>
      <c r="I66" s="42">
        <f>IFERROR($D66/$C66,"")</f>
        <v/>
      </c>
    </row>
    <row r="67" ht="15" customHeight="1" s="30">
      <c r="A67" s="35">
        <f>IF('Hợp đồng'!A67="","",'Hợp đồng'!A67)</f>
        <v/>
      </c>
      <c r="B67" s="35">
        <f>IF($A67="","",'Hợp đồng'!E67)</f>
        <v/>
      </c>
      <c r="C67" s="41">
        <f>IF($A67="","",'Hợp đồng'!H67)</f>
        <v/>
      </c>
      <c r="D67" s="41">
        <f>IF($A67="","",SUMIFS('Thanh toán'!$E$4:$E$303,'Thanh toán'!$C$4:$C$303,$A67))</f>
        <v/>
      </c>
      <c r="E67" s="41">
        <f>IF($A67="","",$C67-$D67)</f>
        <v/>
      </c>
      <c r="F67" s="57">
        <f>IF($A67="","",'Hợp đồng'!P67)</f>
        <v/>
      </c>
      <c r="G67" s="41">
        <f>IF($A67="",0,IF($E67&lt;=0,0,IF($F67="",0,MAX(0,TODAY()-$F67))))</f>
        <v/>
      </c>
      <c r="H67" s="35">
        <f>IF($A67="","",IF($E67&lt;=0,"Đã thu đủ",IF($G67=0,"Trong hạn",IF($G67&lt;=30,"Quá hạn 1-30 ngày",IF($G67&lt;=60,"Quá hạn 31-60 ngày",IF($G67&lt;=90,"Quá hạn 61-90 ngày","Quá hạn trên 90 ngày"))))))</f>
        <v/>
      </c>
      <c r="I67" s="42">
        <f>IFERROR($D67/$C67,"")</f>
        <v/>
      </c>
    </row>
    <row r="68" ht="15" customHeight="1" s="30">
      <c r="A68" s="35">
        <f>IF('Hợp đồng'!A68="","",'Hợp đồng'!A68)</f>
        <v/>
      </c>
      <c r="B68" s="35">
        <f>IF($A68="","",'Hợp đồng'!E68)</f>
        <v/>
      </c>
      <c r="C68" s="41">
        <f>IF($A68="","",'Hợp đồng'!H68)</f>
        <v/>
      </c>
      <c r="D68" s="41">
        <f>IF($A68="","",SUMIFS('Thanh toán'!$E$4:$E$303,'Thanh toán'!$C$4:$C$303,$A68))</f>
        <v/>
      </c>
      <c r="E68" s="41">
        <f>IF($A68="","",$C68-$D68)</f>
        <v/>
      </c>
      <c r="F68" s="57">
        <f>IF($A68="","",'Hợp đồng'!P68)</f>
        <v/>
      </c>
      <c r="G68" s="41">
        <f>IF($A68="",0,IF($E68&lt;=0,0,IF($F68="",0,MAX(0,TODAY()-$F68))))</f>
        <v/>
      </c>
      <c r="H68" s="35">
        <f>IF($A68="","",IF($E68&lt;=0,"Đã thu đủ",IF($G68=0,"Trong hạn",IF($G68&lt;=30,"Quá hạn 1-30 ngày",IF($G68&lt;=60,"Quá hạn 31-60 ngày",IF($G68&lt;=90,"Quá hạn 61-90 ngày","Quá hạn trên 90 ngày"))))))</f>
        <v/>
      </c>
      <c r="I68" s="42">
        <f>IFERROR($D68/$C68,"")</f>
        <v/>
      </c>
    </row>
    <row r="69" ht="15" customHeight="1" s="30">
      <c r="A69" s="35">
        <f>IF('Hợp đồng'!A69="","",'Hợp đồng'!A69)</f>
        <v/>
      </c>
      <c r="B69" s="35">
        <f>IF($A69="","",'Hợp đồng'!E69)</f>
        <v/>
      </c>
      <c r="C69" s="41">
        <f>IF($A69="","",'Hợp đồng'!H69)</f>
        <v/>
      </c>
      <c r="D69" s="41">
        <f>IF($A69="","",SUMIFS('Thanh toán'!$E$4:$E$303,'Thanh toán'!$C$4:$C$303,$A69))</f>
        <v/>
      </c>
      <c r="E69" s="41">
        <f>IF($A69="","",$C69-$D69)</f>
        <v/>
      </c>
      <c r="F69" s="57">
        <f>IF($A69="","",'Hợp đồng'!P69)</f>
        <v/>
      </c>
      <c r="G69" s="41">
        <f>IF($A69="",0,IF($E69&lt;=0,0,IF($F69="",0,MAX(0,TODAY()-$F69))))</f>
        <v/>
      </c>
      <c r="H69" s="35">
        <f>IF($A69="","",IF($E69&lt;=0,"Đã thu đủ",IF($G69=0,"Trong hạn",IF($G69&lt;=30,"Quá hạn 1-30 ngày",IF($G69&lt;=60,"Quá hạn 31-60 ngày",IF($G69&lt;=90,"Quá hạn 61-90 ngày","Quá hạn trên 90 ngày"))))))</f>
        <v/>
      </c>
      <c r="I69" s="42">
        <f>IFERROR($D69/$C69,"")</f>
        <v/>
      </c>
    </row>
    <row r="70" ht="15" customHeight="1" s="30">
      <c r="A70" s="35">
        <f>IF('Hợp đồng'!A70="","",'Hợp đồng'!A70)</f>
        <v/>
      </c>
      <c r="B70" s="35">
        <f>IF($A70="","",'Hợp đồng'!E70)</f>
        <v/>
      </c>
      <c r="C70" s="41">
        <f>IF($A70="","",'Hợp đồng'!H70)</f>
        <v/>
      </c>
      <c r="D70" s="41">
        <f>IF($A70="","",SUMIFS('Thanh toán'!$E$4:$E$303,'Thanh toán'!$C$4:$C$303,$A70))</f>
        <v/>
      </c>
      <c r="E70" s="41">
        <f>IF($A70="","",$C70-$D70)</f>
        <v/>
      </c>
      <c r="F70" s="57">
        <f>IF($A70="","",'Hợp đồng'!P70)</f>
        <v/>
      </c>
      <c r="G70" s="41">
        <f>IF($A70="",0,IF($E70&lt;=0,0,IF($F70="",0,MAX(0,TODAY()-$F70))))</f>
        <v/>
      </c>
      <c r="H70" s="35">
        <f>IF($A70="","",IF($E70&lt;=0,"Đã thu đủ",IF($G70=0,"Trong hạn",IF($G70&lt;=30,"Quá hạn 1-30 ngày",IF($G70&lt;=60,"Quá hạn 31-60 ngày",IF($G70&lt;=90,"Quá hạn 61-90 ngày","Quá hạn trên 90 ngày"))))))</f>
        <v/>
      </c>
      <c r="I70" s="42">
        <f>IFERROR($D70/$C70,"")</f>
        <v/>
      </c>
    </row>
    <row r="71" ht="15" customHeight="1" s="30">
      <c r="A71" s="35">
        <f>IF('Hợp đồng'!A71="","",'Hợp đồng'!A71)</f>
        <v/>
      </c>
      <c r="B71" s="35">
        <f>IF($A71="","",'Hợp đồng'!E71)</f>
        <v/>
      </c>
      <c r="C71" s="41">
        <f>IF($A71="","",'Hợp đồng'!H71)</f>
        <v/>
      </c>
      <c r="D71" s="41">
        <f>IF($A71="","",SUMIFS('Thanh toán'!$E$4:$E$303,'Thanh toán'!$C$4:$C$303,$A71))</f>
        <v/>
      </c>
      <c r="E71" s="41">
        <f>IF($A71="","",$C71-$D71)</f>
        <v/>
      </c>
      <c r="F71" s="57">
        <f>IF($A71="","",'Hợp đồng'!P71)</f>
        <v/>
      </c>
      <c r="G71" s="41">
        <f>IF($A71="",0,IF($E71&lt;=0,0,IF($F71="",0,MAX(0,TODAY()-$F71))))</f>
        <v/>
      </c>
      <c r="H71" s="35">
        <f>IF($A71="","",IF($E71&lt;=0,"Đã thu đủ",IF($G71=0,"Trong hạn",IF($G71&lt;=30,"Quá hạn 1-30 ngày",IF($G71&lt;=60,"Quá hạn 31-60 ngày",IF($G71&lt;=90,"Quá hạn 61-90 ngày","Quá hạn trên 90 ngày"))))))</f>
        <v/>
      </c>
      <c r="I71" s="42">
        <f>IFERROR($D71/$C71,"")</f>
        <v/>
      </c>
    </row>
    <row r="72" ht="15" customHeight="1" s="30">
      <c r="A72" s="35">
        <f>IF('Hợp đồng'!A72="","",'Hợp đồng'!A72)</f>
        <v/>
      </c>
      <c r="B72" s="35">
        <f>IF($A72="","",'Hợp đồng'!E72)</f>
        <v/>
      </c>
      <c r="C72" s="41">
        <f>IF($A72="","",'Hợp đồng'!H72)</f>
        <v/>
      </c>
      <c r="D72" s="41">
        <f>IF($A72="","",SUMIFS('Thanh toán'!$E$4:$E$303,'Thanh toán'!$C$4:$C$303,$A72))</f>
        <v/>
      </c>
      <c r="E72" s="41">
        <f>IF($A72="","",$C72-$D72)</f>
        <v/>
      </c>
      <c r="F72" s="57">
        <f>IF($A72="","",'Hợp đồng'!P72)</f>
        <v/>
      </c>
      <c r="G72" s="41">
        <f>IF($A72="",0,IF($E72&lt;=0,0,IF($F72="",0,MAX(0,TODAY()-$F72))))</f>
        <v/>
      </c>
      <c r="H72" s="35">
        <f>IF($A72="","",IF($E72&lt;=0,"Đã thu đủ",IF($G72=0,"Trong hạn",IF($G72&lt;=30,"Quá hạn 1-30 ngày",IF($G72&lt;=60,"Quá hạn 31-60 ngày",IF($G72&lt;=90,"Quá hạn 61-90 ngày","Quá hạn trên 90 ngày"))))))</f>
        <v/>
      </c>
      <c r="I72" s="42">
        <f>IFERROR($D72/$C72,"")</f>
        <v/>
      </c>
    </row>
    <row r="73" ht="15" customHeight="1" s="30">
      <c r="A73" s="35">
        <f>IF('Hợp đồng'!A73="","",'Hợp đồng'!A73)</f>
        <v/>
      </c>
      <c r="B73" s="35">
        <f>IF($A73="","",'Hợp đồng'!E73)</f>
        <v/>
      </c>
      <c r="C73" s="41">
        <f>IF($A73="","",'Hợp đồng'!H73)</f>
        <v/>
      </c>
      <c r="D73" s="41">
        <f>IF($A73="","",SUMIFS('Thanh toán'!$E$4:$E$303,'Thanh toán'!$C$4:$C$303,$A73))</f>
        <v/>
      </c>
      <c r="E73" s="41">
        <f>IF($A73="","",$C73-$D73)</f>
        <v/>
      </c>
      <c r="F73" s="57">
        <f>IF($A73="","",'Hợp đồng'!P73)</f>
        <v/>
      </c>
      <c r="G73" s="41">
        <f>IF($A73="",0,IF($E73&lt;=0,0,IF($F73="",0,MAX(0,TODAY()-$F73))))</f>
        <v/>
      </c>
      <c r="H73" s="35">
        <f>IF($A73="","",IF($E73&lt;=0,"Đã thu đủ",IF($G73=0,"Trong hạn",IF($G73&lt;=30,"Quá hạn 1-30 ngày",IF($G73&lt;=60,"Quá hạn 31-60 ngày",IF($G73&lt;=90,"Quá hạn 61-90 ngày","Quá hạn trên 90 ngày"))))))</f>
        <v/>
      </c>
      <c r="I73" s="42">
        <f>IFERROR($D73/$C73,"")</f>
        <v/>
      </c>
    </row>
    <row r="74" ht="15" customHeight="1" s="30">
      <c r="A74" s="35">
        <f>IF('Hợp đồng'!A74="","",'Hợp đồng'!A74)</f>
        <v/>
      </c>
      <c r="B74" s="35">
        <f>IF($A74="","",'Hợp đồng'!E74)</f>
        <v/>
      </c>
      <c r="C74" s="41">
        <f>IF($A74="","",'Hợp đồng'!H74)</f>
        <v/>
      </c>
      <c r="D74" s="41">
        <f>IF($A74="","",SUMIFS('Thanh toán'!$E$4:$E$303,'Thanh toán'!$C$4:$C$303,$A74))</f>
        <v/>
      </c>
      <c r="E74" s="41">
        <f>IF($A74="","",$C74-$D74)</f>
        <v/>
      </c>
      <c r="F74" s="57">
        <f>IF($A74="","",'Hợp đồng'!P74)</f>
        <v/>
      </c>
      <c r="G74" s="41">
        <f>IF($A74="",0,IF($E74&lt;=0,0,IF($F74="",0,MAX(0,TODAY()-$F74))))</f>
        <v/>
      </c>
      <c r="H74" s="35">
        <f>IF($A74="","",IF($E74&lt;=0,"Đã thu đủ",IF($G74=0,"Trong hạn",IF($G74&lt;=30,"Quá hạn 1-30 ngày",IF($G74&lt;=60,"Quá hạn 31-60 ngày",IF($G74&lt;=90,"Quá hạn 61-90 ngày","Quá hạn trên 90 ngày"))))))</f>
        <v/>
      </c>
      <c r="I74" s="42">
        <f>IFERROR($D74/$C74,"")</f>
        <v/>
      </c>
    </row>
    <row r="75" ht="15" customHeight="1" s="30">
      <c r="A75" s="35">
        <f>IF('Hợp đồng'!A75="","",'Hợp đồng'!A75)</f>
        <v/>
      </c>
      <c r="B75" s="35">
        <f>IF($A75="","",'Hợp đồng'!E75)</f>
        <v/>
      </c>
      <c r="C75" s="41">
        <f>IF($A75="","",'Hợp đồng'!H75)</f>
        <v/>
      </c>
      <c r="D75" s="41">
        <f>IF($A75="","",SUMIFS('Thanh toán'!$E$4:$E$303,'Thanh toán'!$C$4:$C$303,$A75))</f>
        <v/>
      </c>
      <c r="E75" s="41">
        <f>IF($A75="","",$C75-$D75)</f>
        <v/>
      </c>
      <c r="F75" s="57">
        <f>IF($A75="","",'Hợp đồng'!P75)</f>
        <v/>
      </c>
      <c r="G75" s="41">
        <f>IF($A75="",0,IF($E75&lt;=0,0,IF($F75="",0,MAX(0,TODAY()-$F75))))</f>
        <v/>
      </c>
      <c r="H75" s="35">
        <f>IF($A75="","",IF($E75&lt;=0,"Đã thu đủ",IF($G75=0,"Trong hạn",IF($G75&lt;=30,"Quá hạn 1-30 ngày",IF($G75&lt;=60,"Quá hạn 31-60 ngày",IF($G75&lt;=90,"Quá hạn 61-90 ngày","Quá hạn trên 90 ngày"))))))</f>
        <v/>
      </c>
      <c r="I75" s="42">
        <f>IFERROR($D75/$C75,"")</f>
        <v/>
      </c>
    </row>
    <row r="76" ht="15" customHeight="1" s="30">
      <c r="A76" s="35">
        <f>IF('Hợp đồng'!A76="","",'Hợp đồng'!A76)</f>
        <v/>
      </c>
      <c r="B76" s="35">
        <f>IF($A76="","",'Hợp đồng'!E76)</f>
        <v/>
      </c>
      <c r="C76" s="41">
        <f>IF($A76="","",'Hợp đồng'!H76)</f>
        <v/>
      </c>
      <c r="D76" s="41">
        <f>IF($A76="","",SUMIFS('Thanh toán'!$E$4:$E$303,'Thanh toán'!$C$4:$C$303,$A76))</f>
        <v/>
      </c>
      <c r="E76" s="41">
        <f>IF($A76="","",$C76-$D76)</f>
        <v/>
      </c>
      <c r="F76" s="57">
        <f>IF($A76="","",'Hợp đồng'!P76)</f>
        <v/>
      </c>
      <c r="G76" s="41">
        <f>IF($A76="",0,IF($E76&lt;=0,0,IF($F76="",0,MAX(0,TODAY()-$F76))))</f>
        <v/>
      </c>
      <c r="H76" s="35">
        <f>IF($A76="","",IF($E76&lt;=0,"Đã thu đủ",IF($G76=0,"Trong hạn",IF($G76&lt;=30,"Quá hạn 1-30 ngày",IF($G76&lt;=60,"Quá hạn 31-60 ngày",IF($G76&lt;=90,"Quá hạn 61-90 ngày","Quá hạn trên 90 ngày"))))))</f>
        <v/>
      </c>
      <c r="I76" s="42">
        <f>IFERROR($D76/$C76,"")</f>
        <v/>
      </c>
    </row>
    <row r="77" ht="15" customHeight="1" s="30">
      <c r="A77" s="35">
        <f>IF('Hợp đồng'!A77="","",'Hợp đồng'!A77)</f>
        <v/>
      </c>
      <c r="B77" s="35">
        <f>IF($A77="","",'Hợp đồng'!E77)</f>
        <v/>
      </c>
      <c r="C77" s="41">
        <f>IF($A77="","",'Hợp đồng'!H77)</f>
        <v/>
      </c>
      <c r="D77" s="41">
        <f>IF($A77="","",SUMIFS('Thanh toán'!$E$4:$E$303,'Thanh toán'!$C$4:$C$303,$A77))</f>
        <v/>
      </c>
      <c r="E77" s="41">
        <f>IF($A77="","",$C77-$D77)</f>
        <v/>
      </c>
      <c r="F77" s="57">
        <f>IF($A77="","",'Hợp đồng'!P77)</f>
        <v/>
      </c>
      <c r="G77" s="41">
        <f>IF($A77="",0,IF($E77&lt;=0,0,IF($F77="",0,MAX(0,TODAY()-$F77))))</f>
        <v/>
      </c>
      <c r="H77" s="35">
        <f>IF($A77="","",IF($E77&lt;=0,"Đã thu đủ",IF($G77=0,"Trong hạn",IF($G77&lt;=30,"Quá hạn 1-30 ngày",IF($G77&lt;=60,"Quá hạn 31-60 ngày",IF($G77&lt;=90,"Quá hạn 61-90 ngày","Quá hạn trên 90 ngày"))))))</f>
        <v/>
      </c>
      <c r="I77" s="42">
        <f>IFERROR($D77/$C77,"")</f>
        <v/>
      </c>
    </row>
    <row r="78" ht="15" customHeight="1" s="30">
      <c r="A78" s="35">
        <f>IF('Hợp đồng'!A78="","",'Hợp đồng'!A78)</f>
        <v/>
      </c>
      <c r="B78" s="35">
        <f>IF($A78="","",'Hợp đồng'!E78)</f>
        <v/>
      </c>
      <c r="C78" s="41">
        <f>IF($A78="","",'Hợp đồng'!H78)</f>
        <v/>
      </c>
      <c r="D78" s="41">
        <f>IF($A78="","",SUMIFS('Thanh toán'!$E$4:$E$303,'Thanh toán'!$C$4:$C$303,$A78))</f>
        <v/>
      </c>
      <c r="E78" s="41">
        <f>IF($A78="","",$C78-$D78)</f>
        <v/>
      </c>
      <c r="F78" s="57">
        <f>IF($A78="","",'Hợp đồng'!P78)</f>
        <v/>
      </c>
      <c r="G78" s="41">
        <f>IF($A78="",0,IF($E78&lt;=0,0,IF($F78="",0,MAX(0,TODAY()-$F78))))</f>
        <v/>
      </c>
      <c r="H78" s="35">
        <f>IF($A78="","",IF($E78&lt;=0,"Đã thu đủ",IF($G78=0,"Trong hạn",IF($G78&lt;=30,"Quá hạn 1-30 ngày",IF($G78&lt;=60,"Quá hạn 31-60 ngày",IF($G78&lt;=90,"Quá hạn 61-90 ngày","Quá hạn trên 90 ngày"))))))</f>
        <v/>
      </c>
      <c r="I78" s="42">
        <f>IFERROR($D78/$C78,"")</f>
        <v/>
      </c>
    </row>
    <row r="79" ht="15" customHeight="1" s="30">
      <c r="A79" s="35">
        <f>IF('Hợp đồng'!A79="","",'Hợp đồng'!A79)</f>
        <v/>
      </c>
      <c r="B79" s="35">
        <f>IF($A79="","",'Hợp đồng'!E79)</f>
        <v/>
      </c>
      <c r="C79" s="41">
        <f>IF($A79="","",'Hợp đồng'!H79)</f>
        <v/>
      </c>
      <c r="D79" s="41">
        <f>IF($A79="","",SUMIFS('Thanh toán'!$E$4:$E$303,'Thanh toán'!$C$4:$C$303,$A79))</f>
        <v/>
      </c>
      <c r="E79" s="41">
        <f>IF($A79="","",$C79-$D79)</f>
        <v/>
      </c>
      <c r="F79" s="57">
        <f>IF($A79="","",'Hợp đồng'!P79)</f>
        <v/>
      </c>
      <c r="G79" s="41">
        <f>IF($A79="",0,IF($E79&lt;=0,0,IF($F79="",0,MAX(0,TODAY()-$F79))))</f>
        <v/>
      </c>
      <c r="H79" s="35">
        <f>IF($A79="","",IF($E79&lt;=0,"Đã thu đủ",IF($G79=0,"Trong hạn",IF($G79&lt;=30,"Quá hạn 1-30 ngày",IF($G79&lt;=60,"Quá hạn 31-60 ngày",IF($G79&lt;=90,"Quá hạn 61-90 ngày","Quá hạn trên 90 ngày"))))))</f>
        <v/>
      </c>
      <c r="I79" s="42">
        <f>IFERROR($D79/$C79,"")</f>
        <v/>
      </c>
    </row>
    <row r="80" ht="15" customHeight="1" s="30">
      <c r="A80" s="35">
        <f>IF('Hợp đồng'!A80="","",'Hợp đồng'!A80)</f>
        <v/>
      </c>
      <c r="B80" s="35">
        <f>IF($A80="","",'Hợp đồng'!E80)</f>
        <v/>
      </c>
      <c r="C80" s="41">
        <f>IF($A80="","",'Hợp đồng'!H80)</f>
        <v/>
      </c>
      <c r="D80" s="41">
        <f>IF($A80="","",SUMIFS('Thanh toán'!$E$4:$E$303,'Thanh toán'!$C$4:$C$303,$A80))</f>
        <v/>
      </c>
      <c r="E80" s="41">
        <f>IF($A80="","",$C80-$D80)</f>
        <v/>
      </c>
      <c r="F80" s="57">
        <f>IF($A80="","",'Hợp đồng'!P80)</f>
        <v/>
      </c>
      <c r="G80" s="41">
        <f>IF($A80="",0,IF($E80&lt;=0,0,IF($F80="",0,MAX(0,TODAY()-$F80))))</f>
        <v/>
      </c>
      <c r="H80" s="35">
        <f>IF($A80="","",IF($E80&lt;=0,"Đã thu đủ",IF($G80=0,"Trong hạn",IF($G80&lt;=30,"Quá hạn 1-30 ngày",IF($G80&lt;=60,"Quá hạn 31-60 ngày",IF($G80&lt;=90,"Quá hạn 61-90 ngày","Quá hạn trên 90 ngày"))))))</f>
        <v/>
      </c>
      <c r="I80" s="42">
        <f>IFERROR($D80/$C80,"")</f>
        <v/>
      </c>
    </row>
    <row r="81" ht="15" customHeight="1" s="30">
      <c r="A81" s="35">
        <f>IF('Hợp đồng'!A81="","",'Hợp đồng'!A81)</f>
        <v/>
      </c>
      <c r="B81" s="35">
        <f>IF($A81="","",'Hợp đồng'!E81)</f>
        <v/>
      </c>
      <c r="C81" s="41">
        <f>IF($A81="","",'Hợp đồng'!H81)</f>
        <v/>
      </c>
      <c r="D81" s="41">
        <f>IF($A81="","",SUMIFS('Thanh toán'!$E$4:$E$303,'Thanh toán'!$C$4:$C$303,$A81))</f>
        <v/>
      </c>
      <c r="E81" s="41">
        <f>IF($A81="","",$C81-$D81)</f>
        <v/>
      </c>
      <c r="F81" s="57">
        <f>IF($A81="","",'Hợp đồng'!P81)</f>
        <v/>
      </c>
      <c r="G81" s="41">
        <f>IF($A81="",0,IF($E81&lt;=0,0,IF($F81="",0,MAX(0,TODAY()-$F81))))</f>
        <v/>
      </c>
      <c r="H81" s="35">
        <f>IF($A81="","",IF($E81&lt;=0,"Đã thu đủ",IF($G81=0,"Trong hạn",IF($G81&lt;=30,"Quá hạn 1-30 ngày",IF($G81&lt;=60,"Quá hạn 31-60 ngày",IF($G81&lt;=90,"Quá hạn 61-90 ngày","Quá hạn trên 90 ngày"))))))</f>
        <v/>
      </c>
      <c r="I81" s="42">
        <f>IFERROR($D81/$C81,"")</f>
        <v/>
      </c>
    </row>
    <row r="82" ht="15" customHeight="1" s="30">
      <c r="A82" s="35">
        <f>IF('Hợp đồng'!A82="","",'Hợp đồng'!A82)</f>
        <v/>
      </c>
      <c r="B82" s="35">
        <f>IF($A82="","",'Hợp đồng'!E82)</f>
        <v/>
      </c>
      <c r="C82" s="41">
        <f>IF($A82="","",'Hợp đồng'!H82)</f>
        <v/>
      </c>
      <c r="D82" s="41">
        <f>IF($A82="","",SUMIFS('Thanh toán'!$E$4:$E$303,'Thanh toán'!$C$4:$C$303,$A82))</f>
        <v/>
      </c>
      <c r="E82" s="41">
        <f>IF($A82="","",$C82-$D82)</f>
        <v/>
      </c>
      <c r="F82" s="57">
        <f>IF($A82="","",'Hợp đồng'!P82)</f>
        <v/>
      </c>
      <c r="G82" s="41">
        <f>IF($A82="",0,IF($E82&lt;=0,0,IF($F82="",0,MAX(0,TODAY()-$F82))))</f>
        <v/>
      </c>
      <c r="H82" s="35">
        <f>IF($A82="","",IF($E82&lt;=0,"Đã thu đủ",IF($G82=0,"Trong hạn",IF($G82&lt;=30,"Quá hạn 1-30 ngày",IF($G82&lt;=60,"Quá hạn 31-60 ngày",IF($G82&lt;=90,"Quá hạn 61-90 ngày","Quá hạn trên 90 ngày"))))))</f>
        <v/>
      </c>
      <c r="I82" s="42">
        <f>IFERROR($D82/$C82,"")</f>
        <v/>
      </c>
    </row>
    <row r="83" ht="15" customHeight="1" s="30">
      <c r="A83" s="35">
        <f>IF('Hợp đồng'!A83="","",'Hợp đồng'!A83)</f>
        <v/>
      </c>
      <c r="B83" s="35">
        <f>IF($A83="","",'Hợp đồng'!E83)</f>
        <v/>
      </c>
      <c r="C83" s="41">
        <f>IF($A83="","",'Hợp đồng'!H83)</f>
        <v/>
      </c>
      <c r="D83" s="41">
        <f>IF($A83="","",SUMIFS('Thanh toán'!$E$4:$E$303,'Thanh toán'!$C$4:$C$303,$A83))</f>
        <v/>
      </c>
      <c r="E83" s="41">
        <f>IF($A83="","",$C83-$D83)</f>
        <v/>
      </c>
      <c r="F83" s="57">
        <f>IF($A83="","",'Hợp đồng'!P83)</f>
        <v/>
      </c>
      <c r="G83" s="41">
        <f>IF($A83="",0,IF($E83&lt;=0,0,IF($F83="",0,MAX(0,TODAY()-$F83))))</f>
        <v/>
      </c>
      <c r="H83" s="35">
        <f>IF($A83="","",IF($E83&lt;=0,"Đã thu đủ",IF($G83=0,"Trong hạn",IF($G83&lt;=30,"Quá hạn 1-30 ngày",IF($G83&lt;=60,"Quá hạn 31-60 ngày",IF($G83&lt;=90,"Quá hạn 61-90 ngày","Quá hạn trên 90 ngày"))))))</f>
        <v/>
      </c>
      <c r="I83" s="42">
        <f>IFERROR($D83/$C83,"")</f>
        <v/>
      </c>
    </row>
    <row r="84" ht="15" customHeight="1" s="30">
      <c r="A84" s="35">
        <f>IF('Hợp đồng'!A84="","",'Hợp đồng'!A84)</f>
        <v/>
      </c>
      <c r="B84" s="35">
        <f>IF($A84="","",'Hợp đồng'!E84)</f>
        <v/>
      </c>
      <c r="C84" s="41">
        <f>IF($A84="","",'Hợp đồng'!H84)</f>
        <v/>
      </c>
      <c r="D84" s="41">
        <f>IF($A84="","",SUMIFS('Thanh toán'!$E$4:$E$303,'Thanh toán'!$C$4:$C$303,$A84))</f>
        <v/>
      </c>
      <c r="E84" s="41">
        <f>IF($A84="","",$C84-$D84)</f>
        <v/>
      </c>
      <c r="F84" s="57">
        <f>IF($A84="","",'Hợp đồng'!P84)</f>
        <v/>
      </c>
      <c r="G84" s="41">
        <f>IF($A84="",0,IF($E84&lt;=0,0,IF($F84="",0,MAX(0,TODAY()-$F84))))</f>
        <v/>
      </c>
      <c r="H84" s="35">
        <f>IF($A84="","",IF($E84&lt;=0,"Đã thu đủ",IF($G84=0,"Trong hạn",IF($G84&lt;=30,"Quá hạn 1-30 ngày",IF($G84&lt;=60,"Quá hạn 31-60 ngày",IF($G84&lt;=90,"Quá hạn 61-90 ngày","Quá hạn trên 90 ngày"))))))</f>
        <v/>
      </c>
      <c r="I84" s="42">
        <f>IFERROR($D84/$C84,"")</f>
        <v/>
      </c>
    </row>
    <row r="85" ht="15" customHeight="1" s="30">
      <c r="A85" s="35">
        <f>IF('Hợp đồng'!A85="","",'Hợp đồng'!A85)</f>
        <v/>
      </c>
      <c r="B85" s="35">
        <f>IF($A85="","",'Hợp đồng'!E85)</f>
        <v/>
      </c>
      <c r="C85" s="41">
        <f>IF($A85="","",'Hợp đồng'!H85)</f>
        <v/>
      </c>
      <c r="D85" s="41">
        <f>IF($A85="","",SUMIFS('Thanh toán'!$E$4:$E$303,'Thanh toán'!$C$4:$C$303,$A85))</f>
        <v/>
      </c>
      <c r="E85" s="41">
        <f>IF($A85="","",$C85-$D85)</f>
        <v/>
      </c>
      <c r="F85" s="57">
        <f>IF($A85="","",'Hợp đồng'!P85)</f>
        <v/>
      </c>
      <c r="G85" s="41">
        <f>IF($A85="",0,IF($E85&lt;=0,0,IF($F85="",0,MAX(0,TODAY()-$F85))))</f>
        <v/>
      </c>
      <c r="H85" s="35">
        <f>IF($A85="","",IF($E85&lt;=0,"Đã thu đủ",IF($G85=0,"Trong hạn",IF($G85&lt;=30,"Quá hạn 1-30 ngày",IF($G85&lt;=60,"Quá hạn 31-60 ngày",IF($G85&lt;=90,"Quá hạn 61-90 ngày","Quá hạn trên 90 ngày"))))))</f>
        <v/>
      </c>
      <c r="I85" s="42">
        <f>IFERROR($D85/$C85,"")</f>
        <v/>
      </c>
    </row>
    <row r="86" ht="15" customHeight="1" s="30">
      <c r="A86" s="35">
        <f>IF('Hợp đồng'!A86="","",'Hợp đồng'!A86)</f>
        <v/>
      </c>
      <c r="B86" s="35">
        <f>IF($A86="","",'Hợp đồng'!E86)</f>
        <v/>
      </c>
      <c r="C86" s="41">
        <f>IF($A86="","",'Hợp đồng'!H86)</f>
        <v/>
      </c>
      <c r="D86" s="41">
        <f>IF($A86="","",SUMIFS('Thanh toán'!$E$4:$E$303,'Thanh toán'!$C$4:$C$303,$A86))</f>
        <v/>
      </c>
      <c r="E86" s="41">
        <f>IF($A86="","",$C86-$D86)</f>
        <v/>
      </c>
      <c r="F86" s="57">
        <f>IF($A86="","",'Hợp đồng'!P86)</f>
        <v/>
      </c>
      <c r="G86" s="41">
        <f>IF($A86="",0,IF($E86&lt;=0,0,IF($F86="",0,MAX(0,TODAY()-$F86))))</f>
        <v/>
      </c>
      <c r="H86" s="35">
        <f>IF($A86="","",IF($E86&lt;=0,"Đã thu đủ",IF($G86=0,"Trong hạn",IF($G86&lt;=30,"Quá hạn 1-30 ngày",IF($G86&lt;=60,"Quá hạn 31-60 ngày",IF($G86&lt;=90,"Quá hạn 61-90 ngày","Quá hạn trên 90 ngày"))))))</f>
        <v/>
      </c>
      <c r="I86" s="42">
        <f>IFERROR($D86/$C86,"")</f>
        <v/>
      </c>
    </row>
    <row r="87" ht="15" customHeight="1" s="30">
      <c r="A87" s="35">
        <f>IF('Hợp đồng'!A87="","",'Hợp đồng'!A87)</f>
        <v/>
      </c>
      <c r="B87" s="35">
        <f>IF($A87="","",'Hợp đồng'!E87)</f>
        <v/>
      </c>
      <c r="C87" s="41">
        <f>IF($A87="","",'Hợp đồng'!H87)</f>
        <v/>
      </c>
      <c r="D87" s="41">
        <f>IF($A87="","",SUMIFS('Thanh toán'!$E$4:$E$303,'Thanh toán'!$C$4:$C$303,$A87))</f>
        <v/>
      </c>
      <c r="E87" s="41">
        <f>IF($A87="","",$C87-$D87)</f>
        <v/>
      </c>
      <c r="F87" s="57">
        <f>IF($A87="","",'Hợp đồng'!P87)</f>
        <v/>
      </c>
      <c r="G87" s="41">
        <f>IF($A87="",0,IF($E87&lt;=0,0,IF($F87="",0,MAX(0,TODAY()-$F87))))</f>
        <v/>
      </c>
      <c r="H87" s="35">
        <f>IF($A87="","",IF($E87&lt;=0,"Đã thu đủ",IF($G87=0,"Trong hạn",IF($G87&lt;=30,"Quá hạn 1-30 ngày",IF($G87&lt;=60,"Quá hạn 31-60 ngày",IF($G87&lt;=90,"Quá hạn 61-90 ngày","Quá hạn trên 90 ngày"))))))</f>
        <v/>
      </c>
      <c r="I87" s="42">
        <f>IFERROR($D87/$C87,"")</f>
        <v/>
      </c>
    </row>
    <row r="88" ht="15" customHeight="1" s="30">
      <c r="A88" s="35">
        <f>IF('Hợp đồng'!A88="","",'Hợp đồng'!A88)</f>
        <v/>
      </c>
      <c r="B88" s="35">
        <f>IF($A88="","",'Hợp đồng'!E88)</f>
        <v/>
      </c>
      <c r="C88" s="41">
        <f>IF($A88="","",'Hợp đồng'!H88)</f>
        <v/>
      </c>
      <c r="D88" s="41">
        <f>IF($A88="","",SUMIFS('Thanh toán'!$E$4:$E$303,'Thanh toán'!$C$4:$C$303,$A88))</f>
        <v/>
      </c>
      <c r="E88" s="41">
        <f>IF($A88="","",$C88-$D88)</f>
        <v/>
      </c>
      <c r="F88" s="57">
        <f>IF($A88="","",'Hợp đồng'!P88)</f>
        <v/>
      </c>
      <c r="G88" s="41">
        <f>IF($A88="",0,IF($E88&lt;=0,0,IF($F88="",0,MAX(0,TODAY()-$F88))))</f>
        <v/>
      </c>
      <c r="H88" s="35">
        <f>IF($A88="","",IF($E88&lt;=0,"Đã thu đủ",IF($G88=0,"Trong hạn",IF($G88&lt;=30,"Quá hạn 1-30 ngày",IF($G88&lt;=60,"Quá hạn 31-60 ngày",IF($G88&lt;=90,"Quá hạn 61-90 ngày","Quá hạn trên 90 ngày"))))))</f>
        <v/>
      </c>
      <c r="I88" s="42">
        <f>IFERROR($D88/$C88,"")</f>
        <v/>
      </c>
    </row>
    <row r="89" ht="15" customHeight="1" s="30">
      <c r="A89" s="35">
        <f>IF('Hợp đồng'!A89="","",'Hợp đồng'!A89)</f>
        <v/>
      </c>
      <c r="B89" s="35">
        <f>IF($A89="","",'Hợp đồng'!E89)</f>
        <v/>
      </c>
      <c r="C89" s="41">
        <f>IF($A89="","",'Hợp đồng'!H89)</f>
        <v/>
      </c>
      <c r="D89" s="41">
        <f>IF($A89="","",SUMIFS('Thanh toán'!$E$4:$E$303,'Thanh toán'!$C$4:$C$303,$A89))</f>
        <v/>
      </c>
      <c r="E89" s="41">
        <f>IF($A89="","",$C89-$D89)</f>
        <v/>
      </c>
      <c r="F89" s="57">
        <f>IF($A89="","",'Hợp đồng'!P89)</f>
        <v/>
      </c>
      <c r="G89" s="41">
        <f>IF($A89="",0,IF($E89&lt;=0,0,IF($F89="",0,MAX(0,TODAY()-$F89))))</f>
        <v/>
      </c>
      <c r="H89" s="35">
        <f>IF($A89="","",IF($E89&lt;=0,"Đã thu đủ",IF($G89=0,"Trong hạn",IF($G89&lt;=30,"Quá hạn 1-30 ngày",IF($G89&lt;=60,"Quá hạn 31-60 ngày",IF($G89&lt;=90,"Quá hạn 61-90 ngày","Quá hạn trên 90 ngày"))))))</f>
        <v/>
      </c>
      <c r="I89" s="42">
        <f>IFERROR($D89/$C89,"")</f>
        <v/>
      </c>
    </row>
    <row r="90" ht="15" customHeight="1" s="30">
      <c r="A90" s="35">
        <f>IF('Hợp đồng'!A90="","",'Hợp đồng'!A90)</f>
        <v/>
      </c>
      <c r="B90" s="35">
        <f>IF($A90="","",'Hợp đồng'!E90)</f>
        <v/>
      </c>
      <c r="C90" s="41">
        <f>IF($A90="","",'Hợp đồng'!H90)</f>
        <v/>
      </c>
      <c r="D90" s="41">
        <f>IF($A90="","",SUMIFS('Thanh toán'!$E$4:$E$303,'Thanh toán'!$C$4:$C$303,$A90))</f>
        <v/>
      </c>
      <c r="E90" s="41">
        <f>IF($A90="","",$C90-$D90)</f>
        <v/>
      </c>
      <c r="F90" s="57">
        <f>IF($A90="","",'Hợp đồng'!P90)</f>
        <v/>
      </c>
      <c r="G90" s="41">
        <f>IF($A90="",0,IF($E90&lt;=0,0,IF($F90="",0,MAX(0,TODAY()-$F90))))</f>
        <v/>
      </c>
      <c r="H90" s="35">
        <f>IF($A90="","",IF($E90&lt;=0,"Đã thu đủ",IF($G90=0,"Trong hạn",IF($G90&lt;=30,"Quá hạn 1-30 ngày",IF($G90&lt;=60,"Quá hạn 31-60 ngày",IF($G90&lt;=90,"Quá hạn 61-90 ngày","Quá hạn trên 90 ngày"))))))</f>
        <v/>
      </c>
      <c r="I90" s="42">
        <f>IFERROR($D90/$C90,"")</f>
        <v/>
      </c>
    </row>
    <row r="91" ht="15" customHeight="1" s="30">
      <c r="A91" s="35">
        <f>IF('Hợp đồng'!A91="","",'Hợp đồng'!A91)</f>
        <v/>
      </c>
      <c r="B91" s="35">
        <f>IF($A91="","",'Hợp đồng'!E91)</f>
        <v/>
      </c>
      <c r="C91" s="41">
        <f>IF($A91="","",'Hợp đồng'!H91)</f>
        <v/>
      </c>
      <c r="D91" s="41">
        <f>IF($A91="","",SUMIFS('Thanh toán'!$E$4:$E$303,'Thanh toán'!$C$4:$C$303,$A91))</f>
        <v/>
      </c>
      <c r="E91" s="41">
        <f>IF($A91="","",$C91-$D91)</f>
        <v/>
      </c>
      <c r="F91" s="57">
        <f>IF($A91="","",'Hợp đồng'!P91)</f>
        <v/>
      </c>
      <c r="G91" s="41">
        <f>IF($A91="",0,IF($E91&lt;=0,0,IF($F91="",0,MAX(0,TODAY()-$F91))))</f>
        <v/>
      </c>
      <c r="H91" s="35">
        <f>IF($A91="","",IF($E91&lt;=0,"Đã thu đủ",IF($G91=0,"Trong hạn",IF($G91&lt;=30,"Quá hạn 1-30 ngày",IF($G91&lt;=60,"Quá hạn 31-60 ngày",IF($G91&lt;=90,"Quá hạn 61-90 ngày","Quá hạn trên 90 ngày"))))))</f>
        <v/>
      </c>
      <c r="I91" s="42">
        <f>IFERROR($D91/$C91,"")</f>
        <v/>
      </c>
    </row>
    <row r="92" ht="15" customHeight="1" s="30">
      <c r="A92" s="35">
        <f>IF('Hợp đồng'!A92="","",'Hợp đồng'!A92)</f>
        <v/>
      </c>
      <c r="B92" s="35">
        <f>IF($A92="","",'Hợp đồng'!E92)</f>
        <v/>
      </c>
      <c r="C92" s="41">
        <f>IF($A92="","",'Hợp đồng'!H92)</f>
        <v/>
      </c>
      <c r="D92" s="41">
        <f>IF($A92="","",SUMIFS('Thanh toán'!$E$4:$E$303,'Thanh toán'!$C$4:$C$303,$A92))</f>
        <v/>
      </c>
      <c r="E92" s="41">
        <f>IF($A92="","",$C92-$D92)</f>
        <v/>
      </c>
      <c r="F92" s="57">
        <f>IF($A92="","",'Hợp đồng'!P92)</f>
        <v/>
      </c>
      <c r="G92" s="41">
        <f>IF($A92="",0,IF($E92&lt;=0,0,IF($F92="",0,MAX(0,TODAY()-$F92))))</f>
        <v/>
      </c>
      <c r="H92" s="35">
        <f>IF($A92="","",IF($E92&lt;=0,"Đã thu đủ",IF($G92=0,"Trong hạn",IF($G92&lt;=30,"Quá hạn 1-30 ngày",IF($G92&lt;=60,"Quá hạn 31-60 ngày",IF($G92&lt;=90,"Quá hạn 61-90 ngày","Quá hạn trên 90 ngày"))))))</f>
        <v/>
      </c>
      <c r="I92" s="42">
        <f>IFERROR($D92/$C92,"")</f>
        <v/>
      </c>
    </row>
    <row r="93" ht="15" customHeight="1" s="30">
      <c r="A93" s="35">
        <f>IF('Hợp đồng'!A93="","",'Hợp đồng'!A93)</f>
        <v/>
      </c>
      <c r="B93" s="35">
        <f>IF($A93="","",'Hợp đồng'!E93)</f>
        <v/>
      </c>
      <c r="C93" s="41">
        <f>IF($A93="","",'Hợp đồng'!H93)</f>
        <v/>
      </c>
      <c r="D93" s="41">
        <f>IF($A93="","",SUMIFS('Thanh toán'!$E$4:$E$303,'Thanh toán'!$C$4:$C$303,$A93))</f>
        <v/>
      </c>
      <c r="E93" s="41">
        <f>IF($A93="","",$C93-$D93)</f>
        <v/>
      </c>
      <c r="F93" s="57">
        <f>IF($A93="","",'Hợp đồng'!P93)</f>
        <v/>
      </c>
      <c r="G93" s="41">
        <f>IF($A93="",0,IF($E93&lt;=0,0,IF($F93="",0,MAX(0,TODAY()-$F93))))</f>
        <v/>
      </c>
      <c r="H93" s="35">
        <f>IF($A93="","",IF($E93&lt;=0,"Đã thu đủ",IF($G93=0,"Trong hạn",IF($G93&lt;=30,"Quá hạn 1-30 ngày",IF($G93&lt;=60,"Quá hạn 31-60 ngày",IF($G93&lt;=90,"Quá hạn 61-90 ngày","Quá hạn trên 90 ngày"))))))</f>
        <v/>
      </c>
      <c r="I93" s="42">
        <f>IFERROR($D93/$C93,"")</f>
        <v/>
      </c>
    </row>
    <row r="94" ht="15" customHeight="1" s="30">
      <c r="A94" s="35">
        <f>IF('Hợp đồng'!A94="","",'Hợp đồng'!A94)</f>
        <v/>
      </c>
      <c r="B94" s="35">
        <f>IF($A94="","",'Hợp đồng'!E94)</f>
        <v/>
      </c>
      <c r="C94" s="41">
        <f>IF($A94="","",'Hợp đồng'!H94)</f>
        <v/>
      </c>
      <c r="D94" s="41">
        <f>IF($A94="","",SUMIFS('Thanh toán'!$E$4:$E$303,'Thanh toán'!$C$4:$C$303,$A94))</f>
        <v/>
      </c>
      <c r="E94" s="41">
        <f>IF($A94="","",$C94-$D94)</f>
        <v/>
      </c>
      <c r="F94" s="57">
        <f>IF($A94="","",'Hợp đồng'!P94)</f>
        <v/>
      </c>
      <c r="G94" s="41">
        <f>IF($A94="",0,IF($E94&lt;=0,0,IF($F94="",0,MAX(0,TODAY()-$F94))))</f>
        <v/>
      </c>
      <c r="H94" s="35">
        <f>IF($A94="","",IF($E94&lt;=0,"Đã thu đủ",IF($G94=0,"Trong hạn",IF($G94&lt;=30,"Quá hạn 1-30 ngày",IF($G94&lt;=60,"Quá hạn 31-60 ngày",IF($G94&lt;=90,"Quá hạn 61-90 ngày","Quá hạn trên 90 ngày"))))))</f>
        <v/>
      </c>
      <c r="I94" s="42">
        <f>IFERROR($D94/$C94,"")</f>
        <v/>
      </c>
    </row>
    <row r="95" ht="15" customHeight="1" s="30">
      <c r="A95" s="35">
        <f>IF('Hợp đồng'!A95="","",'Hợp đồng'!A95)</f>
        <v/>
      </c>
      <c r="B95" s="35">
        <f>IF($A95="","",'Hợp đồng'!E95)</f>
        <v/>
      </c>
      <c r="C95" s="41">
        <f>IF($A95="","",'Hợp đồng'!H95)</f>
        <v/>
      </c>
      <c r="D95" s="41">
        <f>IF($A95="","",SUMIFS('Thanh toán'!$E$4:$E$303,'Thanh toán'!$C$4:$C$303,$A95))</f>
        <v/>
      </c>
      <c r="E95" s="41">
        <f>IF($A95="","",$C95-$D95)</f>
        <v/>
      </c>
      <c r="F95" s="57">
        <f>IF($A95="","",'Hợp đồng'!P95)</f>
        <v/>
      </c>
      <c r="G95" s="41">
        <f>IF($A95="",0,IF($E95&lt;=0,0,IF($F95="",0,MAX(0,TODAY()-$F95))))</f>
        <v/>
      </c>
      <c r="H95" s="35">
        <f>IF($A95="","",IF($E95&lt;=0,"Đã thu đủ",IF($G95=0,"Trong hạn",IF($G95&lt;=30,"Quá hạn 1-30 ngày",IF($G95&lt;=60,"Quá hạn 31-60 ngày",IF($G95&lt;=90,"Quá hạn 61-90 ngày","Quá hạn trên 90 ngày"))))))</f>
        <v/>
      </c>
      <c r="I95" s="42">
        <f>IFERROR($D95/$C95,"")</f>
        <v/>
      </c>
    </row>
    <row r="96" ht="15" customHeight="1" s="30">
      <c r="A96" s="35">
        <f>IF('Hợp đồng'!A96="","",'Hợp đồng'!A96)</f>
        <v/>
      </c>
      <c r="B96" s="35">
        <f>IF($A96="","",'Hợp đồng'!E96)</f>
        <v/>
      </c>
      <c r="C96" s="41">
        <f>IF($A96="","",'Hợp đồng'!H96)</f>
        <v/>
      </c>
      <c r="D96" s="41">
        <f>IF($A96="","",SUMIFS('Thanh toán'!$E$4:$E$303,'Thanh toán'!$C$4:$C$303,$A96))</f>
        <v/>
      </c>
      <c r="E96" s="41">
        <f>IF($A96="","",$C96-$D96)</f>
        <v/>
      </c>
      <c r="F96" s="57">
        <f>IF($A96="","",'Hợp đồng'!P96)</f>
        <v/>
      </c>
      <c r="G96" s="41">
        <f>IF($A96="",0,IF($E96&lt;=0,0,IF($F96="",0,MAX(0,TODAY()-$F96))))</f>
        <v/>
      </c>
      <c r="H96" s="35">
        <f>IF($A96="","",IF($E96&lt;=0,"Đã thu đủ",IF($G96=0,"Trong hạn",IF($G96&lt;=30,"Quá hạn 1-30 ngày",IF($G96&lt;=60,"Quá hạn 31-60 ngày",IF($G96&lt;=90,"Quá hạn 61-90 ngày","Quá hạn trên 90 ngày"))))))</f>
        <v/>
      </c>
      <c r="I96" s="42">
        <f>IFERROR($D96/$C96,"")</f>
        <v/>
      </c>
    </row>
    <row r="97" ht="15" customHeight="1" s="30">
      <c r="A97" s="35">
        <f>IF('Hợp đồng'!A97="","",'Hợp đồng'!A97)</f>
        <v/>
      </c>
      <c r="B97" s="35">
        <f>IF($A97="","",'Hợp đồng'!E97)</f>
        <v/>
      </c>
      <c r="C97" s="41">
        <f>IF($A97="","",'Hợp đồng'!H97)</f>
        <v/>
      </c>
      <c r="D97" s="41">
        <f>IF($A97="","",SUMIFS('Thanh toán'!$E$4:$E$303,'Thanh toán'!$C$4:$C$303,$A97))</f>
        <v/>
      </c>
      <c r="E97" s="41">
        <f>IF($A97="","",$C97-$D97)</f>
        <v/>
      </c>
      <c r="F97" s="57">
        <f>IF($A97="","",'Hợp đồng'!P97)</f>
        <v/>
      </c>
      <c r="G97" s="41">
        <f>IF($A97="",0,IF($E97&lt;=0,0,IF($F97="",0,MAX(0,TODAY()-$F97))))</f>
        <v/>
      </c>
      <c r="H97" s="35">
        <f>IF($A97="","",IF($E97&lt;=0,"Đã thu đủ",IF($G97=0,"Trong hạn",IF($G97&lt;=30,"Quá hạn 1-30 ngày",IF($G97&lt;=60,"Quá hạn 31-60 ngày",IF($G97&lt;=90,"Quá hạn 61-90 ngày","Quá hạn trên 90 ngày"))))))</f>
        <v/>
      </c>
      <c r="I97" s="42">
        <f>IFERROR($D97/$C97,"")</f>
        <v/>
      </c>
    </row>
    <row r="98" ht="15" customHeight="1" s="30">
      <c r="A98" s="35">
        <f>IF('Hợp đồng'!A98="","",'Hợp đồng'!A98)</f>
        <v/>
      </c>
      <c r="B98" s="35">
        <f>IF($A98="","",'Hợp đồng'!E98)</f>
        <v/>
      </c>
      <c r="C98" s="41">
        <f>IF($A98="","",'Hợp đồng'!H98)</f>
        <v/>
      </c>
      <c r="D98" s="41">
        <f>IF($A98="","",SUMIFS('Thanh toán'!$E$4:$E$303,'Thanh toán'!$C$4:$C$303,$A98))</f>
        <v/>
      </c>
      <c r="E98" s="41">
        <f>IF($A98="","",$C98-$D98)</f>
        <v/>
      </c>
      <c r="F98" s="57">
        <f>IF($A98="","",'Hợp đồng'!P98)</f>
        <v/>
      </c>
      <c r="G98" s="41">
        <f>IF($A98="",0,IF($E98&lt;=0,0,IF($F98="",0,MAX(0,TODAY()-$F98))))</f>
        <v/>
      </c>
      <c r="H98" s="35">
        <f>IF($A98="","",IF($E98&lt;=0,"Đã thu đủ",IF($G98=0,"Trong hạn",IF($G98&lt;=30,"Quá hạn 1-30 ngày",IF($G98&lt;=60,"Quá hạn 31-60 ngày",IF($G98&lt;=90,"Quá hạn 61-90 ngày","Quá hạn trên 90 ngày"))))))</f>
        <v/>
      </c>
      <c r="I98" s="42">
        <f>IFERROR($D98/$C98,"")</f>
        <v/>
      </c>
    </row>
    <row r="99" ht="15" customHeight="1" s="30">
      <c r="A99" s="35">
        <f>IF('Hợp đồng'!A99="","",'Hợp đồng'!A99)</f>
        <v/>
      </c>
      <c r="B99" s="35">
        <f>IF($A99="","",'Hợp đồng'!E99)</f>
        <v/>
      </c>
      <c r="C99" s="41">
        <f>IF($A99="","",'Hợp đồng'!H99)</f>
        <v/>
      </c>
      <c r="D99" s="41">
        <f>IF($A99="","",SUMIFS('Thanh toán'!$E$4:$E$303,'Thanh toán'!$C$4:$C$303,$A99))</f>
        <v/>
      </c>
      <c r="E99" s="41">
        <f>IF($A99="","",$C99-$D99)</f>
        <v/>
      </c>
      <c r="F99" s="57">
        <f>IF($A99="","",'Hợp đồng'!P99)</f>
        <v/>
      </c>
      <c r="G99" s="41">
        <f>IF($A99="",0,IF($E99&lt;=0,0,IF($F99="",0,MAX(0,TODAY()-$F99))))</f>
        <v/>
      </c>
      <c r="H99" s="35">
        <f>IF($A99="","",IF($E99&lt;=0,"Đã thu đủ",IF($G99=0,"Trong hạn",IF($G99&lt;=30,"Quá hạn 1-30 ngày",IF($G99&lt;=60,"Quá hạn 31-60 ngày",IF($G99&lt;=90,"Quá hạn 61-90 ngày","Quá hạn trên 90 ngày"))))))</f>
        <v/>
      </c>
      <c r="I99" s="42">
        <f>IFERROR($D99/$C99,"")</f>
        <v/>
      </c>
    </row>
    <row r="100" ht="15" customHeight="1" s="30">
      <c r="A100" s="35">
        <f>IF('Hợp đồng'!A100="","",'Hợp đồng'!A100)</f>
        <v/>
      </c>
      <c r="B100" s="35">
        <f>IF($A100="","",'Hợp đồng'!E100)</f>
        <v/>
      </c>
      <c r="C100" s="41">
        <f>IF($A100="","",'Hợp đồng'!H100)</f>
        <v/>
      </c>
      <c r="D100" s="41">
        <f>IF($A100="","",SUMIFS('Thanh toán'!$E$4:$E$303,'Thanh toán'!$C$4:$C$303,$A100))</f>
        <v/>
      </c>
      <c r="E100" s="41">
        <f>IF($A100="","",$C100-$D100)</f>
        <v/>
      </c>
      <c r="F100" s="57">
        <f>IF($A100="","",'Hợp đồng'!P100)</f>
        <v/>
      </c>
      <c r="G100" s="41">
        <f>IF($A100="",0,IF($E100&lt;=0,0,IF($F100="",0,MAX(0,TODAY()-$F100))))</f>
        <v/>
      </c>
      <c r="H100" s="35">
        <f>IF($A100="","",IF($E100&lt;=0,"Đã thu đủ",IF($G100=0,"Trong hạn",IF($G100&lt;=30,"Quá hạn 1-30 ngày",IF($G100&lt;=60,"Quá hạn 31-60 ngày",IF($G100&lt;=90,"Quá hạn 61-90 ngày","Quá hạn trên 90 ngày"))))))</f>
        <v/>
      </c>
      <c r="I100" s="42">
        <f>IFERROR($D100/$C100,"")</f>
        <v/>
      </c>
    </row>
    <row r="101" ht="15" customHeight="1" s="30">
      <c r="A101" s="35">
        <f>IF('Hợp đồng'!A101="","",'Hợp đồng'!A101)</f>
        <v/>
      </c>
      <c r="B101" s="35">
        <f>IF($A101="","",'Hợp đồng'!E101)</f>
        <v/>
      </c>
      <c r="C101" s="41">
        <f>IF($A101="","",'Hợp đồng'!H101)</f>
        <v/>
      </c>
      <c r="D101" s="41">
        <f>IF($A101="","",SUMIFS('Thanh toán'!$E$4:$E$303,'Thanh toán'!$C$4:$C$303,$A101))</f>
        <v/>
      </c>
      <c r="E101" s="41">
        <f>IF($A101="","",$C101-$D101)</f>
        <v/>
      </c>
      <c r="F101" s="57">
        <f>IF($A101="","",'Hợp đồng'!P101)</f>
        <v/>
      </c>
      <c r="G101" s="41">
        <f>IF($A101="",0,IF($E101&lt;=0,0,IF($F101="",0,MAX(0,TODAY()-$F101))))</f>
        <v/>
      </c>
      <c r="H101" s="35">
        <f>IF($A101="","",IF($E101&lt;=0,"Đã thu đủ",IF($G101=0,"Trong hạn",IF($G101&lt;=30,"Quá hạn 1-30 ngày",IF($G101&lt;=60,"Quá hạn 31-60 ngày",IF($G101&lt;=90,"Quá hạn 61-90 ngày","Quá hạn trên 90 ngày"))))))</f>
        <v/>
      </c>
      <c r="I101" s="42">
        <f>IFERROR($D101/$C101,"")</f>
        <v/>
      </c>
    </row>
    <row r="102" ht="15" customHeight="1" s="30">
      <c r="A102" s="35">
        <f>IF('Hợp đồng'!A102="","",'Hợp đồng'!A102)</f>
        <v/>
      </c>
      <c r="B102" s="35">
        <f>IF($A102="","",'Hợp đồng'!E102)</f>
        <v/>
      </c>
      <c r="C102" s="41">
        <f>IF($A102="","",'Hợp đồng'!H102)</f>
        <v/>
      </c>
      <c r="D102" s="41">
        <f>IF($A102="","",SUMIFS('Thanh toán'!$E$4:$E$303,'Thanh toán'!$C$4:$C$303,$A102))</f>
        <v/>
      </c>
      <c r="E102" s="41">
        <f>IF($A102="","",$C102-$D102)</f>
        <v/>
      </c>
      <c r="F102" s="57">
        <f>IF($A102="","",'Hợp đồng'!P102)</f>
        <v/>
      </c>
      <c r="G102" s="41">
        <f>IF($A102="",0,IF($E102&lt;=0,0,IF($F102="",0,MAX(0,TODAY()-$F102))))</f>
        <v/>
      </c>
      <c r="H102" s="35">
        <f>IF($A102="","",IF($E102&lt;=0,"Đã thu đủ",IF($G102=0,"Trong hạn",IF($G102&lt;=30,"Quá hạn 1-30 ngày",IF($G102&lt;=60,"Quá hạn 31-60 ngày",IF($G102&lt;=90,"Quá hạn 61-90 ngày","Quá hạn trên 90 ngày"))))))</f>
        <v/>
      </c>
      <c r="I102" s="42">
        <f>IFERROR($D102/$C102,"")</f>
        <v/>
      </c>
    </row>
    <row r="103" ht="15" customHeight="1" s="30">
      <c r="A103" s="35">
        <f>IF('Hợp đồng'!A103="","",'Hợp đồng'!A103)</f>
        <v/>
      </c>
      <c r="B103" s="35">
        <f>IF($A103="","",'Hợp đồng'!E103)</f>
        <v/>
      </c>
      <c r="C103" s="41">
        <f>IF($A103="","",'Hợp đồng'!H103)</f>
        <v/>
      </c>
      <c r="D103" s="41">
        <f>IF($A103="","",SUMIFS('Thanh toán'!$E$4:$E$303,'Thanh toán'!$C$4:$C$303,$A103))</f>
        <v/>
      </c>
      <c r="E103" s="41">
        <f>IF($A103="","",$C103-$D103)</f>
        <v/>
      </c>
      <c r="F103" s="57">
        <f>IF($A103="","",'Hợp đồng'!P103)</f>
        <v/>
      </c>
      <c r="G103" s="41">
        <f>IF($A103="",0,IF($E103&lt;=0,0,IF($F103="",0,MAX(0,TODAY()-$F103))))</f>
        <v/>
      </c>
      <c r="H103" s="35">
        <f>IF($A103="","",IF($E103&lt;=0,"Đã thu đủ",IF($G103=0,"Trong hạn",IF($G103&lt;=30,"Quá hạn 1-30 ngày",IF($G103&lt;=60,"Quá hạn 31-60 ngày",IF($G103&lt;=90,"Quá hạn 61-90 ngày","Quá hạn trên 90 ngày"))))))</f>
        <v/>
      </c>
      <c r="I103" s="42">
        <f>IFERROR($D103/$C103,"")</f>
        <v/>
      </c>
    </row>
    <row r="104" ht="15" customHeight="1" s="30">
      <c r="A104" s="35">
        <f>IF('Hợp đồng'!A104="","",'Hợp đồng'!A104)</f>
        <v/>
      </c>
      <c r="B104" s="35">
        <f>IF($A104="","",'Hợp đồng'!E104)</f>
        <v/>
      </c>
      <c r="C104" s="41">
        <f>IF($A104="","",'Hợp đồng'!H104)</f>
        <v/>
      </c>
      <c r="D104" s="41">
        <f>IF($A104="","",SUMIFS('Thanh toán'!$E$4:$E$303,'Thanh toán'!$C$4:$C$303,$A104))</f>
        <v/>
      </c>
      <c r="E104" s="41">
        <f>IF($A104="","",$C104-$D104)</f>
        <v/>
      </c>
      <c r="F104" s="57">
        <f>IF($A104="","",'Hợp đồng'!P104)</f>
        <v/>
      </c>
      <c r="G104" s="41">
        <f>IF($A104="",0,IF($E104&lt;=0,0,IF($F104="",0,MAX(0,TODAY()-$F104))))</f>
        <v/>
      </c>
      <c r="H104" s="35">
        <f>IF($A104="","",IF($E104&lt;=0,"Đã thu đủ",IF($G104=0,"Trong hạn",IF($G104&lt;=30,"Quá hạn 1-30 ngày",IF($G104&lt;=60,"Quá hạn 31-60 ngày",IF($G104&lt;=90,"Quá hạn 61-90 ngày","Quá hạn trên 90 ngày"))))))</f>
        <v/>
      </c>
      <c r="I104" s="42">
        <f>IFERROR($D104/$C104,"")</f>
        <v/>
      </c>
    </row>
    <row r="105" ht="15" customHeight="1" s="30">
      <c r="A105" s="35">
        <f>IF('Hợp đồng'!A105="","",'Hợp đồng'!A105)</f>
        <v/>
      </c>
      <c r="B105" s="35">
        <f>IF($A105="","",'Hợp đồng'!E105)</f>
        <v/>
      </c>
      <c r="C105" s="41">
        <f>IF($A105="","",'Hợp đồng'!H105)</f>
        <v/>
      </c>
      <c r="D105" s="41">
        <f>IF($A105="","",SUMIFS('Thanh toán'!$E$4:$E$303,'Thanh toán'!$C$4:$C$303,$A105))</f>
        <v/>
      </c>
      <c r="E105" s="41">
        <f>IF($A105="","",$C105-$D105)</f>
        <v/>
      </c>
      <c r="F105" s="57">
        <f>IF($A105="","",'Hợp đồng'!P105)</f>
        <v/>
      </c>
      <c r="G105" s="41">
        <f>IF($A105="",0,IF($E105&lt;=0,0,IF($F105="",0,MAX(0,TODAY()-$F105))))</f>
        <v/>
      </c>
      <c r="H105" s="35">
        <f>IF($A105="","",IF($E105&lt;=0,"Đã thu đủ",IF($G105=0,"Trong hạn",IF($G105&lt;=30,"Quá hạn 1-30 ngày",IF($G105&lt;=60,"Quá hạn 31-60 ngày",IF($G105&lt;=90,"Quá hạn 61-90 ngày","Quá hạn trên 90 ngày"))))))</f>
        <v/>
      </c>
      <c r="I105" s="42">
        <f>IFERROR($D105/$C105,"")</f>
        <v/>
      </c>
    </row>
    <row r="106" ht="15" customHeight="1" s="30">
      <c r="A106" s="35">
        <f>IF('Hợp đồng'!A106="","",'Hợp đồng'!A106)</f>
        <v/>
      </c>
      <c r="B106" s="35">
        <f>IF($A106="","",'Hợp đồng'!E106)</f>
        <v/>
      </c>
      <c r="C106" s="41">
        <f>IF($A106="","",'Hợp đồng'!H106)</f>
        <v/>
      </c>
      <c r="D106" s="41">
        <f>IF($A106="","",SUMIFS('Thanh toán'!$E$4:$E$303,'Thanh toán'!$C$4:$C$303,$A106))</f>
        <v/>
      </c>
      <c r="E106" s="41">
        <f>IF($A106="","",$C106-$D106)</f>
        <v/>
      </c>
      <c r="F106" s="57">
        <f>IF($A106="","",'Hợp đồng'!P106)</f>
        <v/>
      </c>
      <c r="G106" s="41">
        <f>IF($A106="",0,IF($E106&lt;=0,0,IF($F106="",0,MAX(0,TODAY()-$F106))))</f>
        <v/>
      </c>
      <c r="H106" s="35">
        <f>IF($A106="","",IF($E106&lt;=0,"Đã thu đủ",IF($G106=0,"Trong hạn",IF($G106&lt;=30,"Quá hạn 1-30 ngày",IF($G106&lt;=60,"Quá hạn 31-60 ngày",IF($G106&lt;=90,"Quá hạn 61-90 ngày","Quá hạn trên 90 ngày"))))))</f>
        <v/>
      </c>
      <c r="I106" s="42">
        <f>IFERROR($D106/$C106,"")</f>
        <v/>
      </c>
    </row>
    <row r="107" ht="15" customHeight="1" s="30">
      <c r="A107" s="35">
        <f>IF('Hợp đồng'!A107="","",'Hợp đồng'!A107)</f>
        <v/>
      </c>
      <c r="B107" s="35">
        <f>IF($A107="","",'Hợp đồng'!E107)</f>
        <v/>
      </c>
      <c r="C107" s="41">
        <f>IF($A107="","",'Hợp đồng'!H107)</f>
        <v/>
      </c>
      <c r="D107" s="41">
        <f>IF($A107="","",SUMIFS('Thanh toán'!$E$4:$E$303,'Thanh toán'!$C$4:$C$303,$A107))</f>
        <v/>
      </c>
      <c r="E107" s="41">
        <f>IF($A107="","",$C107-$D107)</f>
        <v/>
      </c>
      <c r="F107" s="57">
        <f>IF($A107="","",'Hợp đồng'!P107)</f>
        <v/>
      </c>
      <c r="G107" s="41">
        <f>IF($A107="",0,IF($E107&lt;=0,0,IF($F107="",0,MAX(0,TODAY()-$F107))))</f>
        <v/>
      </c>
      <c r="H107" s="35">
        <f>IF($A107="","",IF($E107&lt;=0,"Đã thu đủ",IF($G107=0,"Trong hạn",IF($G107&lt;=30,"Quá hạn 1-30 ngày",IF($G107&lt;=60,"Quá hạn 31-60 ngày",IF($G107&lt;=90,"Quá hạn 61-90 ngày","Quá hạn trên 90 ngày"))))))</f>
        <v/>
      </c>
      <c r="I107" s="42">
        <f>IFERROR($D107/$C107,"")</f>
        <v/>
      </c>
    </row>
    <row r="108" ht="15" customHeight="1" s="30">
      <c r="A108" s="35">
        <f>IF('Hợp đồng'!A108="","",'Hợp đồng'!A108)</f>
        <v/>
      </c>
      <c r="B108" s="35">
        <f>IF($A108="","",'Hợp đồng'!E108)</f>
        <v/>
      </c>
      <c r="C108" s="41">
        <f>IF($A108="","",'Hợp đồng'!H108)</f>
        <v/>
      </c>
      <c r="D108" s="41">
        <f>IF($A108="","",SUMIFS('Thanh toán'!$E$4:$E$303,'Thanh toán'!$C$4:$C$303,$A108))</f>
        <v/>
      </c>
      <c r="E108" s="41">
        <f>IF($A108="","",$C108-$D108)</f>
        <v/>
      </c>
      <c r="F108" s="57">
        <f>IF($A108="","",'Hợp đồng'!P108)</f>
        <v/>
      </c>
      <c r="G108" s="41">
        <f>IF($A108="",0,IF($E108&lt;=0,0,IF($F108="",0,MAX(0,TODAY()-$F108))))</f>
        <v/>
      </c>
      <c r="H108" s="35">
        <f>IF($A108="","",IF($E108&lt;=0,"Đã thu đủ",IF($G108=0,"Trong hạn",IF($G108&lt;=30,"Quá hạn 1-30 ngày",IF($G108&lt;=60,"Quá hạn 31-60 ngày",IF($G108&lt;=90,"Quá hạn 61-90 ngày","Quá hạn trên 90 ngày"))))))</f>
        <v/>
      </c>
      <c r="I108" s="42">
        <f>IFERROR($D108/$C108,"")</f>
        <v/>
      </c>
    </row>
    <row r="109" ht="15" customHeight="1" s="30">
      <c r="A109" s="35">
        <f>IF('Hợp đồng'!A109="","",'Hợp đồng'!A109)</f>
        <v/>
      </c>
      <c r="B109" s="35">
        <f>IF($A109="","",'Hợp đồng'!E109)</f>
        <v/>
      </c>
      <c r="C109" s="41">
        <f>IF($A109="","",'Hợp đồng'!H109)</f>
        <v/>
      </c>
      <c r="D109" s="41">
        <f>IF($A109="","",SUMIFS('Thanh toán'!$E$4:$E$303,'Thanh toán'!$C$4:$C$303,$A109))</f>
        <v/>
      </c>
      <c r="E109" s="41">
        <f>IF($A109="","",$C109-$D109)</f>
        <v/>
      </c>
      <c r="F109" s="57">
        <f>IF($A109="","",'Hợp đồng'!P109)</f>
        <v/>
      </c>
      <c r="G109" s="41">
        <f>IF($A109="",0,IF($E109&lt;=0,0,IF($F109="",0,MAX(0,TODAY()-$F109))))</f>
        <v/>
      </c>
      <c r="H109" s="35">
        <f>IF($A109="","",IF($E109&lt;=0,"Đã thu đủ",IF($G109=0,"Trong hạn",IF($G109&lt;=30,"Quá hạn 1-30 ngày",IF($G109&lt;=60,"Quá hạn 31-60 ngày",IF($G109&lt;=90,"Quá hạn 61-90 ngày","Quá hạn trên 90 ngày"))))))</f>
        <v/>
      </c>
      <c r="I109" s="42">
        <f>IFERROR($D109/$C109,"")</f>
        <v/>
      </c>
    </row>
    <row r="110" ht="15" customHeight="1" s="30">
      <c r="A110" s="35">
        <f>IF('Hợp đồng'!A110="","",'Hợp đồng'!A110)</f>
        <v/>
      </c>
      <c r="B110" s="35">
        <f>IF($A110="","",'Hợp đồng'!E110)</f>
        <v/>
      </c>
      <c r="C110" s="41">
        <f>IF($A110="","",'Hợp đồng'!H110)</f>
        <v/>
      </c>
      <c r="D110" s="41">
        <f>IF($A110="","",SUMIFS('Thanh toán'!$E$4:$E$303,'Thanh toán'!$C$4:$C$303,$A110))</f>
        <v/>
      </c>
      <c r="E110" s="41">
        <f>IF($A110="","",$C110-$D110)</f>
        <v/>
      </c>
      <c r="F110" s="57">
        <f>IF($A110="","",'Hợp đồng'!P110)</f>
        <v/>
      </c>
      <c r="G110" s="41">
        <f>IF($A110="",0,IF($E110&lt;=0,0,IF($F110="",0,MAX(0,TODAY()-$F110))))</f>
        <v/>
      </c>
      <c r="H110" s="35">
        <f>IF($A110="","",IF($E110&lt;=0,"Đã thu đủ",IF($G110=0,"Trong hạn",IF($G110&lt;=30,"Quá hạn 1-30 ngày",IF($G110&lt;=60,"Quá hạn 31-60 ngày",IF($G110&lt;=90,"Quá hạn 61-90 ngày","Quá hạn trên 90 ngày"))))))</f>
        <v/>
      </c>
      <c r="I110" s="42">
        <f>IFERROR($D110/$C110,"")</f>
        <v/>
      </c>
    </row>
    <row r="111" ht="15" customHeight="1" s="30">
      <c r="A111" s="35">
        <f>IF('Hợp đồng'!A111="","",'Hợp đồng'!A111)</f>
        <v/>
      </c>
      <c r="B111" s="35">
        <f>IF($A111="","",'Hợp đồng'!E111)</f>
        <v/>
      </c>
      <c r="C111" s="41">
        <f>IF($A111="","",'Hợp đồng'!H111)</f>
        <v/>
      </c>
      <c r="D111" s="41">
        <f>IF($A111="","",SUMIFS('Thanh toán'!$E$4:$E$303,'Thanh toán'!$C$4:$C$303,$A111))</f>
        <v/>
      </c>
      <c r="E111" s="41">
        <f>IF($A111="","",$C111-$D111)</f>
        <v/>
      </c>
      <c r="F111" s="57">
        <f>IF($A111="","",'Hợp đồng'!P111)</f>
        <v/>
      </c>
      <c r="G111" s="41">
        <f>IF($A111="",0,IF($E111&lt;=0,0,IF($F111="",0,MAX(0,TODAY()-$F111))))</f>
        <v/>
      </c>
      <c r="H111" s="35">
        <f>IF($A111="","",IF($E111&lt;=0,"Đã thu đủ",IF($G111=0,"Trong hạn",IF($G111&lt;=30,"Quá hạn 1-30 ngày",IF($G111&lt;=60,"Quá hạn 31-60 ngày",IF($G111&lt;=90,"Quá hạn 61-90 ngày","Quá hạn trên 90 ngày"))))))</f>
        <v/>
      </c>
      <c r="I111" s="42">
        <f>IFERROR($D111/$C111,"")</f>
        <v/>
      </c>
    </row>
    <row r="112" ht="15" customHeight="1" s="30">
      <c r="A112" s="35">
        <f>IF('Hợp đồng'!A112="","",'Hợp đồng'!A112)</f>
        <v/>
      </c>
      <c r="B112" s="35">
        <f>IF($A112="","",'Hợp đồng'!E112)</f>
        <v/>
      </c>
      <c r="C112" s="41">
        <f>IF($A112="","",'Hợp đồng'!H112)</f>
        <v/>
      </c>
      <c r="D112" s="41">
        <f>IF($A112="","",SUMIFS('Thanh toán'!$E$4:$E$303,'Thanh toán'!$C$4:$C$303,$A112))</f>
        <v/>
      </c>
      <c r="E112" s="41">
        <f>IF($A112="","",$C112-$D112)</f>
        <v/>
      </c>
      <c r="F112" s="57">
        <f>IF($A112="","",'Hợp đồng'!P112)</f>
        <v/>
      </c>
      <c r="G112" s="41">
        <f>IF($A112="",0,IF($E112&lt;=0,0,IF($F112="",0,MAX(0,TODAY()-$F112))))</f>
        <v/>
      </c>
      <c r="H112" s="35">
        <f>IF($A112="","",IF($E112&lt;=0,"Đã thu đủ",IF($G112=0,"Trong hạn",IF($G112&lt;=30,"Quá hạn 1-30 ngày",IF($G112&lt;=60,"Quá hạn 31-60 ngày",IF($G112&lt;=90,"Quá hạn 61-90 ngày","Quá hạn trên 90 ngày"))))))</f>
        <v/>
      </c>
      <c r="I112" s="42">
        <f>IFERROR($D112/$C112,"")</f>
        <v/>
      </c>
    </row>
    <row r="113" ht="15" customHeight="1" s="30">
      <c r="A113" s="35">
        <f>IF('Hợp đồng'!A113="","",'Hợp đồng'!A113)</f>
        <v/>
      </c>
      <c r="B113" s="35">
        <f>IF($A113="","",'Hợp đồng'!E113)</f>
        <v/>
      </c>
      <c r="C113" s="41">
        <f>IF($A113="","",'Hợp đồng'!H113)</f>
        <v/>
      </c>
      <c r="D113" s="41">
        <f>IF($A113="","",SUMIFS('Thanh toán'!$E$4:$E$303,'Thanh toán'!$C$4:$C$303,$A113))</f>
        <v/>
      </c>
      <c r="E113" s="41">
        <f>IF($A113="","",$C113-$D113)</f>
        <v/>
      </c>
      <c r="F113" s="57">
        <f>IF($A113="","",'Hợp đồng'!P113)</f>
        <v/>
      </c>
      <c r="G113" s="41">
        <f>IF($A113="",0,IF($E113&lt;=0,0,IF($F113="",0,MAX(0,TODAY()-$F113))))</f>
        <v/>
      </c>
      <c r="H113" s="35">
        <f>IF($A113="","",IF($E113&lt;=0,"Đã thu đủ",IF($G113=0,"Trong hạn",IF($G113&lt;=30,"Quá hạn 1-30 ngày",IF($G113&lt;=60,"Quá hạn 31-60 ngày",IF($G113&lt;=90,"Quá hạn 61-90 ngày","Quá hạn trên 90 ngày"))))))</f>
        <v/>
      </c>
      <c r="I113" s="42">
        <f>IFERROR($D113/$C113,"")</f>
        <v/>
      </c>
    </row>
    <row r="114" ht="15" customHeight="1" s="30">
      <c r="A114" s="35">
        <f>IF('Hợp đồng'!A114="","",'Hợp đồng'!A114)</f>
        <v/>
      </c>
      <c r="B114" s="35">
        <f>IF($A114="","",'Hợp đồng'!E114)</f>
        <v/>
      </c>
      <c r="C114" s="41">
        <f>IF($A114="","",'Hợp đồng'!H114)</f>
        <v/>
      </c>
      <c r="D114" s="41">
        <f>IF($A114="","",SUMIFS('Thanh toán'!$E$4:$E$303,'Thanh toán'!$C$4:$C$303,$A114))</f>
        <v/>
      </c>
      <c r="E114" s="41">
        <f>IF($A114="","",$C114-$D114)</f>
        <v/>
      </c>
      <c r="F114" s="57">
        <f>IF($A114="","",'Hợp đồng'!P114)</f>
        <v/>
      </c>
      <c r="G114" s="41">
        <f>IF($A114="",0,IF($E114&lt;=0,0,IF($F114="",0,MAX(0,TODAY()-$F114))))</f>
        <v/>
      </c>
      <c r="H114" s="35">
        <f>IF($A114="","",IF($E114&lt;=0,"Đã thu đủ",IF($G114=0,"Trong hạn",IF($G114&lt;=30,"Quá hạn 1-30 ngày",IF($G114&lt;=60,"Quá hạn 31-60 ngày",IF($G114&lt;=90,"Quá hạn 61-90 ngày","Quá hạn trên 90 ngày"))))))</f>
        <v/>
      </c>
      <c r="I114" s="42">
        <f>IFERROR($D114/$C114,"")</f>
        <v/>
      </c>
    </row>
    <row r="115" ht="15" customHeight="1" s="30">
      <c r="A115" s="35">
        <f>IF('Hợp đồng'!A115="","",'Hợp đồng'!A115)</f>
        <v/>
      </c>
      <c r="B115" s="35">
        <f>IF($A115="","",'Hợp đồng'!E115)</f>
        <v/>
      </c>
      <c r="C115" s="41">
        <f>IF($A115="","",'Hợp đồng'!H115)</f>
        <v/>
      </c>
      <c r="D115" s="41">
        <f>IF($A115="","",SUMIFS('Thanh toán'!$E$4:$E$303,'Thanh toán'!$C$4:$C$303,$A115))</f>
        <v/>
      </c>
      <c r="E115" s="41">
        <f>IF($A115="","",$C115-$D115)</f>
        <v/>
      </c>
      <c r="F115" s="57">
        <f>IF($A115="","",'Hợp đồng'!P115)</f>
        <v/>
      </c>
      <c r="G115" s="41">
        <f>IF($A115="",0,IF($E115&lt;=0,0,IF($F115="",0,MAX(0,TODAY()-$F115))))</f>
        <v/>
      </c>
      <c r="H115" s="35">
        <f>IF($A115="","",IF($E115&lt;=0,"Đã thu đủ",IF($G115=0,"Trong hạn",IF($G115&lt;=30,"Quá hạn 1-30 ngày",IF($G115&lt;=60,"Quá hạn 31-60 ngày",IF($G115&lt;=90,"Quá hạn 61-90 ngày","Quá hạn trên 90 ngày"))))))</f>
        <v/>
      </c>
      <c r="I115" s="42">
        <f>IFERROR($D115/$C115,"")</f>
        <v/>
      </c>
    </row>
    <row r="116" ht="15" customHeight="1" s="30">
      <c r="A116" s="35">
        <f>IF('Hợp đồng'!A116="","",'Hợp đồng'!A116)</f>
        <v/>
      </c>
      <c r="B116" s="35">
        <f>IF($A116="","",'Hợp đồng'!E116)</f>
        <v/>
      </c>
      <c r="C116" s="41">
        <f>IF($A116="","",'Hợp đồng'!H116)</f>
        <v/>
      </c>
      <c r="D116" s="41">
        <f>IF($A116="","",SUMIFS('Thanh toán'!$E$4:$E$303,'Thanh toán'!$C$4:$C$303,$A116))</f>
        <v/>
      </c>
      <c r="E116" s="41">
        <f>IF($A116="","",$C116-$D116)</f>
        <v/>
      </c>
      <c r="F116" s="57">
        <f>IF($A116="","",'Hợp đồng'!P116)</f>
        <v/>
      </c>
      <c r="G116" s="41">
        <f>IF($A116="",0,IF($E116&lt;=0,0,IF($F116="",0,MAX(0,TODAY()-$F116))))</f>
        <v/>
      </c>
      <c r="H116" s="35">
        <f>IF($A116="","",IF($E116&lt;=0,"Đã thu đủ",IF($G116=0,"Trong hạn",IF($G116&lt;=30,"Quá hạn 1-30 ngày",IF($G116&lt;=60,"Quá hạn 31-60 ngày",IF($G116&lt;=90,"Quá hạn 61-90 ngày","Quá hạn trên 90 ngày"))))))</f>
        <v/>
      </c>
      <c r="I116" s="42">
        <f>IFERROR($D116/$C116,"")</f>
        <v/>
      </c>
    </row>
    <row r="117" ht="15" customHeight="1" s="30">
      <c r="A117" s="35">
        <f>IF('Hợp đồng'!A117="","",'Hợp đồng'!A117)</f>
        <v/>
      </c>
      <c r="B117" s="35">
        <f>IF($A117="","",'Hợp đồng'!E117)</f>
        <v/>
      </c>
      <c r="C117" s="41">
        <f>IF($A117="","",'Hợp đồng'!H117)</f>
        <v/>
      </c>
      <c r="D117" s="41">
        <f>IF($A117="","",SUMIFS('Thanh toán'!$E$4:$E$303,'Thanh toán'!$C$4:$C$303,$A117))</f>
        <v/>
      </c>
      <c r="E117" s="41">
        <f>IF($A117="","",$C117-$D117)</f>
        <v/>
      </c>
      <c r="F117" s="57">
        <f>IF($A117="","",'Hợp đồng'!P117)</f>
        <v/>
      </c>
      <c r="G117" s="41">
        <f>IF($A117="",0,IF($E117&lt;=0,0,IF($F117="",0,MAX(0,TODAY()-$F117))))</f>
        <v/>
      </c>
      <c r="H117" s="35">
        <f>IF($A117="","",IF($E117&lt;=0,"Đã thu đủ",IF($G117=0,"Trong hạn",IF($G117&lt;=30,"Quá hạn 1-30 ngày",IF($G117&lt;=60,"Quá hạn 31-60 ngày",IF($G117&lt;=90,"Quá hạn 61-90 ngày","Quá hạn trên 90 ngày"))))))</f>
        <v/>
      </c>
      <c r="I117" s="42">
        <f>IFERROR($D117/$C117,"")</f>
        <v/>
      </c>
    </row>
    <row r="118" ht="15" customHeight="1" s="30">
      <c r="A118" s="35">
        <f>IF('Hợp đồng'!A118="","",'Hợp đồng'!A118)</f>
        <v/>
      </c>
      <c r="B118" s="35">
        <f>IF($A118="","",'Hợp đồng'!E118)</f>
        <v/>
      </c>
      <c r="C118" s="41">
        <f>IF($A118="","",'Hợp đồng'!H118)</f>
        <v/>
      </c>
      <c r="D118" s="41">
        <f>IF($A118="","",SUMIFS('Thanh toán'!$E$4:$E$303,'Thanh toán'!$C$4:$C$303,$A118))</f>
        <v/>
      </c>
      <c r="E118" s="41">
        <f>IF($A118="","",$C118-$D118)</f>
        <v/>
      </c>
      <c r="F118" s="57">
        <f>IF($A118="","",'Hợp đồng'!P118)</f>
        <v/>
      </c>
      <c r="G118" s="41">
        <f>IF($A118="",0,IF($E118&lt;=0,0,IF($F118="",0,MAX(0,TODAY()-$F118))))</f>
        <v/>
      </c>
      <c r="H118" s="35">
        <f>IF($A118="","",IF($E118&lt;=0,"Đã thu đủ",IF($G118=0,"Trong hạn",IF($G118&lt;=30,"Quá hạn 1-30 ngày",IF($G118&lt;=60,"Quá hạn 31-60 ngày",IF($G118&lt;=90,"Quá hạn 61-90 ngày","Quá hạn trên 90 ngày"))))))</f>
        <v/>
      </c>
      <c r="I118" s="42">
        <f>IFERROR($D118/$C118,"")</f>
        <v/>
      </c>
    </row>
    <row r="119" ht="15" customHeight="1" s="30">
      <c r="A119" s="35">
        <f>IF('Hợp đồng'!A119="","",'Hợp đồng'!A119)</f>
        <v/>
      </c>
      <c r="B119" s="35">
        <f>IF($A119="","",'Hợp đồng'!E119)</f>
        <v/>
      </c>
      <c r="C119" s="41">
        <f>IF($A119="","",'Hợp đồng'!H119)</f>
        <v/>
      </c>
      <c r="D119" s="41">
        <f>IF($A119="","",SUMIFS('Thanh toán'!$E$4:$E$303,'Thanh toán'!$C$4:$C$303,$A119))</f>
        <v/>
      </c>
      <c r="E119" s="41">
        <f>IF($A119="","",$C119-$D119)</f>
        <v/>
      </c>
      <c r="F119" s="57">
        <f>IF($A119="","",'Hợp đồng'!P119)</f>
        <v/>
      </c>
      <c r="G119" s="41">
        <f>IF($A119="",0,IF($E119&lt;=0,0,IF($F119="",0,MAX(0,TODAY()-$F119))))</f>
        <v/>
      </c>
      <c r="H119" s="35">
        <f>IF($A119="","",IF($E119&lt;=0,"Đã thu đủ",IF($G119=0,"Trong hạn",IF($G119&lt;=30,"Quá hạn 1-30 ngày",IF($G119&lt;=60,"Quá hạn 31-60 ngày",IF($G119&lt;=90,"Quá hạn 61-90 ngày","Quá hạn trên 90 ngày"))))))</f>
        <v/>
      </c>
      <c r="I119" s="42">
        <f>IFERROR($D119/$C119,"")</f>
        <v/>
      </c>
    </row>
    <row r="120" ht="15" customHeight="1" s="30">
      <c r="A120" s="35">
        <f>IF('Hợp đồng'!A120="","",'Hợp đồng'!A120)</f>
        <v/>
      </c>
      <c r="B120" s="35">
        <f>IF($A120="","",'Hợp đồng'!E120)</f>
        <v/>
      </c>
      <c r="C120" s="41">
        <f>IF($A120="","",'Hợp đồng'!H120)</f>
        <v/>
      </c>
      <c r="D120" s="41">
        <f>IF($A120="","",SUMIFS('Thanh toán'!$E$4:$E$303,'Thanh toán'!$C$4:$C$303,$A120))</f>
        <v/>
      </c>
      <c r="E120" s="41">
        <f>IF($A120="","",$C120-$D120)</f>
        <v/>
      </c>
      <c r="F120" s="57">
        <f>IF($A120="","",'Hợp đồng'!P120)</f>
        <v/>
      </c>
      <c r="G120" s="41">
        <f>IF($A120="",0,IF($E120&lt;=0,0,IF($F120="",0,MAX(0,TODAY()-$F120))))</f>
        <v/>
      </c>
      <c r="H120" s="35">
        <f>IF($A120="","",IF($E120&lt;=0,"Đã thu đủ",IF($G120=0,"Trong hạn",IF($G120&lt;=30,"Quá hạn 1-30 ngày",IF($G120&lt;=60,"Quá hạn 31-60 ngày",IF($G120&lt;=90,"Quá hạn 61-90 ngày","Quá hạn trên 90 ngày"))))))</f>
        <v/>
      </c>
      <c r="I120" s="42">
        <f>IFERROR($D120/$C120,"")</f>
        <v/>
      </c>
    </row>
    <row r="121" ht="15" customHeight="1" s="30">
      <c r="A121" s="35">
        <f>IF('Hợp đồng'!A121="","",'Hợp đồng'!A121)</f>
        <v/>
      </c>
      <c r="B121" s="35">
        <f>IF($A121="","",'Hợp đồng'!E121)</f>
        <v/>
      </c>
      <c r="C121" s="41">
        <f>IF($A121="","",'Hợp đồng'!H121)</f>
        <v/>
      </c>
      <c r="D121" s="41">
        <f>IF($A121="","",SUMIFS('Thanh toán'!$E$4:$E$303,'Thanh toán'!$C$4:$C$303,$A121))</f>
        <v/>
      </c>
      <c r="E121" s="41">
        <f>IF($A121="","",$C121-$D121)</f>
        <v/>
      </c>
      <c r="F121" s="57">
        <f>IF($A121="","",'Hợp đồng'!P121)</f>
        <v/>
      </c>
      <c r="G121" s="41">
        <f>IF($A121="",0,IF($E121&lt;=0,0,IF($F121="",0,MAX(0,TODAY()-$F121))))</f>
        <v/>
      </c>
      <c r="H121" s="35">
        <f>IF($A121="","",IF($E121&lt;=0,"Đã thu đủ",IF($G121=0,"Trong hạn",IF($G121&lt;=30,"Quá hạn 1-30 ngày",IF($G121&lt;=60,"Quá hạn 31-60 ngày",IF($G121&lt;=90,"Quá hạn 61-90 ngày","Quá hạn trên 90 ngày"))))))</f>
        <v/>
      </c>
      <c r="I121" s="42">
        <f>IFERROR($D121/$C121,"")</f>
        <v/>
      </c>
    </row>
    <row r="122" ht="15" customHeight="1" s="30">
      <c r="A122" s="35">
        <f>IF('Hợp đồng'!A122="","",'Hợp đồng'!A122)</f>
        <v/>
      </c>
      <c r="B122" s="35">
        <f>IF($A122="","",'Hợp đồng'!E122)</f>
        <v/>
      </c>
      <c r="C122" s="41">
        <f>IF($A122="","",'Hợp đồng'!H122)</f>
        <v/>
      </c>
      <c r="D122" s="41">
        <f>IF($A122="","",SUMIFS('Thanh toán'!$E$4:$E$303,'Thanh toán'!$C$4:$C$303,$A122))</f>
        <v/>
      </c>
      <c r="E122" s="41">
        <f>IF($A122="","",$C122-$D122)</f>
        <v/>
      </c>
      <c r="F122" s="57">
        <f>IF($A122="","",'Hợp đồng'!P122)</f>
        <v/>
      </c>
      <c r="G122" s="41">
        <f>IF($A122="",0,IF($E122&lt;=0,0,IF($F122="",0,MAX(0,TODAY()-$F122))))</f>
        <v/>
      </c>
      <c r="H122" s="35">
        <f>IF($A122="","",IF($E122&lt;=0,"Đã thu đủ",IF($G122=0,"Trong hạn",IF($G122&lt;=30,"Quá hạn 1-30 ngày",IF($G122&lt;=60,"Quá hạn 31-60 ngày",IF($G122&lt;=90,"Quá hạn 61-90 ngày","Quá hạn trên 90 ngày"))))))</f>
        <v/>
      </c>
      <c r="I122" s="42">
        <f>IFERROR($D122/$C122,"")</f>
        <v/>
      </c>
    </row>
    <row r="123" ht="15" customHeight="1" s="30">
      <c r="A123" s="35">
        <f>IF('Hợp đồng'!A123="","",'Hợp đồng'!A123)</f>
        <v/>
      </c>
      <c r="B123" s="35">
        <f>IF($A123="","",'Hợp đồng'!E123)</f>
        <v/>
      </c>
      <c r="C123" s="41">
        <f>IF($A123="","",'Hợp đồng'!H123)</f>
        <v/>
      </c>
      <c r="D123" s="41">
        <f>IF($A123="","",SUMIFS('Thanh toán'!$E$4:$E$303,'Thanh toán'!$C$4:$C$303,$A123))</f>
        <v/>
      </c>
      <c r="E123" s="41">
        <f>IF($A123="","",$C123-$D123)</f>
        <v/>
      </c>
      <c r="F123" s="57">
        <f>IF($A123="","",'Hợp đồng'!P123)</f>
        <v/>
      </c>
      <c r="G123" s="41">
        <f>IF($A123="",0,IF($E123&lt;=0,0,IF($F123="",0,MAX(0,TODAY()-$F123))))</f>
        <v/>
      </c>
      <c r="H123" s="35">
        <f>IF($A123="","",IF($E123&lt;=0,"Đã thu đủ",IF($G123=0,"Trong hạn",IF($G123&lt;=30,"Quá hạn 1-30 ngày",IF($G123&lt;=60,"Quá hạn 31-60 ngày",IF($G123&lt;=90,"Quá hạn 61-90 ngày","Quá hạn trên 90 ngày"))))))</f>
        <v/>
      </c>
      <c r="I123" s="42">
        <f>IFERROR($D123/$C123,"")</f>
        <v/>
      </c>
    </row>
    <row r="124" ht="15" customHeight="1" s="30">
      <c r="A124" s="35">
        <f>IF('Hợp đồng'!A124="","",'Hợp đồng'!A124)</f>
        <v/>
      </c>
      <c r="B124" s="35">
        <f>IF($A124="","",'Hợp đồng'!E124)</f>
        <v/>
      </c>
      <c r="C124" s="41">
        <f>IF($A124="","",'Hợp đồng'!H124)</f>
        <v/>
      </c>
      <c r="D124" s="41">
        <f>IF($A124="","",SUMIFS('Thanh toán'!$E$4:$E$303,'Thanh toán'!$C$4:$C$303,$A124))</f>
        <v/>
      </c>
      <c r="E124" s="41">
        <f>IF($A124="","",$C124-$D124)</f>
        <v/>
      </c>
      <c r="F124" s="57">
        <f>IF($A124="","",'Hợp đồng'!P124)</f>
        <v/>
      </c>
      <c r="G124" s="41">
        <f>IF($A124="",0,IF($E124&lt;=0,0,IF($F124="",0,MAX(0,TODAY()-$F124))))</f>
        <v/>
      </c>
      <c r="H124" s="35">
        <f>IF($A124="","",IF($E124&lt;=0,"Đã thu đủ",IF($G124=0,"Trong hạn",IF($G124&lt;=30,"Quá hạn 1-30 ngày",IF($G124&lt;=60,"Quá hạn 31-60 ngày",IF($G124&lt;=90,"Quá hạn 61-90 ngày","Quá hạn trên 90 ngày"))))))</f>
        <v/>
      </c>
      <c r="I124" s="42">
        <f>IFERROR($D124/$C124,"")</f>
        <v/>
      </c>
    </row>
    <row r="125" ht="15" customHeight="1" s="30">
      <c r="A125" s="35">
        <f>IF('Hợp đồng'!A125="","",'Hợp đồng'!A125)</f>
        <v/>
      </c>
      <c r="B125" s="35">
        <f>IF($A125="","",'Hợp đồng'!E125)</f>
        <v/>
      </c>
      <c r="C125" s="41">
        <f>IF($A125="","",'Hợp đồng'!H125)</f>
        <v/>
      </c>
      <c r="D125" s="41">
        <f>IF($A125="","",SUMIFS('Thanh toán'!$E$4:$E$303,'Thanh toán'!$C$4:$C$303,$A125))</f>
        <v/>
      </c>
      <c r="E125" s="41">
        <f>IF($A125="","",$C125-$D125)</f>
        <v/>
      </c>
      <c r="F125" s="57">
        <f>IF($A125="","",'Hợp đồng'!P125)</f>
        <v/>
      </c>
      <c r="G125" s="41">
        <f>IF($A125="",0,IF($E125&lt;=0,0,IF($F125="",0,MAX(0,TODAY()-$F125))))</f>
        <v/>
      </c>
      <c r="H125" s="35">
        <f>IF($A125="","",IF($E125&lt;=0,"Đã thu đủ",IF($G125=0,"Trong hạn",IF($G125&lt;=30,"Quá hạn 1-30 ngày",IF($G125&lt;=60,"Quá hạn 31-60 ngày",IF($G125&lt;=90,"Quá hạn 61-90 ngày","Quá hạn trên 90 ngày"))))))</f>
        <v/>
      </c>
      <c r="I125" s="42">
        <f>IFERROR($D125/$C125,"")</f>
        <v/>
      </c>
    </row>
    <row r="126" ht="15" customHeight="1" s="30">
      <c r="A126" s="35">
        <f>IF('Hợp đồng'!A126="","",'Hợp đồng'!A126)</f>
        <v/>
      </c>
      <c r="B126" s="35">
        <f>IF($A126="","",'Hợp đồng'!E126)</f>
        <v/>
      </c>
      <c r="C126" s="41">
        <f>IF($A126="","",'Hợp đồng'!H126)</f>
        <v/>
      </c>
      <c r="D126" s="41">
        <f>IF($A126="","",SUMIFS('Thanh toán'!$E$4:$E$303,'Thanh toán'!$C$4:$C$303,$A126))</f>
        <v/>
      </c>
      <c r="E126" s="41">
        <f>IF($A126="","",$C126-$D126)</f>
        <v/>
      </c>
      <c r="F126" s="57">
        <f>IF($A126="","",'Hợp đồng'!P126)</f>
        <v/>
      </c>
      <c r="G126" s="41">
        <f>IF($A126="",0,IF($E126&lt;=0,0,IF($F126="",0,MAX(0,TODAY()-$F126))))</f>
        <v/>
      </c>
      <c r="H126" s="35">
        <f>IF($A126="","",IF($E126&lt;=0,"Đã thu đủ",IF($G126=0,"Trong hạn",IF($G126&lt;=30,"Quá hạn 1-30 ngày",IF($G126&lt;=60,"Quá hạn 31-60 ngày",IF($G126&lt;=90,"Quá hạn 61-90 ngày","Quá hạn trên 90 ngày"))))))</f>
        <v/>
      </c>
      <c r="I126" s="42">
        <f>IFERROR($D126/$C126,"")</f>
        <v/>
      </c>
    </row>
    <row r="127" ht="15" customHeight="1" s="30">
      <c r="A127" s="35">
        <f>IF('Hợp đồng'!A127="","",'Hợp đồng'!A127)</f>
        <v/>
      </c>
      <c r="B127" s="35">
        <f>IF($A127="","",'Hợp đồng'!E127)</f>
        <v/>
      </c>
      <c r="C127" s="41">
        <f>IF($A127="","",'Hợp đồng'!H127)</f>
        <v/>
      </c>
      <c r="D127" s="41">
        <f>IF($A127="","",SUMIFS('Thanh toán'!$E$4:$E$303,'Thanh toán'!$C$4:$C$303,$A127))</f>
        <v/>
      </c>
      <c r="E127" s="41">
        <f>IF($A127="","",$C127-$D127)</f>
        <v/>
      </c>
      <c r="F127" s="57">
        <f>IF($A127="","",'Hợp đồng'!P127)</f>
        <v/>
      </c>
      <c r="G127" s="41">
        <f>IF($A127="",0,IF($E127&lt;=0,0,IF($F127="",0,MAX(0,TODAY()-$F127))))</f>
        <v/>
      </c>
      <c r="H127" s="35">
        <f>IF($A127="","",IF($E127&lt;=0,"Đã thu đủ",IF($G127=0,"Trong hạn",IF($G127&lt;=30,"Quá hạn 1-30 ngày",IF($G127&lt;=60,"Quá hạn 31-60 ngày",IF($G127&lt;=90,"Quá hạn 61-90 ngày","Quá hạn trên 90 ngày"))))))</f>
        <v/>
      </c>
      <c r="I127" s="42">
        <f>IFERROR($D127/$C127,"")</f>
        <v/>
      </c>
    </row>
    <row r="128" ht="15" customHeight="1" s="30">
      <c r="A128" s="35">
        <f>IF('Hợp đồng'!A128="","",'Hợp đồng'!A128)</f>
        <v/>
      </c>
      <c r="B128" s="35">
        <f>IF($A128="","",'Hợp đồng'!E128)</f>
        <v/>
      </c>
      <c r="C128" s="41">
        <f>IF($A128="","",'Hợp đồng'!H128)</f>
        <v/>
      </c>
      <c r="D128" s="41">
        <f>IF($A128="","",SUMIFS('Thanh toán'!$E$4:$E$303,'Thanh toán'!$C$4:$C$303,$A128))</f>
        <v/>
      </c>
      <c r="E128" s="41">
        <f>IF($A128="","",$C128-$D128)</f>
        <v/>
      </c>
      <c r="F128" s="57">
        <f>IF($A128="","",'Hợp đồng'!P128)</f>
        <v/>
      </c>
      <c r="G128" s="41">
        <f>IF($A128="",0,IF($E128&lt;=0,0,IF($F128="",0,MAX(0,TODAY()-$F128))))</f>
        <v/>
      </c>
      <c r="H128" s="35">
        <f>IF($A128="","",IF($E128&lt;=0,"Đã thu đủ",IF($G128=0,"Trong hạn",IF($G128&lt;=30,"Quá hạn 1-30 ngày",IF($G128&lt;=60,"Quá hạn 31-60 ngày",IF($G128&lt;=90,"Quá hạn 61-90 ngày","Quá hạn trên 90 ngày"))))))</f>
        <v/>
      </c>
      <c r="I128" s="42">
        <f>IFERROR($D128/$C128,"")</f>
        <v/>
      </c>
    </row>
    <row r="129" ht="15" customHeight="1" s="30">
      <c r="A129" s="35">
        <f>IF('Hợp đồng'!A129="","",'Hợp đồng'!A129)</f>
        <v/>
      </c>
      <c r="B129" s="35">
        <f>IF($A129="","",'Hợp đồng'!E129)</f>
        <v/>
      </c>
      <c r="C129" s="41">
        <f>IF($A129="","",'Hợp đồng'!H129)</f>
        <v/>
      </c>
      <c r="D129" s="41">
        <f>IF($A129="","",SUMIFS('Thanh toán'!$E$4:$E$303,'Thanh toán'!$C$4:$C$303,$A129))</f>
        <v/>
      </c>
      <c r="E129" s="41">
        <f>IF($A129="","",$C129-$D129)</f>
        <v/>
      </c>
      <c r="F129" s="57">
        <f>IF($A129="","",'Hợp đồng'!P129)</f>
        <v/>
      </c>
      <c r="G129" s="41">
        <f>IF($A129="",0,IF($E129&lt;=0,0,IF($F129="",0,MAX(0,TODAY()-$F129))))</f>
        <v/>
      </c>
      <c r="H129" s="35">
        <f>IF($A129="","",IF($E129&lt;=0,"Đã thu đủ",IF($G129=0,"Trong hạn",IF($G129&lt;=30,"Quá hạn 1-30 ngày",IF($G129&lt;=60,"Quá hạn 31-60 ngày",IF($G129&lt;=90,"Quá hạn 61-90 ngày","Quá hạn trên 90 ngày"))))))</f>
        <v/>
      </c>
      <c r="I129" s="42">
        <f>IFERROR($D129/$C129,"")</f>
        <v/>
      </c>
    </row>
    <row r="130" ht="15" customHeight="1" s="30">
      <c r="A130" s="35">
        <f>IF('Hợp đồng'!A130="","",'Hợp đồng'!A130)</f>
        <v/>
      </c>
      <c r="B130" s="35">
        <f>IF($A130="","",'Hợp đồng'!E130)</f>
        <v/>
      </c>
      <c r="C130" s="41">
        <f>IF($A130="","",'Hợp đồng'!H130)</f>
        <v/>
      </c>
      <c r="D130" s="41">
        <f>IF($A130="","",SUMIFS('Thanh toán'!$E$4:$E$303,'Thanh toán'!$C$4:$C$303,$A130))</f>
        <v/>
      </c>
      <c r="E130" s="41">
        <f>IF($A130="","",$C130-$D130)</f>
        <v/>
      </c>
      <c r="F130" s="57">
        <f>IF($A130="","",'Hợp đồng'!P130)</f>
        <v/>
      </c>
      <c r="G130" s="41">
        <f>IF($A130="",0,IF($E130&lt;=0,0,IF($F130="",0,MAX(0,TODAY()-$F130))))</f>
        <v/>
      </c>
      <c r="H130" s="35">
        <f>IF($A130="","",IF($E130&lt;=0,"Đã thu đủ",IF($G130=0,"Trong hạn",IF($G130&lt;=30,"Quá hạn 1-30 ngày",IF($G130&lt;=60,"Quá hạn 31-60 ngày",IF($G130&lt;=90,"Quá hạn 61-90 ngày","Quá hạn trên 90 ngày"))))))</f>
        <v/>
      </c>
      <c r="I130" s="42">
        <f>IFERROR($D130/$C130,"")</f>
        <v/>
      </c>
    </row>
    <row r="131" ht="15" customHeight="1" s="30">
      <c r="A131" s="35">
        <f>IF('Hợp đồng'!A131="","",'Hợp đồng'!A131)</f>
        <v/>
      </c>
      <c r="B131" s="35">
        <f>IF($A131="","",'Hợp đồng'!E131)</f>
        <v/>
      </c>
      <c r="C131" s="41">
        <f>IF($A131="","",'Hợp đồng'!H131)</f>
        <v/>
      </c>
      <c r="D131" s="41">
        <f>IF($A131="","",SUMIFS('Thanh toán'!$E$4:$E$303,'Thanh toán'!$C$4:$C$303,$A131))</f>
        <v/>
      </c>
      <c r="E131" s="41">
        <f>IF($A131="","",$C131-$D131)</f>
        <v/>
      </c>
      <c r="F131" s="57">
        <f>IF($A131="","",'Hợp đồng'!P131)</f>
        <v/>
      </c>
      <c r="G131" s="41">
        <f>IF($A131="",0,IF($E131&lt;=0,0,IF($F131="",0,MAX(0,TODAY()-$F131))))</f>
        <v/>
      </c>
      <c r="H131" s="35">
        <f>IF($A131="","",IF($E131&lt;=0,"Đã thu đủ",IF($G131=0,"Trong hạn",IF($G131&lt;=30,"Quá hạn 1-30 ngày",IF($G131&lt;=60,"Quá hạn 31-60 ngày",IF($G131&lt;=90,"Quá hạn 61-90 ngày","Quá hạn trên 90 ngày"))))))</f>
        <v/>
      </c>
      <c r="I131" s="42">
        <f>IFERROR($D131/$C131,"")</f>
        <v/>
      </c>
    </row>
    <row r="132" ht="15" customHeight="1" s="30">
      <c r="A132" s="35">
        <f>IF('Hợp đồng'!A132="","",'Hợp đồng'!A132)</f>
        <v/>
      </c>
      <c r="B132" s="35">
        <f>IF($A132="","",'Hợp đồng'!E132)</f>
        <v/>
      </c>
      <c r="C132" s="41">
        <f>IF($A132="","",'Hợp đồng'!H132)</f>
        <v/>
      </c>
      <c r="D132" s="41">
        <f>IF($A132="","",SUMIFS('Thanh toán'!$E$4:$E$303,'Thanh toán'!$C$4:$C$303,$A132))</f>
        <v/>
      </c>
      <c r="E132" s="41">
        <f>IF($A132="","",$C132-$D132)</f>
        <v/>
      </c>
      <c r="F132" s="57">
        <f>IF($A132="","",'Hợp đồng'!P132)</f>
        <v/>
      </c>
      <c r="G132" s="41">
        <f>IF($A132="",0,IF($E132&lt;=0,0,IF($F132="",0,MAX(0,TODAY()-$F132))))</f>
        <v/>
      </c>
      <c r="H132" s="35">
        <f>IF($A132="","",IF($E132&lt;=0,"Đã thu đủ",IF($G132=0,"Trong hạn",IF($G132&lt;=30,"Quá hạn 1-30 ngày",IF($G132&lt;=60,"Quá hạn 31-60 ngày",IF($G132&lt;=90,"Quá hạn 61-90 ngày","Quá hạn trên 90 ngày"))))))</f>
        <v/>
      </c>
      <c r="I132" s="42">
        <f>IFERROR($D132/$C132,"")</f>
        <v/>
      </c>
    </row>
    <row r="133" ht="15" customHeight="1" s="30">
      <c r="A133" s="35">
        <f>IF('Hợp đồng'!A133="","",'Hợp đồng'!A133)</f>
        <v/>
      </c>
      <c r="B133" s="35">
        <f>IF($A133="","",'Hợp đồng'!E133)</f>
        <v/>
      </c>
      <c r="C133" s="41">
        <f>IF($A133="","",'Hợp đồng'!H133)</f>
        <v/>
      </c>
      <c r="D133" s="41">
        <f>IF($A133="","",SUMIFS('Thanh toán'!$E$4:$E$303,'Thanh toán'!$C$4:$C$303,$A133))</f>
        <v/>
      </c>
      <c r="E133" s="41">
        <f>IF($A133="","",$C133-$D133)</f>
        <v/>
      </c>
      <c r="F133" s="57">
        <f>IF($A133="","",'Hợp đồng'!P133)</f>
        <v/>
      </c>
      <c r="G133" s="41">
        <f>IF($A133="",0,IF($E133&lt;=0,0,IF($F133="",0,MAX(0,TODAY()-$F133))))</f>
        <v/>
      </c>
      <c r="H133" s="35">
        <f>IF($A133="","",IF($E133&lt;=0,"Đã thu đủ",IF($G133=0,"Trong hạn",IF($G133&lt;=30,"Quá hạn 1-30 ngày",IF($G133&lt;=60,"Quá hạn 31-60 ngày",IF($G133&lt;=90,"Quá hạn 61-90 ngày","Quá hạn trên 90 ngày"))))))</f>
        <v/>
      </c>
      <c r="I133" s="42">
        <f>IFERROR($D133/$C133,"")</f>
        <v/>
      </c>
    </row>
    <row r="134" ht="15" customHeight="1" s="30">
      <c r="A134" s="35">
        <f>IF('Hợp đồng'!A134="","",'Hợp đồng'!A134)</f>
        <v/>
      </c>
      <c r="B134" s="35">
        <f>IF($A134="","",'Hợp đồng'!E134)</f>
        <v/>
      </c>
      <c r="C134" s="41">
        <f>IF($A134="","",'Hợp đồng'!H134)</f>
        <v/>
      </c>
      <c r="D134" s="41">
        <f>IF($A134="","",SUMIFS('Thanh toán'!$E$4:$E$303,'Thanh toán'!$C$4:$C$303,$A134))</f>
        <v/>
      </c>
      <c r="E134" s="41">
        <f>IF($A134="","",$C134-$D134)</f>
        <v/>
      </c>
      <c r="F134" s="57">
        <f>IF($A134="","",'Hợp đồng'!P134)</f>
        <v/>
      </c>
      <c r="G134" s="41">
        <f>IF($A134="",0,IF($E134&lt;=0,0,IF($F134="",0,MAX(0,TODAY()-$F134))))</f>
        <v/>
      </c>
      <c r="H134" s="35">
        <f>IF($A134="","",IF($E134&lt;=0,"Đã thu đủ",IF($G134=0,"Trong hạn",IF($G134&lt;=30,"Quá hạn 1-30 ngày",IF($G134&lt;=60,"Quá hạn 31-60 ngày",IF($G134&lt;=90,"Quá hạn 61-90 ngày","Quá hạn trên 90 ngày"))))))</f>
        <v/>
      </c>
      <c r="I134" s="42">
        <f>IFERROR($D134/$C134,"")</f>
        <v/>
      </c>
    </row>
    <row r="135" ht="15" customHeight="1" s="30">
      <c r="A135" s="35">
        <f>IF('Hợp đồng'!A135="","",'Hợp đồng'!A135)</f>
        <v/>
      </c>
      <c r="B135" s="35">
        <f>IF($A135="","",'Hợp đồng'!E135)</f>
        <v/>
      </c>
      <c r="C135" s="41">
        <f>IF($A135="","",'Hợp đồng'!H135)</f>
        <v/>
      </c>
      <c r="D135" s="41">
        <f>IF($A135="","",SUMIFS('Thanh toán'!$E$4:$E$303,'Thanh toán'!$C$4:$C$303,$A135))</f>
        <v/>
      </c>
      <c r="E135" s="41">
        <f>IF($A135="","",$C135-$D135)</f>
        <v/>
      </c>
      <c r="F135" s="57">
        <f>IF($A135="","",'Hợp đồng'!P135)</f>
        <v/>
      </c>
      <c r="G135" s="41">
        <f>IF($A135="",0,IF($E135&lt;=0,0,IF($F135="",0,MAX(0,TODAY()-$F135))))</f>
        <v/>
      </c>
      <c r="H135" s="35">
        <f>IF($A135="","",IF($E135&lt;=0,"Đã thu đủ",IF($G135=0,"Trong hạn",IF($G135&lt;=30,"Quá hạn 1-30 ngày",IF($G135&lt;=60,"Quá hạn 31-60 ngày",IF($G135&lt;=90,"Quá hạn 61-90 ngày","Quá hạn trên 90 ngày"))))))</f>
        <v/>
      </c>
      <c r="I135" s="42">
        <f>IFERROR($D135/$C135,"")</f>
        <v/>
      </c>
    </row>
    <row r="136" ht="15" customHeight="1" s="30">
      <c r="A136" s="35">
        <f>IF('Hợp đồng'!A136="","",'Hợp đồng'!A136)</f>
        <v/>
      </c>
      <c r="B136" s="35">
        <f>IF($A136="","",'Hợp đồng'!E136)</f>
        <v/>
      </c>
      <c r="C136" s="41">
        <f>IF($A136="","",'Hợp đồng'!H136)</f>
        <v/>
      </c>
      <c r="D136" s="41">
        <f>IF($A136="","",SUMIFS('Thanh toán'!$E$4:$E$303,'Thanh toán'!$C$4:$C$303,$A136))</f>
        <v/>
      </c>
      <c r="E136" s="41">
        <f>IF($A136="","",$C136-$D136)</f>
        <v/>
      </c>
      <c r="F136" s="57">
        <f>IF($A136="","",'Hợp đồng'!P136)</f>
        <v/>
      </c>
      <c r="G136" s="41">
        <f>IF($A136="",0,IF($E136&lt;=0,0,IF($F136="",0,MAX(0,TODAY()-$F136))))</f>
        <v/>
      </c>
      <c r="H136" s="35">
        <f>IF($A136="","",IF($E136&lt;=0,"Đã thu đủ",IF($G136=0,"Trong hạn",IF($G136&lt;=30,"Quá hạn 1-30 ngày",IF($G136&lt;=60,"Quá hạn 31-60 ngày",IF($G136&lt;=90,"Quá hạn 61-90 ngày","Quá hạn trên 90 ngày"))))))</f>
        <v/>
      </c>
      <c r="I136" s="42">
        <f>IFERROR($D136/$C136,"")</f>
        <v/>
      </c>
    </row>
    <row r="137" ht="15" customHeight="1" s="30">
      <c r="A137" s="35">
        <f>IF('Hợp đồng'!A137="","",'Hợp đồng'!A137)</f>
        <v/>
      </c>
      <c r="B137" s="35">
        <f>IF($A137="","",'Hợp đồng'!E137)</f>
        <v/>
      </c>
      <c r="C137" s="41">
        <f>IF($A137="","",'Hợp đồng'!H137)</f>
        <v/>
      </c>
      <c r="D137" s="41">
        <f>IF($A137="","",SUMIFS('Thanh toán'!$E$4:$E$303,'Thanh toán'!$C$4:$C$303,$A137))</f>
        <v/>
      </c>
      <c r="E137" s="41">
        <f>IF($A137="","",$C137-$D137)</f>
        <v/>
      </c>
      <c r="F137" s="57">
        <f>IF($A137="","",'Hợp đồng'!P137)</f>
        <v/>
      </c>
      <c r="G137" s="41">
        <f>IF($A137="",0,IF($E137&lt;=0,0,IF($F137="",0,MAX(0,TODAY()-$F137))))</f>
        <v/>
      </c>
      <c r="H137" s="35">
        <f>IF($A137="","",IF($E137&lt;=0,"Đã thu đủ",IF($G137=0,"Trong hạn",IF($G137&lt;=30,"Quá hạn 1-30 ngày",IF($G137&lt;=60,"Quá hạn 31-60 ngày",IF($G137&lt;=90,"Quá hạn 61-90 ngày","Quá hạn trên 90 ngày"))))))</f>
        <v/>
      </c>
      <c r="I137" s="42">
        <f>IFERROR($D137/$C137,"")</f>
        <v/>
      </c>
    </row>
    <row r="138" ht="15" customHeight="1" s="30">
      <c r="A138" s="35">
        <f>IF('Hợp đồng'!A138="","",'Hợp đồng'!A138)</f>
        <v/>
      </c>
      <c r="B138" s="35">
        <f>IF($A138="","",'Hợp đồng'!E138)</f>
        <v/>
      </c>
      <c r="C138" s="41">
        <f>IF($A138="","",'Hợp đồng'!H138)</f>
        <v/>
      </c>
      <c r="D138" s="41">
        <f>IF($A138="","",SUMIFS('Thanh toán'!$E$4:$E$303,'Thanh toán'!$C$4:$C$303,$A138))</f>
        <v/>
      </c>
      <c r="E138" s="41">
        <f>IF($A138="","",$C138-$D138)</f>
        <v/>
      </c>
      <c r="F138" s="57">
        <f>IF($A138="","",'Hợp đồng'!P138)</f>
        <v/>
      </c>
      <c r="G138" s="41">
        <f>IF($A138="",0,IF($E138&lt;=0,0,IF($F138="",0,MAX(0,TODAY()-$F138))))</f>
        <v/>
      </c>
      <c r="H138" s="35">
        <f>IF($A138="","",IF($E138&lt;=0,"Đã thu đủ",IF($G138=0,"Trong hạn",IF($G138&lt;=30,"Quá hạn 1-30 ngày",IF($G138&lt;=60,"Quá hạn 31-60 ngày",IF($G138&lt;=90,"Quá hạn 61-90 ngày","Quá hạn trên 90 ngày"))))))</f>
        <v/>
      </c>
      <c r="I138" s="42">
        <f>IFERROR($D138/$C138,"")</f>
        <v/>
      </c>
    </row>
    <row r="139" ht="15" customHeight="1" s="30">
      <c r="A139" s="35">
        <f>IF('Hợp đồng'!A139="","",'Hợp đồng'!A139)</f>
        <v/>
      </c>
      <c r="B139" s="35">
        <f>IF($A139="","",'Hợp đồng'!E139)</f>
        <v/>
      </c>
      <c r="C139" s="41">
        <f>IF($A139="","",'Hợp đồng'!H139)</f>
        <v/>
      </c>
      <c r="D139" s="41">
        <f>IF($A139="","",SUMIFS('Thanh toán'!$E$4:$E$303,'Thanh toán'!$C$4:$C$303,$A139))</f>
        <v/>
      </c>
      <c r="E139" s="41">
        <f>IF($A139="","",$C139-$D139)</f>
        <v/>
      </c>
      <c r="F139" s="57">
        <f>IF($A139="","",'Hợp đồng'!P139)</f>
        <v/>
      </c>
      <c r="G139" s="41">
        <f>IF($A139="",0,IF($E139&lt;=0,0,IF($F139="",0,MAX(0,TODAY()-$F139))))</f>
        <v/>
      </c>
      <c r="H139" s="35">
        <f>IF($A139="","",IF($E139&lt;=0,"Đã thu đủ",IF($G139=0,"Trong hạn",IF($G139&lt;=30,"Quá hạn 1-30 ngày",IF($G139&lt;=60,"Quá hạn 31-60 ngày",IF($G139&lt;=90,"Quá hạn 61-90 ngày","Quá hạn trên 90 ngày"))))))</f>
        <v/>
      </c>
      <c r="I139" s="42">
        <f>IFERROR($D139/$C139,"")</f>
        <v/>
      </c>
    </row>
    <row r="140" ht="15" customHeight="1" s="30">
      <c r="A140" s="35">
        <f>IF('Hợp đồng'!A140="","",'Hợp đồng'!A140)</f>
        <v/>
      </c>
      <c r="B140" s="35">
        <f>IF($A140="","",'Hợp đồng'!E140)</f>
        <v/>
      </c>
      <c r="C140" s="41">
        <f>IF($A140="","",'Hợp đồng'!H140)</f>
        <v/>
      </c>
      <c r="D140" s="41">
        <f>IF($A140="","",SUMIFS('Thanh toán'!$E$4:$E$303,'Thanh toán'!$C$4:$C$303,$A140))</f>
        <v/>
      </c>
      <c r="E140" s="41">
        <f>IF($A140="","",$C140-$D140)</f>
        <v/>
      </c>
      <c r="F140" s="57">
        <f>IF($A140="","",'Hợp đồng'!P140)</f>
        <v/>
      </c>
      <c r="G140" s="41">
        <f>IF($A140="",0,IF($E140&lt;=0,0,IF($F140="",0,MAX(0,TODAY()-$F140))))</f>
        <v/>
      </c>
      <c r="H140" s="35">
        <f>IF($A140="","",IF($E140&lt;=0,"Đã thu đủ",IF($G140=0,"Trong hạn",IF($G140&lt;=30,"Quá hạn 1-30 ngày",IF($G140&lt;=60,"Quá hạn 31-60 ngày",IF($G140&lt;=90,"Quá hạn 61-90 ngày","Quá hạn trên 90 ngày"))))))</f>
        <v/>
      </c>
      <c r="I140" s="42">
        <f>IFERROR($D140/$C140,"")</f>
        <v/>
      </c>
    </row>
    <row r="141" ht="15" customHeight="1" s="30">
      <c r="A141" s="35">
        <f>IF('Hợp đồng'!A141="","",'Hợp đồng'!A141)</f>
        <v/>
      </c>
      <c r="B141" s="35">
        <f>IF($A141="","",'Hợp đồng'!E141)</f>
        <v/>
      </c>
      <c r="C141" s="41">
        <f>IF($A141="","",'Hợp đồng'!H141)</f>
        <v/>
      </c>
      <c r="D141" s="41">
        <f>IF($A141="","",SUMIFS('Thanh toán'!$E$4:$E$303,'Thanh toán'!$C$4:$C$303,$A141))</f>
        <v/>
      </c>
      <c r="E141" s="41">
        <f>IF($A141="","",$C141-$D141)</f>
        <v/>
      </c>
      <c r="F141" s="57">
        <f>IF($A141="","",'Hợp đồng'!P141)</f>
        <v/>
      </c>
      <c r="G141" s="41">
        <f>IF($A141="",0,IF($E141&lt;=0,0,IF($F141="",0,MAX(0,TODAY()-$F141))))</f>
        <v/>
      </c>
      <c r="H141" s="35">
        <f>IF($A141="","",IF($E141&lt;=0,"Đã thu đủ",IF($G141=0,"Trong hạn",IF($G141&lt;=30,"Quá hạn 1-30 ngày",IF($G141&lt;=60,"Quá hạn 31-60 ngày",IF($G141&lt;=90,"Quá hạn 61-90 ngày","Quá hạn trên 90 ngày"))))))</f>
        <v/>
      </c>
      <c r="I141" s="42">
        <f>IFERROR($D141/$C141,"")</f>
        <v/>
      </c>
    </row>
    <row r="142" ht="15" customHeight="1" s="30">
      <c r="A142" s="35">
        <f>IF('Hợp đồng'!A142="","",'Hợp đồng'!A142)</f>
        <v/>
      </c>
      <c r="B142" s="35">
        <f>IF($A142="","",'Hợp đồng'!E142)</f>
        <v/>
      </c>
      <c r="C142" s="41">
        <f>IF($A142="","",'Hợp đồng'!H142)</f>
        <v/>
      </c>
      <c r="D142" s="41">
        <f>IF($A142="","",SUMIFS('Thanh toán'!$E$4:$E$303,'Thanh toán'!$C$4:$C$303,$A142))</f>
        <v/>
      </c>
      <c r="E142" s="41">
        <f>IF($A142="","",$C142-$D142)</f>
        <v/>
      </c>
      <c r="F142" s="57">
        <f>IF($A142="","",'Hợp đồng'!P142)</f>
        <v/>
      </c>
      <c r="G142" s="41">
        <f>IF($A142="",0,IF($E142&lt;=0,0,IF($F142="",0,MAX(0,TODAY()-$F142))))</f>
        <v/>
      </c>
      <c r="H142" s="35">
        <f>IF($A142="","",IF($E142&lt;=0,"Đã thu đủ",IF($G142=0,"Trong hạn",IF($G142&lt;=30,"Quá hạn 1-30 ngày",IF($G142&lt;=60,"Quá hạn 31-60 ngày",IF($G142&lt;=90,"Quá hạn 61-90 ngày","Quá hạn trên 90 ngày"))))))</f>
        <v/>
      </c>
      <c r="I142" s="42">
        <f>IFERROR($D142/$C142,"")</f>
        <v/>
      </c>
    </row>
    <row r="143" ht="15" customHeight="1" s="30">
      <c r="A143" s="35">
        <f>IF('Hợp đồng'!A143="","",'Hợp đồng'!A143)</f>
        <v/>
      </c>
      <c r="B143" s="35">
        <f>IF($A143="","",'Hợp đồng'!E143)</f>
        <v/>
      </c>
      <c r="C143" s="41">
        <f>IF($A143="","",'Hợp đồng'!H143)</f>
        <v/>
      </c>
      <c r="D143" s="41">
        <f>IF($A143="","",SUMIFS('Thanh toán'!$E$4:$E$303,'Thanh toán'!$C$4:$C$303,$A143))</f>
        <v/>
      </c>
      <c r="E143" s="41">
        <f>IF($A143="","",$C143-$D143)</f>
        <v/>
      </c>
      <c r="F143" s="57">
        <f>IF($A143="","",'Hợp đồng'!P143)</f>
        <v/>
      </c>
      <c r="G143" s="41">
        <f>IF($A143="",0,IF($E143&lt;=0,0,IF($F143="",0,MAX(0,TODAY()-$F143))))</f>
        <v/>
      </c>
      <c r="H143" s="35">
        <f>IF($A143="","",IF($E143&lt;=0,"Đã thu đủ",IF($G143=0,"Trong hạn",IF($G143&lt;=30,"Quá hạn 1-30 ngày",IF($G143&lt;=60,"Quá hạn 31-60 ngày",IF($G143&lt;=90,"Quá hạn 61-90 ngày","Quá hạn trên 90 ngày"))))))</f>
        <v/>
      </c>
      <c r="I143" s="42">
        <f>IFERROR($D143/$C143,"")</f>
        <v/>
      </c>
    </row>
    <row r="144" ht="15" customHeight="1" s="30">
      <c r="A144" s="35">
        <f>IF('Hợp đồng'!A144="","",'Hợp đồng'!A144)</f>
        <v/>
      </c>
      <c r="B144" s="35">
        <f>IF($A144="","",'Hợp đồng'!E144)</f>
        <v/>
      </c>
      <c r="C144" s="41">
        <f>IF($A144="","",'Hợp đồng'!H144)</f>
        <v/>
      </c>
      <c r="D144" s="41">
        <f>IF($A144="","",SUMIFS('Thanh toán'!$E$4:$E$303,'Thanh toán'!$C$4:$C$303,$A144))</f>
        <v/>
      </c>
      <c r="E144" s="41">
        <f>IF($A144="","",$C144-$D144)</f>
        <v/>
      </c>
      <c r="F144" s="57">
        <f>IF($A144="","",'Hợp đồng'!P144)</f>
        <v/>
      </c>
      <c r="G144" s="41">
        <f>IF($A144="",0,IF($E144&lt;=0,0,IF($F144="",0,MAX(0,TODAY()-$F144))))</f>
        <v/>
      </c>
      <c r="H144" s="35">
        <f>IF($A144="","",IF($E144&lt;=0,"Đã thu đủ",IF($G144=0,"Trong hạn",IF($G144&lt;=30,"Quá hạn 1-30 ngày",IF($G144&lt;=60,"Quá hạn 31-60 ngày",IF($G144&lt;=90,"Quá hạn 61-90 ngày","Quá hạn trên 90 ngày"))))))</f>
        <v/>
      </c>
      <c r="I144" s="42">
        <f>IFERROR($D144/$C144,"")</f>
        <v/>
      </c>
    </row>
    <row r="145" ht="15" customHeight="1" s="30">
      <c r="A145" s="35">
        <f>IF('Hợp đồng'!A145="","",'Hợp đồng'!A145)</f>
        <v/>
      </c>
      <c r="B145" s="35">
        <f>IF($A145="","",'Hợp đồng'!E145)</f>
        <v/>
      </c>
      <c r="C145" s="41">
        <f>IF($A145="","",'Hợp đồng'!H145)</f>
        <v/>
      </c>
      <c r="D145" s="41">
        <f>IF($A145="","",SUMIFS('Thanh toán'!$E$4:$E$303,'Thanh toán'!$C$4:$C$303,$A145))</f>
        <v/>
      </c>
      <c r="E145" s="41">
        <f>IF($A145="","",$C145-$D145)</f>
        <v/>
      </c>
      <c r="F145" s="57">
        <f>IF($A145="","",'Hợp đồng'!P145)</f>
        <v/>
      </c>
      <c r="G145" s="41">
        <f>IF($A145="",0,IF($E145&lt;=0,0,IF($F145="",0,MAX(0,TODAY()-$F145))))</f>
        <v/>
      </c>
      <c r="H145" s="35">
        <f>IF($A145="","",IF($E145&lt;=0,"Đã thu đủ",IF($G145=0,"Trong hạn",IF($G145&lt;=30,"Quá hạn 1-30 ngày",IF($G145&lt;=60,"Quá hạn 31-60 ngày",IF($G145&lt;=90,"Quá hạn 61-90 ngày","Quá hạn trên 90 ngày"))))))</f>
        <v/>
      </c>
      <c r="I145" s="42">
        <f>IFERROR($D145/$C145,"")</f>
        <v/>
      </c>
    </row>
    <row r="146" ht="15" customHeight="1" s="30">
      <c r="A146" s="35">
        <f>IF('Hợp đồng'!A146="","",'Hợp đồng'!A146)</f>
        <v/>
      </c>
      <c r="B146" s="35">
        <f>IF($A146="","",'Hợp đồng'!E146)</f>
        <v/>
      </c>
      <c r="C146" s="41">
        <f>IF($A146="","",'Hợp đồng'!H146)</f>
        <v/>
      </c>
      <c r="D146" s="41">
        <f>IF($A146="","",SUMIFS('Thanh toán'!$E$4:$E$303,'Thanh toán'!$C$4:$C$303,$A146))</f>
        <v/>
      </c>
      <c r="E146" s="41">
        <f>IF($A146="","",$C146-$D146)</f>
        <v/>
      </c>
      <c r="F146" s="57">
        <f>IF($A146="","",'Hợp đồng'!P146)</f>
        <v/>
      </c>
      <c r="G146" s="41">
        <f>IF($A146="",0,IF($E146&lt;=0,0,IF($F146="",0,MAX(0,TODAY()-$F146))))</f>
        <v/>
      </c>
      <c r="H146" s="35">
        <f>IF($A146="","",IF($E146&lt;=0,"Đã thu đủ",IF($G146=0,"Trong hạn",IF($G146&lt;=30,"Quá hạn 1-30 ngày",IF($G146&lt;=60,"Quá hạn 31-60 ngày",IF($G146&lt;=90,"Quá hạn 61-90 ngày","Quá hạn trên 90 ngày"))))))</f>
        <v/>
      </c>
      <c r="I146" s="42">
        <f>IFERROR($D146/$C146,"")</f>
        <v/>
      </c>
    </row>
    <row r="147" ht="15" customHeight="1" s="30">
      <c r="A147" s="35">
        <f>IF('Hợp đồng'!A147="","",'Hợp đồng'!A147)</f>
        <v/>
      </c>
      <c r="B147" s="35">
        <f>IF($A147="","",'Hợp đồng'!E147)</f>
        <v/>
      </c>
      <c r="C147" s="41">
        <f>IF($A147="","",'Hợp đồng'!H147)</f>
        <v/>
      </c>
      <c r="D147" s="41">
        <f>IF($A147="","",SUMIFS('Thanh toán'!$E$4:$E$303,'Thanh toán'!$C$4:$C$303,$A147))</f>
        <v/>
      </c>
      <c r="E147" s="41">
        <f>IF($A147="","",$C147-$D147)</f>
        <v/>
      </c>
      <c r="F147" s="57">
        <f>IF($A147="","",'Hợp đồng'!P147)</f>
        <v/>
      </c>
      <c r="G147" s="41">
        <f>IF($A147="",0,IF($E147&lt;=0,0,IF($F147="",0,MAX(0,TODAY()-$F147))))</f>
        <v/>
      </c>
      <c r="H147" s="35">
        <f>IF($A147="","",IF($E147&lt;=0,"Đã thu đủ",IF($G147=0,"Trong hạn",IF($G147&lt;=30,"Quá hạn 1-30 ngày",IF($G147&lt;=60,"Quá hạn 31-60 ngày",IF($G147&lt;=90,"Quá hạn 61-90 ngày","Quá hạn trên 90 ngày"))))))</f>
        <v/>
      </c>
      <c r="I147" s="42">
        <f>IFERROR($D147/$C147,"")</f>
        <v/>
      </c>
    </row>
    <row r="148" ht="15" customHeight="1" s="30">
      <c r="A148" s="35">
        <f>IF('Hợp đồng'!A148="","",'Hợp đồng'!A148)</f>
        <v/>
      </c>
      <c r="B148" s="35">
        <f>IF($A148="","",'Hợp đồng'!E148)</f>
        <v/>
      </c>
      <c r="C148" s="41">
        <f>IF($A148="","",'Hợp đồng'!H148)</f>
        <v/>
      </c>
      <c r="D148" s="41">
        <f>IF($A148="","",SUMIFS('Thanh toán'!$E$4:$E$303,'Thanh toán'!$C$4:$C$303,$A148))</f>
        <v/>
      </c>
      <c r="E148" s="41">
        <f>IF($A148="","",$C148-$D148)</f>
        <v/>
      </c>
      <c r="F148" s="57">
        <f>IF($A148="","",'Hợp đồng'!P148)</f>
        <v/>
      </c>
      <c r="G148" s="41">
        <f>IF($A148="",0,IF($E148&lt;=0,0,IF($F148="",0,MAX(0,TODAY()-$F148))))</f>
        <v/>
      </c>
      <c r="H148" s="35">
        <f>IF($A148="","",IF($E148&lt;=0,"Đã thu đủ",IF($G148=0,"Trong hạn",IF($G148&lt;=30,"Quá hạn 1-30 ngày",IF($G148&lt;=60,"Quá hạn 31-60 ngày",IF($G148&lt;=90,"Quá hạn 61-90 ngày","Quá hạn trên 90 ngày"))))))</f>
        <v/>
      </c>
      <c r="I148" s="42">
        <f>IFERROR($D148/$C148,"")</f>
        <v/>
      </c>
    </row>
    <row r="149" ht="15" customHeight="1" s="30">
      <c r="A149" s="35">
        <f>IF('Hợp đồng'!A149="","",'Hợp đồng'!A149)</f>
        <v/>
      </c>
      <c r="B149" s="35">
        <f>IF($A149="","",'Hợp đồng'!E149)</f>
        <v/>
      </c>
      <c r="C149" s="41">
        <f>IF($A149="","",'Hợp đồng'!H149)</f>
        <v/>
      </c>
      <c r="D149" s="41">
        <f>IF($A149="","",SUMIFS('Thanh toán'!$E$4:$E$303,'Thanh toán'!$C$4:$C$303,$A149))</f>
        <v/>
      </c>
      <c r="E149" s="41">
        <f>IF($A149="","",$C149-$D149)</f>
        <v/>
      </c>
      <c r="F149" s="57">
        <f>IF($A149="","",'Hợp đồng'!P149)</f>
        <v/>
      </c>
      <c r="G149" s="41">
        <f>IF($A149="",0,IF($E149&lt;=0,0,IF($F149="",0,MAX(0,TODAY()-$F149))))</f>
        <v/>
      </c>
      <c r="H149" s="35">
        <f>IF($A149="","",IF($E149&lt;=0,"Đã thu đủ",IF($G149=0,"Trong hạn",IF($G149&lt;=30,"Quá hạn 1-30 ngày",IF($G149&lt;=60,"Quá hạn 31-60 ngày",IF($G149&lt;=90,"Quá hạn 61-90 ngày","Quá hạn trên 90 ngày"))))))</f>
        <v/>
      </c>
      <c r="I149" s="42">
        <f>IFERROR($D149/$C149,"")</f>
        <v/>
      </c>
    </row>
    <row r="150" ht="15" customHeight="1" s="30">
      <c r="A150" s="35">
        <f>IF('Hợp đồng'!A150="","",'Hợp đồng'!A150)</f>
        <v/>
      </c>
      <c r="B150" s="35">
        <f>IF($A150="","",'Hợp đồng'!E150)</f>
        <v/>
      </c>
      <c r="C150" s="41">
        <f>IF($A150="","",'Hợp đồng'!H150)</f>
        <v/>
      </c>
      <c r="D150" s="41">
        <f>IF($A150="","",SUMIFS('Thanh toán'!$E$4:$E$303,'Thanh toán'!$C$4:$C$303,$A150))</f>
        <v/>
      </c>
      <c r="E150" s="41">
        <f>IF($A150="","",$C150-$D150)</f>
        <v/>
      </c>
      <c r="F150" s="57">
        <f>IF($A150="","",'Hợp đồng'!P150)</f>
        <v/>
      </c>
      <c r="G150" s="41">
        <f>IF($A150="",0,IF($E150&lt;=0,0,IF($F150="",0,MAX(0,TODAY()-$F150))))</f>
        <v/>
      </c>
      <c r="H150" s="35">
        <f>IF($A150="","",IF($E150&lt;=0,"Đã thu đủ",IF($G150=0,"Trong hạn",IF($G150&lt;=30,"Quá hạn 1-30 ngày",IF($G150&lt;=60,"Quá hạn 31-60 ngày",IF($G150&lt;=90,"Quá hạn 61-90 ngày","Quá hạn trên 90 ngày"))))))</f>
        <v/>
      </c>
      <c r="I150" s="42">
        <f>IFERROR($D150/$C150,"")</f>
        <v/>
      </c>
    </row>
    <row r="151" ht="15" customHeight="1" s="30">
      <c r="A151" s="35">
        <f>IF('Hợp đồng'!A151="","",'Hợp đồng'!A151)</f>
        <v/>
      </c>
      <c r="B151" s="35">
        <f>IF($A151="","",'Hợp đồng'!E151)</f>
        <v/>
      </c>
      <c r="C151" s="41">
        <f>IF($A151="","",'Hợp đồng'!H151)</f>
        <v/>
      </c>
      <c r="D151" s="41">
        <f>IF($A151="","",SUMIFS('Thanh toán'!$E$4:$E$303,'Thanh toán'!$C$4:$C$303,$A151))</f>
        <v/>
      </c>
      <c r="E151" s="41">
        <f>IF($A151="","",$C151-$D151)</f>
        <v/>
      </c>
      <c r="F151" s="57">
        <f>IF($A151="","",'Hợp đồng'!P151)</f>
        <v/>
      </c>
      <c r="G151" s="41">
        <f>IF($A151="",0,IF($E151&lt;=0,0,IF($F151="",0,MAX(0,TODAY()-$F151))))</f>
        <v/>
      </c>
      <c r="H151" s="35">
        <f>IF($A151="","",IF($E151&lt;=0,"Đã thu đủ",IF($G151=0,"Trong hạn",IF($G151&lt;=30,"Quá hạn 1-30 ngày",IF($G151&lt;=60,"Quá hạn 31-60 ngày",IF($G151&lt;=90,"Quá hạn 61-90 ngày","Quá hạn trên 90 ngày"))))))</f>
        <v/>
      </c>
      <c r="I151" s="42">
        <f>IFERROR($D151/$C151,"")</f>
        <v/>
      </c>
    </row>
    <row r="152" ht="15" customHeight="1" s="30">
      <c r="A152" s="35">
        <f>IF('Hợp đồng'!A152="","",'Hợp đồng'!A152)</f>
        <v/>
      </c>
      <c r="B152" s="35">
        <f>IF($A152="","",'Hợp đồng'!E152)</f>
        <v/>
      </c>
      <c r="C152" s="41">
        <f>IF($A152="","",'Hợp đồng'!H152)</f>
        <v/>
      </c>
      <c r="D152" s="41">
        <f>IF($A152="","",SUMIFS('Thanh toán'!$E$4:$E$303,'Thanh toán'!$C$4:$C$303,$A152))</f>
        <v/>
      </c>
      <c r="E152" s="41">
        <f>IF($A152="","",$C152-$D152)</f>
        <v/>
      </c>
      <c r="F152" s="57">
        <f>IF($A152="","",'Hợp đồng'!P152)</f>
        <v/>
      </c>
      <c r="G152" s="41">
        <f>IF($A152="",0,IF($E152&lt;=0,0,IF($F152="",0,MAX(0,TODAY()-$F152))))</f>
        <v/>
      </c>
      <c r="H152" s="35">
        <f>IF($A152="","",IF($E152&lt;=0,"Đã thu đủ",IF($G152=0,"Trong hạn",IF($G152&lt;=30,"Quá hạn 1-30 ngày",IF($G152&lt;=60,"Quá hạn 31-60 ngày",IF($G152&lt;=90,"Quá hạn 61-90 ngày","Quá hạn trên 90 ngày"))))))</f>
        <v/>
      </c>
      <c r="I152" s="42">
        <f>IFERROR($D152/$C152,"")</f>
        <v/>
      </c>
    </row>
    <row r="153" ht="15" customHeight="1" s="30">
      <c r="A153" s="35">
        <f>IF('Hợp đồng'!A153="","",'Hợp đồng'!A153)</f>
        <v/>
      </c>
      <c r="B153" s="35">
        <f>IF($A153="","",'Hợp đồng'!E153)</f>
        <v/>
      </c>
      <c r="C153" s="41">
        <f>IF($A153="","",'Hợp đồng'!H153)</f>
        <v/>
      </c>
      <c r="D153" s="41">
        <f>IF($A153="","",SUMIFS('Thanh toán'!$E$4:$E$303,'Thanh toán'!$C$4:$C$303,$A153))</f>
        <v/>
      </c>
      <c r="E153" s="41">
        <f>IF($A153="","",$C153-$D153)</f>
        <v/>
      </c>
      <c r="F153" s="57">
        <f>IF($A153="","",'Hợp đồng'!P153)</f>
        <v/>
      </c>
      <c r="G153" s="41">
        <f>IF($A153="",0,IF($E153&lt;=0,0,IF($F153="",0,MAX(0,TODAY()-$F153))))</f>
        <v/>
      </c>
      <c r="H153" s="35">
        <f>IF($A153="","",IF($E153&lt;=0,"Đã thu đủ",IF($G153=0,"Trong hạn",IF($G153&lt;=30,"Quá hạn 1-30 ngày",IF($G153&lt;=60,"Quá hạn 31-60 ngày",IF($G153&lt;=90,"Quá hạn 61-90 ngày","Quá hạn trên 90 ngày"))))))</f>
        <v/>
      </c>
      <c r="I153" s="42">
        <f>IFERROR($D153/$C153,"")</f>
        <v/>
      </c>
    </row>
    <row r="154" ht="15" customHeight="1" s="30">
      <c r="A154" s="35">
        <f>IF('Hợp đồng'!A154="","",'Hợp đồng'!A154)</f>
        <v/>
      </c>
      <c r="B154" s="35">
        <f>IF($A154="","",'Hợp đồng'!E154)</f>
        <v/>
      </c>
      <c r="C154" s="41">
        <f>IF($A154="","",'Hợp đồng'!H154)</f>
        <v/>
      </c>
      <c r="D154" s="41">
        <f>IF($A154="","",SUMIFS('Thanh toán'!$E$4:$E$303,'Thanh toán'!$C$4:$C$303,$A154))</f>
        <v/>
      </c>
      <c r="E154" s="41">
        <f>IF($A154="","",$C154-$D154)</f>
        <v/>
      </c>
      <c r="F154" s="57">
        <f>IF($A154="","",'Hợp đồng'!P154)</f>
        <v/>
      </c>
      <c r="G154" s="41">
        <f>IF($A154="",0,IF($E154&lt;=0,0,IF($F154="",0,MAX(0,TODAY()-$F154))))</f>
        <v/>
      </c>
      <c r="H154" s="35">
        <f>IF($A154="","",IF($E154&lt;=0,"Đã thu đủ",IF($G154=0,"Trong hạn",IF($G154&lt;=30,"Quá hạn 1-30 ngày",IF($G154&lt;=60,"Quá hạn 31-60 ngày",IF($G154&lt;=90,"Quá hạn 61-90 ngày","Quá hạn trên 90 ngày"))))))</f>
        <v/>
      </c>
      <c r="I154" s="42">
        <f>IFERROR($D154/$C154,"")</f>
        <v/>
      </c>
    </row>
    <row r="155" ht="15" customHeight="1" s="30">
      <c r="A155" s="35">
        <f>IF('Hợp đồng'!A155="","",'Hợp đồng'!A155)</f>
        <v/>
      </c>
      <c r="B155" s="35">
        <f>IF($A155="","",'Hợp đồng'!E155)</f>
        <v/>
      </c>
      <c r="C155" s="41">
        <f>IF($A155="","",'Hợp đồng'!H155)</f>
        <v/>
      </c>
      <c r="D155" s="41">
        <f>IF($A155="","",SUMIFS('Thanh toán'!$E$4:$E$303,'Thanh toán'!$C$4:$C$303,$A155))</f>
        <v/>
      </c>
      <c r="E155" s="41">
        <f>IF($A155="","",$C155-$D155)</f>
        <v/>
      </c>
      <c r="F155" s="57">
        <f>IF($A155="","",'Hợp đồng'!P155)</f>
        <v/>
      </c>
      <c r="G155" s="41">
        <f>IF($A155="",0,IF($E155&lt;=0,0,IF($F155="",0,MAX(0,TODAY()-$F155))))</f>
        <v/>
      </c>
      <c r="H155" s="35">
        <f>IF($A155="","",IF($E155&lt;=0,"Đã thu đủ",IF($G155=0,"Trong hạn",IF($G155&lt;=30,"Quá hạn 1-30 ngày",IF($G155&lt;=60,"Quá hạn 31-60 ngày",IF($G155&lt;=90,"Quá hạn 61-90 ngày","Quá hạn trên 90 ngày"))))))</f>
        <v/>
      </c>
      <c r="I155" s="42">
        <f>IFERROR($D155/$C155,"")</f>
        <v/>
      </c>
    </row>
    <row r="156" ht="15" customHeight="1" s="30">
      <c r="A156" s="35">
        <f>IF('Hợp đồng'!A156="","",'Hợp đồng'!A156)</f>
        <v/>
      </c>
      <c r="B156" s="35">
        <f>IF($A156="","",'Hợp đồng'!E156)</f>
        <v/>
      </c>
      <c r="C156" s="41">
        <f>IF($A156="","",'Hợp đồng'!H156)</f>
        <v/>
      </c>
      <c r="D156" s="41">
        <f>IF($A156="","",SUMIFS('Thanh toán'!$E$4:$E$303,'Thanh toán'!$C$4:$C$303,$A156))</f>
        <v/>
      </c>
      <c r="E156" s="41">
        <f>IF($A156="","",$C156-$D156)</f>
        <v/>
      </c>
      <c r="F156" s="57">
        <f>IF($A156="","",'Hợp đồng'!P156)</f>
        <v/>
      </c>
      <c r="G156" s="41">
        <f>IF($A156="",0,IF($E156&lt;=0,0,IF($F156="",0,MAX(0,TODAY()-$F156))))</f>
        <v/>
      </c>
      <c r="H156" s="35">
        <f>IF($A156="","",IF($E156&lt;=0,"Đã thu đủ",IF($G156=0,"Trong hạn",IF($G156&lt;=30,"Quá hạn 1-30 ngày",IF($G156&lt;=60,"Quá hạn 31-60 ngày",IF($G156&lt;=90,"Quá hạn 61-90 ngày","Quá hạn trên 90 ngày"))))))</f>
        <v/>
      </c>
      <c r="I156" s="42">
        <f>IFERROR($D156/$C156,"")</f>
        <v/>
      </c>
    </row>
    <row r="157" ht="15" customHeight="1" s="30">
      <c r="A157" s="35">
        <f>IF('Hợp đồng'!A157="","",'Hợp đồng'!A157)</f>
        <v/>
      </c>
      <c r="B157" s="35">
        <f>IF($A157="","",'Hợp đồng'!E157)</f>
        <v/>
      </c>
      <c r="C157" s="41">
        <f>IF($A157="","",'Hợp đồng'!H157)</f>
        <v/>
      </c>
      <c r="D157" s="41">
        <f>IF($A157="","",SUMIFS('Thanh toán'!$E$4:$E$303,'Thanh toán'!$C$4:$C$303,$A157))</f>
        <v/>
      </c>
      <c r="E157" s="41">
        <f>IF($A157="","",$C157-$D157)</f>
        <v/>
      </c>
      <c r="F157" s="57">
        <f>IF($A157="","",'Hợp đồng'!P157)</f>
        <v/>
      </c>
      <c r="G157" s="41">
        <f>IF($A157="",0,IF($E157&lt;=0,0,IF($F157="",0,MAX(0,TODAY()-$F157))))</f>
        <v/>
      </c>
      <c r="H157" s="35">
        <f>IF($A157="","",IF($E157&lt;=0,"Đã thu đủ",IF($G157=0,"Trong hạn",IF($G157&lt;=30,"Quá hạn 1-30 ngày",IF($G157&lt;=60,"Quá hạn 31-60 ngày",IF($G157&lt;=90,"Quá hạn 61-90 ngày","Quá hạn trên 90 ngày"))))))</f>
        <v/>
      </c>
      <c r="I157" s="42">
        <f>IFERROR($D157/$C157,"")</f>
        <v/>
      </c>
    </row>
    <row r="158" ht="15" customHeight="1" s="30">
      <c r="A158" s="35">
        <f>IF('Hợp đồng'!A158="","",'Hợp đồng'!A158)</f>
        <v/>
      </c>
      <c r="B158" s="35">
        <f>IF($A158="","",'Hợp đồng'!E158)</f>
        <v/>
      </c>
      <c r="C158" s="41">
        <f>IF($A158="","",'Hợp đồng'!H158)</f>
        <v/>
      </c>
      <c r="D158" s="41">
        <f>IF($A158="","",SUMIFS('Thanh toán'!$E$4:$E$303,'Thanh toán'!$C$4:$C$303,$A158))</f>
        <v/>
      </c>
      <c r="E158" s="41">
        <f>IF($A158="","",$C158-$D158)</f>
        <v/>
      </c>
      <c r="F158" s="57">
        <f>IF($A158="","",'Hợp đồng'!P158)</f>
        <v/>
      </c>
      <c r="G158" s="41">
        <f>IF($A158="",0,IF($E158&lt;=0,0,IF($F158="",0,MAX(0,TODAY()-$F158))))</f>
        <v/>
      </c>
      <c r="H158" s="35">
        <f>IF($A158="","",IF($E158&lt;=0,"Đã thu đủ",IF($G158=0,"Trong hạn",IF($G158&lt;=30,"Quá hạn 1-30 ngày",IF($G158&lt;=60,"Quá hạn 31-60 ngày",IF($G158&lt;=90,"Quá hạn 61-90 ngày","Quá hạn trên 90 ngày"))))))</f>
        <v/>
      </c>
      <c r="I158" s="42">
        <f>IFERROR($D158/$C158,"")</f>
        <v/>
      </c>
    </row>
    <row r="159" ht="15" customHeight="1" s="30">
      <c r="A159" s="35">
        <f>IF('Hợp đồng'!A159="","",'Hợp đồng'!A159)</f>
        <v/>
      </c>
      <c r="B159" s="35">
        <f>IF($A159="","",'Hợp đồng'!E159)</f>
        <v/>
      </c>
      <c r="C159" s="41">
        <f>IF($A159="","",'Hợp đồng'!H159)</f>
        <v/>
      </c>
      <c r="D159" s="41">
        <f>IF($A159="","",SUMIFS('Thanh toán'!$E$4:$E$303,'Thanh toán'!$C$4:$C$303,$A159))</f>
        <v/>
      </c>
      <c r="E159" s="41">
        <f>IF($A159="","",$C159-$D159)</f>
        <v/>
      </c>
      <c r="F159" s="57">
        <f>IF($A159="","",'Hợp đồng'!P159)</f>
        <v/>
      </c>
      <c r="G159" s="41">
        <f>IF($A159="",0,IF($E159&lt;=0,0,IF($F159="",0,MAX(0,TODAY()-$F159))))</f>
        <v/>
      </c>
      <c r="H159" s="35">
        <f>IF($A159="","",IF($E159&lt;=0,"Đã thu đủ",IF($G159=0,"Trong hạn",IF($G159&lt;=30,"Quá hạn 1-30 ngày",IF($G159&lt;=60,"Quá hạn 31-60 ngày",IF($G159&lt;=90,"Quá hạn 61-90 ngày","Quá hạn trên 90 ngày"))))))</f>
        <v/>
      </c>
      <c r="I159" s="42">
        <f>IFERROR($D159/$C159,"")</f>
        <v/>
      </c>
    </row>
    <row r="160" ht="15" customHeight="1" s="30">
      <c r="A160" s="35">
        <f>IF('Hợp đồng'!A160="","",'Hợp đồng'!A160)</f>
        <v/>
      </c>
      <c r="B160" s="35">
        <f>IF($A160="","",'Hợp đồng'!E160)</f>
        <v/>
      </c>
      <c r="C160" s="41">
        <f>IF($A160="","",'Hợp đồng'!H160)</f>
        <v/>
      </c>
      <c r="D160" s="41">
        <f>IF($A160="","",SUMIFS('Thanh toán'!$E$4:$E$303,'Thanh toán'!$C$4:$C$303,$A160))</f>
        <v/>
      </c>
      <c r="E160" s="41">
        <f>IF($A160="","",$C160-$D160)</f>
        <v/>
      </c>
      <c r="F160" s="57">
        <f>IF($A160="","",'Hợp đồng'!P160)</f>
        <v/>
      </c>
      <c r="G160" s="41">
        <f>IF($A160="",0,IF($E160&lt;=0,0,IF($F160="",0,MAX(0,TODAY()-$F160))))</f>
        <v/>
      </c>
      <c r="H160" s="35">
        <f>IF($A160="","",IF($E160&lt;=0,"Đã thu đủ",IF($G160=0,"Trong hạn",IF($G160&lt;=30,"Quá hạn 1-30 ngày",IF($G160&lt;=60,"Quá hạn 31-60 ngày",IF($G160&lt;=90,"Quá hạn 61-90 ngày","Quá hạn trên 90 ngày"))))))</f>
        <v/>
      </c>
      <c r="I160" s="42">
        <f>IFERROR($D160/$C160,"")</f>
        <v/>
      </c>
    </row>
    <row r="161" ht="15" customHeight="1" s="30">
      <c r="A161" s="35">
        <f>IF('Hợp đồng'!A161="","",'Hợp đồng'!A161)</f>
        <v/>
      </c>
      <c r="B161" s="35">
        <f>IF($A161="","",'Hợp đồng'!E161)</f>
        <v/>
      </c>
      <c r="C161" s="41">
        <f>IF($A161="","",'Hợp đồng'!H161)</f>
        <v/>
      </c>
      <c r="D161" s="41">
        <f>IF($A161="","",SUMIFS('Thanh toán'!$E$4:$E$303,'Thanh toán'!$C$4:$C$303,$A161))</f>
        <v/>
      </c>
      <c r="E161" s="41">
        <f>IF($A161="","",$C161-$D161)</f>
        <v/>
      </c>
      <c r="F161" s="57">
        <f>IF($A161="","",'Hợp đồng'!P161)</f>
        <v/>
      </c>
      <c r="G161" s="41">
        <f>IF($A161="",0,IF($E161&lt;=0,0,IF($F161="",0,MAX(0,TODAY()-$F161))))</f>
        <v/>
      </c>
      <c r="H161" s="35">
        <f>IF($A161="","",IF($E161&lt;=0,"Đã thu đủ",IF($G161=0,"Trong hạn",IF($G161&lt;=30,"Quá hạn 1-30 ngày",IF($G161&lt;=60,"Quá hạn 31-60 ngày",IF($G161&lt;=90,"Quá hạn 61-90 ngày","Quá hạn trên 90 ngày"))))))</f>
        <v/>
      </c>
      <c r="I161" s="42">
        <f>IFERROR($D161/$C161,"")</f>
        <v/>
      </c>
    </row>
    <row r="162" ht="15" customHeight="1" s="30">
      <c r="A162" s="35">
        <f>IF('Hợp đồng'!A162="","",'Hợp đồng'!A162)</f>
        <v/>
      </c>
      <c r="B162" s="35">
        <f>IF($A162="","",'Hợp đồng'!E162)</f>
        <v/>
      </c>
      <c r="C162" s="41">
        <f>IF($A162="","",'Hợp đồng'!H162)</f>
        <v/>
      </c>
      <c r="D162" s="41">
        <f>IF($A162="","",SUMIFS('Thanh toán'!$E$4:$E$303,'Thanh toán'!$C$4:$C$303,$A162))</f>
        <v/>
      </c>
      <c r="E162" s="41">
        <f>IF($A162="","",$C162-$D162)</f>
        <v/>
      </c>
      <c r="F162" s="57">
        <f>IF($A162="","",'Hợp đồng'!P162)</f>
        <v/>
      </c>
      <c r="G162" s="41">
        <f>IF($A162="",0,IF($E162&lt;=0,0,IF($F162="",0,MAX(0,TODAY()-$F162))))</f>
        <v/>
      </c>
      <c r="H162" s="35">
        <f>IF($A162="","",IF($E162&lt;=0,"Đã thu đủ",IF($G162=0,"Trong hạn",IF($G162&lt;=30,"Quá hạn 1-30 ngày",IF($G162&lt;=60,"Quá hạn 31-60 ngày",IF($G162&lt;=90,"Quá hạn 61-90 ngày","Quá hạn trên 90 ngày"))))))</f>
        <v/>
      </c>
      <c r="I162" s="42">
        <f>IFERROR($D162/$C162,"")</f>
        <v/>
      </c>
    </row>
    <row r="163" ht="15" customHeight="1" s="30">
      <c r="A163" s="35">
        <f>IF('Hợp đồng'!A163="","",'Hợp đồng'!A163)</f>
        <v/>
      </c>
      <c r="B163" s="35">
        <f>IF($A163="","",'Hợp đồng'!E163)</f>
        <v/>
      </c>
      <c r="C163" s="41">
        <f>IF($A163="","",'Hợp đồng'!H163)</f>
        <v/>
      </c>
      <c r="D163" s="41">
        <f>IF($A163="","",SUMIFS('Thanh toán'!$E$4:$E$303,'Thanh toán'!$C$4:$C$303,$A163))</f>
        <v/>
      </c>
      <c r="E163" s="41">
        <f>IF($A163="","",$C163-$D163)</f>
        <v/>
      </c>
      <c r="F163" s="57">
        <f>IF($A163="","",'Hợp đồng'!P163)</f>
        <v/>
      </c>
      <c r="G163" s="41">
        <f>IF($A163="",0,IF($E163&lt;=0,0,IF($F163="",0,MAX(0,TODAY()-$F163))))</f>
        <v/>
      </c>
      <c r="H163" s="35">
        <f>IF($A163="","",IF($E163&lt;=0,"Đã thu đủ",IF($G163=0,"Trong hạn",IF($G163&lt;=30,"Quá hạn 1-30 ngày",IF($G163&lt;=60,"Quá hạn 31-60 ngày",IF($G163&lt;=90,"Quá hạn 61-90 ngày","Quá hạn trên 90 ngày"))))))</f>
        <v/>
      </c>
      <c r="I163" s="42">
        <f>IFERROR($D163/$C163,"")</f>
        <v/>
      </c>
    </row>
    <row r="164" ht="15" customHeight="1" s="30">
      <c r="A164" s="35">
        <f>IF('Hợp đồng'!A164="","",'Hợp đồng'!A164)</f>
        <v/>
      </c>
      <c r="B164" s="35">
        <f>IF($A164="","",'Hợp đồng'!E164)</f>
        <v/>
      </c>
      <c r="C164" s="41">
        <f>IF($A164="","",'Hợp đồng'!H164)</f>
        <v/>
      </c>
      <c r="D164" s="41">
        <f>IF($A164="","",SUMIFS('Thanh toán'!$E$4:$E$303,'Thanh toán'!$C$4:$C$303,$A164))</f>
        <v/>
      </c>
      <c r="E164" s="41">
        <f>IF($A164="","",$C164-$D164)</f>
        <v/>
      </c>
      <c r="F164" s="57">
        <f>IF($A164="","",'Hợp đồng'!P164)</f>
        <v/>
      </c>
      <c r="G164" s="41">
        <f>IF($A164="",0,IF($E164&lt;=0,0,IF($F164="",0,MAX(0,TODAY()-$F164))))</f>
        <v/>
      </c>
      <c r="H164" s="35">
        <f>IF($A164="","",IF($E164&lt;=0,"Đã thu đủ",IF($G164=0,"Trong hạn",IF($G164&lt;=30,"Quá hạn 1-30 ngày",IF($G164&lt;=60,"Quá hạn 31-60 ngày",IF($G164&lt;=90,"Quá hạn 61-90 ngày","Quá hạn trên 90 ngày"))))))</f>
        <v/>
      </c>
      <c r="I164" s="42">
        <f>IFERROR($D164/$C164,"")</f>
        <v/>
      </c>
    </row>
    <row r="165" ht="15" customHeight="1" s="30">
      <c r="A165" s="35">
        <f>IF('Hợp đồng'!A165="","",'Hợp đồng'!A165)</f>
        <v/>
      </c>
      <c r="B165" s="35">
        <f>IF($A165="","",'Hợp đồng'!E165)</f>
        <v/>
      </c>
      <c r="C165" s="41">
        <f>IF($A165="","",'Hợp đồng'!H165)</f>
        <v/>
      </c>
      <c r="D165" s="41">
        <f>IF($A165="","",SUMIFS('Thanh toán'!$E$4:$E$303,'Thanh toán'!$C$4:$C$303,$A165))</f>
        <v/>
      </c>
      <c r="E165" s="41">
        <f>IF($A165="","",$C165-$D165)</f>
        <v/>
      </c>
      <c r="F165" s="57">
        <f>IF($A165="","",'Hợp đồng'!P165)</f>
        <v/>
      </c>
      <c r="G165" s="41">
        <f>IF($A165="",0,IF($E165&lt;=0,0,IF($F165="",0,MAX(0,TODAY()-$F165))))</f>
        <v/>
      </c>
      <c r="H165" s="35">
        <f>IF($A165="","",IF($E165&lt;=0,"Đã thu đủ",IF($G165=0,"Trong hạn",IF($G165&lt;=30,"Quá hạn 1-30 ngày",IF($G165&lt;=60,"Quá hạn 31-60 ngày",IF($G165&lt;=90,"Quá hạn 61-90 ngày","Quá hạn trên 90 ngày"))))))</f>
        <v/>
      </c>
      <c r="I165" s="42">
        <f>IFERROR($D165/$C165,"")</f>
        <v/>
      </c>
    </row>
    <row r="166" ht="15" customHeight="1" s="30">
      <c r="A166" s="35">
        <f>IF('Hợp đồng'!A166="","",'Hợp đồng'!A166)</f>
        <v/>
      </c>
      <c r="B166" s="35">
        <f>IF($A166="","",'Hợp đồng'!E166)</f>
        <v/>
      </c>
      <c r="C166" s="41">
        <f>IF($A166="","",'Hợp đồng'!H166)</f>
        <v/>
      </c>
      <c r="D166" s="41">
        <f>IF($A166="","",SUMIFS('Thanh toán'!$E$4:$E$303,'Thanh toán'!$C$4:$C$303,$A166))</f>
        <v/>
      </c>
      <c r="E166" s="41">
        <f>IF($A166="","",$C166-$D166)</f>
        <v/>
      </c>
      <c r="F166" s="57">
        <f>IF($A166="","",'Hợp đồng'!P166)</f>
        <v/>
      </c>
      <c r="G166" s="41">
        <f>IF($A166="",0,IF($E166&lt;=0,0,IF($F166="",0,MAX(0,TODAY()-$F166))))</f>
        <v/>
      </c>
      <c r="H166" s="35">
        <f>IF($A166="","",IF($E166&lt;=0,"Đã thu đủ",IF($G166=0,"Trong hạn",IF($G166&lt;=30,"Quá hạn 1-30 ngày",IF($G166&lt;=60,"Quá hạn 31-60 ngày",IF($G166&lt;=90,"Quá hạn 61-90 ngày","Quá hạn trên 90 ngày"))))))</f>
        <v/>
      </c>
      <c r="I166" s="42">
        <f>IFERROR($D166/$C166,"")</f>
        <v/>
      </c>
    </row>
    <row r="167" ht="15" customHeight="1" s="30">
      <c r="A167" s="35">
        <f>IF('Hợp đồng'!A167="","",'Hợp đồng'!A167)</f>
        <v/>
      </c>
      <c r="B167" s="35">
        <f>IF($A167="","",'Hợp đồng'!E167)</f>
        <v/>
      </c>
      <c r="C167" s="41">
        <f>IF($A167="","",'Hợp đồng'!H167)</f>
        <v/>
      </c>
      <c r="D167" s="41">
        <f>IF($A167="","",SUMIFS('Thanh toán'!$E$4:$E$303,'Thanh toán'!$C$4:$C$303,$A167))</f>
        <v/>
      </c>
      <c r="E167" s="41">
        <f>IF($A167="","",$C167-$D167)</f>
        <v/>
      </c>
      <c r="F167" s="57">
        <f>IF($A167="","",'Hợp đồng'!P167)</f>
        <v/>
      </c>
      <c r="G167" s="41">
        <f>IF($A167="",0,IF($E167&lt;=0,0,IF($F167="",0,MAX(0,TODAY()-$F167))))</f>
        <v/>
      </c>
      <c r="H167" s="35">
        <f>IF($A167="","",IF($E167&lt;=0,"Đã thu đủ",IF($G167=0,"Trong hạn",IF($G167&lt;=30,"Quá hạn 1-30 ngày",IF($G167&lt;=60,"Quá hạn 31-60 ngày",IF($G167&lt;=90,"Quá hạn 61-90 ngày","Quá hạn trên 90 ngày"))))))</f>
        <v/>
      </c>
      <c r="I167" s="42">
        <f>IFERROR($D167/$C167,"")</f>
        <v/>
      </c>
    </row>
    <row r="168" ht="15" customHeight="1" s="30">
      <c r="A168" s="35">
        <f>IF('Hợp đồng'!A168="","",'Hợp đồng'!A168)</f>
        <v/>
      </c>
      <c r="B168" s="35">
        <f>IF($A168="","",'Hợp đồng'!E168)</f>
        <v/>
      </c>
      <c r="C168" s="41">
        <f>IF($A168="","",'Hợp đồng'!H168)</f>
        <v/>
      </c>
      <c r="D168" s="41">
        <f>IF($A168="","",SUMIFS('Thanh toán'!$E$4:$E$303,'Thanh toán'!$C$4:$C$303,$A168))</f>
        <v/>
      </c>
      <c r="E168" s="41">
        <f>IF($A168="","",$C168-$D168)</f>
        <v/>
      </c>
      <c r="F168" s="57">
        <f>IF($A168="","",'Hợp đồng'!P168)</f>
        <v/>
      </c>
      <c r="G168" s="41">
        <f>IF($A168="",0,IF($E168&lt;=0,0,IF($F168="",0,MAX(0,TODAY()-$F168))))</f>
        <v/>
      </c>
      <c r="H168" s="35">
        <f>IF($A168="","",IF($E168&lt;=0,"Đã thu đủ",IF($G168=0,"Trong hạn",IF($G168&lt;=30,"Quá hạn 1-30 ngày",IF($G168&lt;=60,"Quá hạn 31-60 ngày",IF($G168&lt;=90,"Quá hạn 61-90 ngày","Quá hạn trên 90 ngày"))))))</f>
        <v/>
      </c>
      <c r="I168" s="42">
        <f>IFERROR($D168/$C168,"")</f>
        <v/>
      </c>
    </row>
    <row r="169" ht="15" customHeight="1" s="30">
      <c r="A169" s="35">
        <f>IF('Hợp đồng'!A169="","",'Hợp đồng'!A169)</f>
        <v/>
      </c>
      <c r="B169" s="35">
        <f>IF($A169="","",'Hợp đồng'!E169)</f>
        <v/>
      </c>
      <c r="C169" s="41">
        <f>IF($A169="","",'Hợp đồng'!H169)</f>
        <v/>
      </c>
      <c r="D169" s="41">
        <f>IF($A169="","",SUMIFS('Thanh toán'!$E$4:$E$303,'Thanh toán'!$C$4:$C$303,$A169))</f>
        <v/>
      </c>
      <c r="E169" s="41">
        <f>IF($A169="","",$C169-$D169)</f>
        <v/>
      </c>
      <c r="F169" s="57">
        <f>IF($A169="","",'Hợp đồng'!P169)</f>
        <v/>
      </c>
      <c r="G169" s="41">
        <f>IF($A169="",0,IF($E169&lt;=0,0,IF($F169="",0,MAX(0,TODAY()-$F169))))</f>
        <v/>
      </c>
      <c r="H169" s="35">
        <f>IF($A169="","",IF($E169&lt;=0,"Đã thu đủ",IF($G169=0,"Trong hạn",IF($G169&lt;=30,"Quá hạn 1-30 ngày",IF($G169&lt;=60,"Quá hạn 31-60 ngày",IF($G169&lt;=90,"Quá hạn 61-90 ngày","Quá hạn trên 90 ngày"))))))</f>
        <v/>
      </c>
      <c r="I169" s="42">
        <f>IFERROR($D169/$C169,"")</f>
        <v/>
      </c>
    </row>
    <row r="170" ht="15" customHeight="1" s="30">
      <c r="A170" s="35">
        <f>IF('Hợp đồng'!A170="","",'Hợp đồng'!A170)</f>
        <v/>
      </c>
      <c r="B170" s="35">
        <f>IF($A170="","",'Hợp đồng'!E170)</f>
        <v/>
      </c>
      <c r="C170" s="41">
        <f>IF($A170="","",'Hợp đồng'!H170)</f>
        <v/>
      </c>
      <c r="D170" s="41">
        <f>IF($A170="","",SUMIFS('Thanh toán'!$E$4:$E$303,'Thanh toán'!$C$4:$C$303,$A170))</f>
        <v/>
      </c>
      <c r="E170" s="41">
        <f>IF($A170="","",$C170-$D170)</f>
        <v/>
      </c>
      <c r="F170" s="57">
        <f>IF($A170="","",'Hợp đồng'!P170)</f>
        <v/>
      </c>
      <c r="G170" s="41">
        <f>IF($A170="",0,IF($E170&lt;=0,0,IF($F170="",0,MAX(0,TODAY()-$F170))))</f>
        <v/>
      </c>
      <c r="H170" s="35">
        <f>IF($A170="","",IF($E170&lt;=0,"Đã thu đủ",IF($G170=0,"Trong hạn",IF($G170&lt;=30,"Quá hạn 1-30 ngày",IF($G170&lt;=60,"Quá hạn 31-60 ngày",IF($G170&lt;=90,"Quá hạn 61-90 ngày","Quá hạn trên 90 ngày"))))))</f>
        <v/>
      </c>
      <c r="I170" s="42">
        <f>IFERROR($D170/$C170,"")</f>
        <v/>
      </c>
    </row>
    <row r="171" ht="15" customHeight="1" s="30">
      <c r="A171" s="35">
        <f>IF('Hợp đồng'!A171="","",'Hợp đồng'!A171)</f>
        <v/>
      </c>
      <c r="B171" s="35">
        <f>IF($A171="","",'Hợp đồng'!E171)</f>
        <v/>
      </c>
      <c r="C171" s="41">
        <f>IF($A171="","",'Hợp đồng'!H171)</f>
        <v/>
      </c>
      <c r="D171" s="41">
        <f>IF($A171="","",SUMIFS('Thanh toán'!$E$4:$E$303,'Thanh toán'!$C$4:$C$303,$A171))</f>
        <v/>
      </c>
      <c r="E171" s="41">
        <f>IF($A171="","",$C171-$D171)</f>
        <v/>
      </c>
      <c r="F171" s="57">
        <f>IF($A171="","",'Hợp đồng'!P171)</f>
        <v/>
      </c>
      <c r="G171" s="41">
        <f>IF($A171="",0,IF($E171&lt;=0,0,IF($F171="",0,MAX(0,TODAY()-$F171))))</f>
        <v/>
      </c>
      <c r="H171" s="35">
        <f>IF($A171="","",IF($E171&lt;=0,"Đã thu đủ",IF($G171=0,"Trong hạn",IF($G171&lt;=30,"Quá hạn 1-30 ngày",IF($G171&lt;=60,"Quá hạn 31-60 ngày",IF($G171&lt;=90,"Quá hạn 61-90 ngày","Quá hạn trên 90 ngày"))))))</f>
        <v/>
      </c>
      <c r="I171" s="42">
        <f>IFERROR($D171/$C171,"")</f>
        <v/>
      </c>
    </row>
    <row r="172" ht="15" customHeight="1" s="30">
      <c r="A172" s="35">
        <f>IF('Hợp đồng'!A172="","",'Hợp đồng'!A172)</f>
        <v/>
      </c>
      <c r="B172" s="35">
        <f>IF($A172="","",'Hợp đồng'!E172)</f>
        <v/>
      </c>
      <c r="C172" s="41">
        <f>IF($A172="","",'Hợp đồng'!H172)</f>
        <v/>
      </c>
      <c r="D172" s="41">
        <f>IF($A172="","",SUMIFS('Thanh toán'!$E$4:$E$303,'Thanh toán'!$C$4:$C$303,$A172))</f>
        <v/>
      </c>
      <c r="E172" s="41">
        <f>IF($A172="","",$C172-$D172)</f>
        <v/>
      </c>
      <c r="F172" s="57">
        <f>IF($A172="","",'Hợp đồng'!P172)</f>
        <v/>
      </c>
      <c r="G172" s="41">
        <f>IF($A172="",0,IF($E172&lt;=0,0,IF($F172="",0,MAX(0,TODAY()-$F172))))</f>
        <v/>
      </c>
      <c r="H172" s="35">
        <f>IF($A172="","",IF($E172&lt;=0,"Đã thu đủ",IF($G172=0,"Trong hạn",IF($G172&lt;=30,"Quá hạn 1-30 ngày",IF($G172&lt;=60,"Quá hạn 31-60 ngày",IF($G172&lt;=90,"Quá hạn 61-90 ngày","Quá hạn trên 90 ngày"))))))</f>
        <v/>
      </c>
      <c r="I172" s="42">
        <f>IFERROR($D172/$C172,"")</f>
        <v/>
      </c>
    </row>
    <row r="173" ht="15" customHeight="1" s="30">
      <c r="A173" s="35">
        <f>IF('Hợp đồng'!A173="","",'Hợp đồng'!A173)</f>
        <v/>
      </c>
      <c r="B173" s="35">
        <f>IF($A173="","",'Hợp đồng'!E173)</f>
        <v/>
      </c>
      <c r="C173" s="41">
        <f>IF($A173="","",'Hợp đồng'!H173)</f>
        <v/>
      </c>
      <c r="D173" s="41">
        <f>IF($A173="","",SUMIFS('Thanh toán'!$E$4:$E$303,'Thanh toán'!$C$4:$C$303,$A173))</f>
        <v/>
      </c>
      <c r="E173" s="41">
        <f>IF($A173="","",$C173-$D173)</f>
        <v/>
      </c>
      <c r="F173" s="57">
        <f>IF($A173="","",'Hợp đồng'!P173)</f>
        <v/>
      </c>
      <c r="G173" s="41">
        <f>IF($A173="",0,IF($E173&lt;=0,0,IF($F173="",0,MAX(0,TODAY()-$F173))))</f>
        <v/>
      </c>
      <c r="H173" s="35">
        <f>IF($A173="","",IF($E173&lt;=0,"Đã thu đủ",IF($G173=0,"Trong hạn",IF($G173&lt;=30,"Quá hạn 1-30 ngày",IF($G173&lt;=60,"Quá hạn 31-60 ngày",IF($G173&lt;=90,"Quá hạn 61-90 ngày","Quá hạn trên 90 ngày"))))))</f>
        <v/>
      </c>
      <c r="I173" s="42">
        <f>IFERROR($D173/$C173,"")</f>
        <v/>
      </c>
    </row>
    <row r="174" ht="15" customHeight="1" s="30">
      <c r="A174" s="35">
        <f>IF('Hợp đồng'!A174="","",'Hợp đồng'!A174)</f>
        <v/>
      </c>
      <c r="B174" s="35">
        <f>IF($A174="","",'Hợp đồng'!E174)</f>
        <v/>
      </c>
      <c r="C174" s="41">
        <f>IF($A174="","",'Hợp đồng'!H174)</f>
        <v/>
      </c>
      <c r="D174" s="41">
        <f>IF($A174="","",SUMIFS('Thanh toán'!$E$4:$E$303,'Thanh toán'!$C$4:$C$303,$A174))</f>
        <v/>
      </c>
      <c r="E174" s="41">
        <f>IF($A174="","",$C174-$D174)</f>
        <v/>
      </c>
      <c r="F174" s="57">
        <f>IF($A174="","",'Hợp đồng'!P174)</f>
        <v/>
      </c>
      <c r="G174" s="41">
        <f>IF($A174="",0,IF($E174&lt;=0,0,IF($F174="",0,MAX(0,TODAY()-$F174))))</f>
        <v/>
      </c>
      <c r="H174" s="35">
        <f>IF($A174="","",IF($E174&lt;=0,"Đã thu đủ",IF($G174=0,"Trong hạn",IF($G174&lt;=30,"Quá hạn 1-30 ngày",IF($G174&lt;=60,"Quá hạn 31-60 ngày",IF($G174&lt;=90,"Quá hạn 61-90 ngày","Quá hạn trên 90 ngày"))))))</f>
        <v/>
      </c>
      <c r="I174" s="42">
        <f>IFERROR($D174/$C174,"")</f>
        <v/>
      </c>
    </row>
    <row r="175" ht="15" customHeight="1" s="30">
      <c r="A175" s="35">
        <f>IF('Hợp đồng'!A175="","",'Hợp đồng'!A175)</f>
        <v/>
      </c>
      <c r="B175" s="35">
        <f>IF($A175="","",'Hợp đồng'!E175)</f>
        <v/>
      </c>
      <c r="C175" s="41">
        <f>IF($A175="","",'Hợp đồng'!H175)</f>
        <v/>
      </c>
      <c r="D175" s="41">
        <f>IF($A175="","",SUMIFS('Thanh toán'!$E$4:$E$303,'Thanh toán'!$C$4:$C$303,$A175))</f>
        <v/>
      </c>
      <c r="E175" s="41">
        <f>IF($A175="","",$C175-$D175)</f>
        <v/>
      </c>
      <c r="F175" s="57">
        <f>IF($A175="","",'Hợp đồng'!P175)</f>
        <v/>
      </c>
      <c r="G175" s="41">
        <f>IF($A175="",0,IF($E175&lt;=0,0,IF($F175="",0,MAX(0,TODAY()-$F175))))</f>
        <v/>
      </c>
      <c r="H175" s="35">
        <f>IF($A175="","",IF($E175&lt;=0,"Đã thu đủ",IF($G175=0,"Trong hạn",IF($G175&lt;=30,"Quá hạn 1-30 ngày",IF($G175&lt;=60,"Quá hạn 31-60 ngày",IF($G175&lt;=90,"Quá hạn 61-90 ngày","Quá hạn trên 90 ngày"))))))</f>
        <v/>
      </c>
      <c r="I175" s="42">
        <f>IFERROR($D175/$C175,"")</f>
        <v/>
      </c>
    </row>
    <row r="176" ht="15" customHeight="1" s="30">
      <c r="A176" s="35">
        <f>IF('Hợp đồng'!A176="","",'Hợp đồng'!A176)</f>
        <v/>
      </c>
      <c r="B176" s="35">
        <f>IF($A176="","",'Hợp đồng'!E176)</f>
        <v/>
      </c>
      <c r="C176" s="41">
        <f>IF($A176="","",'Hợp đồng'!H176)</f>
        <v/>
      </c>
      <c r="D176" s="41">
        <f>IF($A176="","",SUMIFS('Thanh toán'!$E$4:$E$303,'Thanh toán'!$C$4:$C$303,$A176))</f>
        <v/>
      </c>
      <c r="E176" s="41">
        <f>IF($A176="","",$C176-$D176)</f>
        <v/>
      </c>
      <c r="F176" s="57">
        <f>IF($A176="","",'Hợp đồng'!P176)</f>
        <v/>
      </c>
      <c r="G176" s="41">
        <f>IF($A176="",0,IF($E176&lt;=0,0,IF($F176="",0,MAX(0,TODAY()-$F176))))</f>
        <v/>
      </c>
      <c r="H176" s="35">
        <f>IF($A176="","",IF($E176&lt;=0,"Đã thu đủ",IF($G176=0,"Trong hạn",IF($G176&lt;=30,"Quá hạn 1-30 ngày",IF($G176&lt;=60,"Quá hạn 31-60 ngày",IF($G176&lt;=90,"Quá hạn 61-90 ngày","Quá hạn trên 90 ngày"))))))</f>
        <v/>
      </c>
      <c r="I176" s="42">
        <f>IFERROR($D176/$C176,"")</f>
        <v/>
      </c>
    </row>
    <row r="177" ht="15" customHeight="1" s="30">
      <c r="A177" s="35">
        <f>IF('Hợp đồng'!A177="","",'Hợp đồng'!A177)</f>
        <v/>
      </c>
      <c r="B177" s="35">
        <f>IF($A177="","",'Hợp đồng'!E177)</f>
        <v/>
      </c>
      <c r="C177" s="41">
        <f>IF($A177="","",'Hợp đồng'!H177)</f>
        <v/>
      </c>
      <c r="D177" s="41">
        <f>IF($A177="","",SUMIFS('Thanh toán'!$E$4:$E$303,'Thanh toán'!$C$4:$C$303,$A177))</f>
        <v/>
      </c>
      <c r="E177" s="41">
        <f>IF($A177="","",$C177-$D177)</f>
        <v/>
      </c>
      <c r="F177" s="57">
        <f>IF($A177="","",'Hợp đồng'!P177)</f>
        <v/>
      </c>
      <c r="G177" s="41">
        <f>IF($A177="",0,IF($E177&lt;=0,0,IF($F177="",0,MAX(0,TODAY()-$F177))))</f>
        <v/>
      </c>
      <c r="H177" s="35">
        <f>IF($A177="","",IF($E177&lt;=0,"Đã thu đủ",IF($G177=0,"Trong hạn",IF($G177&lt;=30,"Quá hạn 1-30 ngày",IF($G177&lt;=60,"Quá hạn 31-60 ngày",IF($G177&lt;=90,"Quá hạn 61-90 ngày","Quá hạn trên 90 ngày"))))))</f>
        <v/>
      </c>
      <c r="I177" s="42">
        <f>IFERROR($D177/$C177,"")</f>
        <v/>
      </c>
    </row>
    <row r="178" ht="15" customHeight="1" s="30">
      <c r="A178" s="35">
        <f>IF('Hợp đồng'!A178="","",'Hợp đồng'!A178)</f>
        <v/>
      </c>
      <c r="B178" s="35">
        <f>IF($A178="","",'Hợp đồng'!E178)</f>
        <v/>
      </c>
      <c r="C178" s="41">
        <f>IF($A178="","",'Hợp đồng'!H178)</f>
        <v/>
      </c>
      <c r="D178" s="41">
        <f>IF($A178="","",SUMIFS('Thanh toán'!$E$4:$E$303,'Thanh toán'!$C$4:$C$303,$A178))</f>
        <v/>
      </c>
      <c r="E178" s="41">
        <f>IF($A178="","",$C178-$D178)</f>
        <v/>
      </c>
      <c r="F178" s="57">
        <f>IF($A178="","",'Hợp đồng'!P178)</f>
        <v/>
      </c>
      <c r="G178" s="41">
        <f>IF($A178="",0,IF($E178&lt;=0,0,IF($F178="",0,MAX(0,TODAY()-$F178))))</f>
        <v/>
      </c>
      <c r="H178" s="35">
        <f>IF($A178="","",IF($E178&lt;=0,"Đã thu đủ",IF($G178=0,"Trong hạn",IF($G178&lt;=30,"Quá hạn 1-30 ngày",IF($G178&lt;=60,"Quá hạn 31-60 ngày",IF($G178&lt;=90,"Quá hạn 61-90 ngày","Quá hạn trên 90 ngày"))))))</f>
        <v/>
      </c>
      <c r="I178" s="42">
        <f>IFERROR($D178/$C178,"")</f>
        <v/>
      </c>
    </row>
    <row r="179" ht="15" customHeight="1" s="30">
      <c r="A179" s="35">
        <f>IF('Hợp đồng'!A179="","",'Hợp đồng'!A179)</f>
        <v/>
      </c>
      <c r="B179" s="35">
        <f>IF($A179="","",'Hợp đồng'!E179)</f>
        <v/>
      </c>
      <c r="C179" s="41">
        <f>IF($A179="","",'Hợp đồng'!H179)</f>
        <v/>
      </c>
      <c r="D179" s="41">
        <f>IF($A179="","",SUMIFS('Thanh toán'!$E$4:$E$303,'Thanh toán'!$C$4:$C$303,$A179))</f>
        <v/>
      </c>
      <c r="E179" s="41">
        <f>IF($A179="","",$C179-$D179)</f>
        <v/>
      </c>
      <c r="F179" s="57">
        <f>IF($A179="","",'Hợp đồng'!P179)</f>
        <v/>
      </c>
      <c r="G179" s="41">
        <f>IF($A179="",0,IF($E179&lt;=0,0,IF($F179="",0,MAX(0,TODAY()-$F179))))</f>
        <v/>
      </c>
      <c r="H179" s="35">
        <f>IF($A179="","",IF($E179&lt;=0,"Đã thu đủ",IF($G179=0,"Trong hạn",IF($G179&lt;=30,"Quá hạn 1-30 ngày",IF($G179&lt;=60,"Quá hạn 31-60 ngày",IF($G179&lt;=90,"Quá hạn 61-90 ngày","Quá hạn trên 90 ngày"))))))</f>
        <v/>
      </c>
      <c r="I179" s="42">
        <f>IFERROR($D179/$C179,"")</f>
        <v/>
      </c>
    </row>
    <row r="180" ht="15" customHeight="1" s="30">
      <c r="A180" s="35">
        <f>IF('Hợp đồng'!A180="","",'Hợp đồng'!A180)</f>
        <v/>
      </c>
      <c r="B180" s="35">
        <f>IF($A180="","",'Hợp đồng'!E180)</f>
        <v/>
      </c>
      <c r="C180" s="41">
        <f>IF($A180="","",'Hợp đồng'!H180)</f>
        <v/>
      </c>
      <c r="D180" s="41">
        <f>IF($A180="","",SUMIFS('Thanh toán'!$E$4:$E$303,'Thanh toán'!$C$4:$C$303,$A180))</f>
        <v/>
      </c>
      <c r="E180" s="41">
        <f>IF($A180="","",$C180-$D180)</f>
        <v/>
      </c>
      <c r="F180" s="57">
        <f>IF($A180="","",'Hợp đồng'!P180)</f>
        <v/>
      </c>
      <c r="G180" s="41">
        <f>IF($A180="",0,IF($E180&lt;=0,0,IF($F180="",0,MAX(0,TODAY()-$F180))))</f>
        <v/>
      </c>
      <c r="H180" s="35">
        <f>IF($A180="","",IF($E180&lt;=0,"Đã thu đủ",IF($G180=0,"Trong hạn",IF($G180&lt;=30,"Quá hạn 1-30 ngày",IF($G180&lt;=60,"Quá hạn 31-60 ngày",IF($G180&lt;=90,"Quá hạn 61-90 ngày","Quá hạn trên 90 ngày"))))))</f>
        <v/>
      </c>
      <c r="I180" s="42">
        <f>IFERROR($D180/$C180,"")</f>
        <v/>
      </c>
    </row>
    <row r="181" ht="15" customHeight="1" s="30">
      <c r="A181" s="35">
        <f>IF('Hợp đồng'!A181="","",'Hợp đồng'!A181)</f>
        <v/>
      </c>
      <c r="B181" s="35">
        <f>IF($A181="","",'Hợp đồng'!E181)</f>
        <v/>
      </c>
      <c r="C181" s="41">
        <f>IF($A181="","",'Hợp đồng'!H181)</f>
        <v/>
      </c>
      <c r="D181" s="41">
        <f>IF($A181="","",SUMIFS('Thanh toán'!$E$4:$E$303,'Thanh toán'!$C$4:$C$303,$A181))</f>
        <v/>
      </c>
      <c r="E181" s="41">
        <f>IF($A181="","",$C181-$D181)</f>
        <v/>
      </c>
      <c r="F181" s="57">
        <f>IF($A181="","",'Hợp đồng'!P181)</f>
        <v/>
      </c>
      <c r="G181" s="41">
        <f>IF($A181="",0,IF($E181&lt;=0,0,IF($F181="",0,MAX(0,TODAY()-$F181))))</f>
        <v/>
      </c>
      <c r="H181" s="35">
        <f>IF($A181="","",IF($E181&lt;=0,"Đã thu đủ",IF($G181=0,"Trong hạn",IF($G181&lt;=30,"Quá hạn 1-30 ngày",IF($G181&lt;=60,"Quá hạn 31-60 ngày",IF($G181&lt;=90,"Quá hạn 61-90 ngày","Quá hạn trên 90 ngày"))))))</f>
        <v/>
      </c>
      <c r="I181" s="42">
        <f>IFERROR($D181/$C181,"")</f>
        <v/>
      </c>
    </row>
    <row r="182" ht="15" customHeight="1" s="30">
      <c r="A182" s="35">
        <f>IF('Hợp đồng'!A182="","",'Hợp đồng'!A182)</f>
        <v/>
      </c>
      <c r="B182" s="35">
        <f>IF($A182="","",'Hợp đồng'!E182)</f>
        <v/>
      </c>
      <c r="C182" s="41">
        <f>IF($A182="","",'Hợp đồng'!H182)</f>
        <v/>
      </c>
      <c r="D182" s="41">
        <f>IF($A182="","",SUMIFS('Thanh toán'!$E$4:$E$303,'Thanh toán'!$C$4:$C$303,$A182))</f>
        <v/>
      </c>
      <c r="E182" s="41">
        <f>IF($A182="","",$C182-$D182)</f>
        <v/>
      </c>
      <c r="F182" s="57">
        <f>IF($A182="","",'Hợp đồng'!P182)</f>
        <v/>
      </c>
      <c r="G182" s="41">
        <f>IF($A182="",0,IF($E182&lt;=0,0,IF($F182="",0,MAX(0,TODAY()-$F182))))</f>
        <v/>
      </c>
      <c r="H182" s="35">
        <f>IF($A182="","",IF($E182&lt;=0,"Đã thu đủ",IF($G182=0,"Trong hạn",IF($G182&lt;=30,"Quá hạn 1-30 ngày",IF($G182&lt;=60,"Quá hạn 31-60 ngày",IF($G182&lt;=90,"Quá hạn 61-90 ngày","Quá hạn trên 90 ngày"))))))</f>
        <v/>
      </c>
      <c r="I182" s="42">
        <f>IFERROR($D182/$C182,"")</f>
        <v/>
      </c>
    </row>
    <row r="183" ht="15" customHeight="1" s="30">
      <c r="A183" s="35">
        <f>IF('Hợp đồng'!A183="","",'Hợp đồng'!A183)</f>
        <v/>
      </c>
      <c r="B183" s="35">
        <f>IF($A183="","",'Hợp đồng'!E183)</f>
        <v/>
      </c>
      <c r="C183" s="41">
        <f>IF($A183="","",'Hợp đồng'!H183)</f>
        <v/>
      </c>
      <c r="D183" s="41">
        <f>IF($A183="","",SUMIFS('Thanh toán'!$E$4:$E$303,'Thanh toán'!$C$4:$C$303,$A183))</f>
        <v/>
      </c>
      <c r="E183" s="41">
        <f>IF($A183="","",$C183-$D183)</f>
        <v/>
      </c>
      <c r="F183" s="57">
        <f>IF($A183="","",'Hợp đồng'!P183)</f>
        <v/>
      </c>
      <c r="G183" s="41">
        <f>IF($A183="",0,IF($E183&lt;=0,0,IF($F183="",0,MAX(0,TODAY()-$F183))))</f>
        <v/>
      </c>
      <c r="H183" s="35">
        <f>IF($A183="","",IF($E183&lt;=0,"Đã thu đủ",IF($G183=0,"Trong hạn",IF($G183&lt;=30,"Quá hạn 1-30 ngày",IF($G183&lt;=60,"Quá hạn 31-60 ngày",IF($G183&lt;=90,"Quá hạn 61-90 ngày","Quá hạn trên 90 ngày"))))))</f>
        <v/>
      </c>
      <c r="I183" s="42">
        <f>IFERROR($D183/$C183,"")</f>
        <v/>
      </c>
    </row>
    <row r="184" ht="15" customHeight="1" s="30">
      <c r="A184" s="35">
        <f>IF('Hợp đồng'!A184="","",'Hợp đồng'!A184)</f>
        <v/>
      </c>
      <c r="B184" s="35">
        <f>IF($A184="","",'Hợp đồng'!E184)</f>
        <v/>
      </c>
      <c r="C184" s="41">
        <f>IF($A184="","",'Hợp đồng'!H184)</f>
        <v/>
      </c>
      <c r="D184" s="41">
        <f>IF($A184="","",SUMIFS('Thanh toán'!$E$4:$E$303,'Thanh toán'!$C$4:$C$303,$A184))</f>
        <v/>
      </c>
      <c r="E184" s="41">
        <f>IF($A184="","",$C184-$D184)</f>
        <v/>
      </c>
      <c r="F184" s="57">
        <f>IF($A184="","",'Hợp đồng'!P184)</f>
        <v/>
      </c>
      <c r="G184" s="41">
        <f>IF($A184="",0,IF($E184&lt;=0,0,IF($F184="",0,MAX(0,TODAY()-$F184))))</f>
        <v/>
      </c>
      <c r="H184" s="35">
        <f>IF($A184="","",IF($E184&lt;=0,"Đã thu đủ",IF($G184=0,"Trong hạn",IF($G184&lt;=30,"Quá hạn 1-30 ngày",IF($G184&lt;=60,"Quá hạn 31-60 ngày",IF($G184&lt;=90,"Quá hạn 61-90 ngày","Quá hạn trên 90 ngày"))))))</f>
        <v/>
      </c>
      <c r="I184" s="42">
        <f>IFERROR($D184/$C184,"")</f>
        <v/>
      </c>
    </row>
    <row r="185" ht="15" customHeight="1" s="30">
      <c r="A185" s="35">
        <f>IF('Hợp đồng'!A185="","",'Hợp đồng'!A185)</f>
        <v/>
      </c>
      <c r="B185" s="35">
        <f>IF($A185="","",'Hợp đồng'!E185)</f>
        <v/>
      </c>
      <c r="C185" s="41">
        <f>IF($A185="","",'Hợp đồng'!H185)</f>
        <v/>
      </c>
      <c r="D185" s="41">
        <f>IF($A185="","",SUMIFS('Thanh toán'!$E$4:$E$303,'Thanh toán'!$C$4:$C$303,$A185))</f>
        <v/>
      </c>
      <c r="E185" s="41">
        <f>IF($A185="","",$C185-$D185)</f>
        <v/>
      </c>
      <c r="F185" s="57">
        <f>IF($A185="","",'Hợp đồng'!P185)</f>
        <v/>
      </c>
      <c r="G185" s="41">
        <f>IF($A185="",0,IF($E185&lt;=0,0,IF($F185="",0,MAX(0,TODAY()-$F185))))</f>
        <v/>
      </c>
      <c r="H185" s="35">
        <f>IF($A185="","",IF($E185&lt;=0,"Đã thu đủ",IF($G185=0,"Trong hạn",IF($G185&lt;=30,"Quá hạn 1-30 ngày",IF($G185&lt;=60,"Quá hạn 31-60 ngày",IF($G185&lt;=90,"Quá hạn 61-90 ngày","Quá hạn trên 90 ngày"))))))</f>
        <v/>
      </c>
      <c r="I185" s="42">
        <f>IFERROR($D185/$C185,"")</f>
        <v/>
      </c>
    </row>
    <row r="186" ht="15" customHeight="1" s="30">
      <c r="A186" s="35">
        <f>IF('Hợp đồng'!A186="","",'Hợp đồng'!A186)</f>
        <v/>
      </c>
      <c r="B186" s="35">
        <f>IF($A186="","",'Hợp đồng'!E186)</f>
        <v/>
      </c>
      <c r="C186" s="41">
        <f>IF($A186="","",'Hợp đồng'!H186)</f>
        <v/>
      </c>
      <c r="D186" s="41">
        <f>IF($A186="","",SUMIFS('Thanh toán'!$E$4:$E$303,'Thanh toán'!$C$4:$C$303,$A186))</f>
        <v/>
      </c>
      <c r="E186" s="41">
        <f>IF($A186="","",$C186-$D186)</f>
        <v/>
      </c>
      <c r="F186" s="57">
        <f>IF($A186="","",'Hợp đồng'!P186)</f>
        <v/>
      </c>
      <c r="G186" s="41">
        <f>IF($A186="",0,IF($E186&lt;=0,0,IF($F186="",0,MAX(0,TODAY()-$F186))))</f>
        <v/>
      </c>
      <c r="H186" s="35">
        <f>IF($A186="","",IF($E186&lt;=0,"Đã thu đủ",IF($G186=0,"Trong hạn",IF($G186&lt;=30,"Quá hạn 1-30 ngày",IF($G186&lt;=60,"Quá hạn 31-60 ngày",IF($G186&lt;=90,"Quá hạn 61-90 ngày","Quá hạn trên 90 ngày"))))))</f>
        <v/>
      </c>
      <c r="I186" s="42">
        <f>IFERROR($D186/$C186,"")</f>
        <v/>
      </c>
    </row>
    <row r="187" ht="15" customHeight="1" s="30">
      <c r="A187" s="35">
        <f>IF('Hợp đồng'!A187="","",'Hợp đồng'!A187)</f>
        <v/>
      </c>
      <c r="B187" s="35">
        <f>IF($A187="","",'Hợp đồng'!E187)</f>
        <v/>
      </c>
      <c r="C187" s="41">
        <f>IF($A187="","",'Hợp đồng'!H187)</f>
        <v/>
      </c>
      <c r="D187" s="41">
        <f>IF($A187="","",SUMIFS('Thanh toán'!$E$4:$E$303,'Thanh toán'!$C$4:$C$303,$A187))</f>
        <v/>
      </c>
      <c r="E187" s="41">
        <f>IF($A187="","",$C187-$D187)</f>
        <v/>
      </c>
      <c r="F187" s="57">
        <f>IF($A187="","",'Hợp đồng'!P187)</f>
        <v/>
      </c>
      <c r="G187" s="41">
        <f>IF($A187="",0,IF($E187&lt;=0,0,IF($F187="",0,MAX(0,TODAY()-$F187))))</f>
        <v/>
      </c>
      <c r="H187" s="35">
        <f>IF($A187="","",IF($E187&lt;=0,"Đã thu đủ",IF($G187=0,"Trong hạn",IF($G187&lt;=30,"Quá hạn 1-30 ngày",IF($G187&lt;=60,"Quá hạn 31-60 ngày",IF($G187&lt;=90,"Quá hạn 61-90 ngày","Quá hạn trên 90 ngày"))))))</f>
        <v/>
      </c>
      <c r="I187" s="42">
        <f>IFERROR($D187/$C187,"")</f>
        <v/>
      </c>
    </row>
    <row r="188" ht="15" customHeight="1" s="30">
      <c r="A188" s="35">
        <f>IF('Hợp đồng'!A188="","",'Hợp đồng'!A188)</f>
        <v/>
      </c>
      <c r="B188" s="35">
        <f>IF($A188="","",'Hợp đồng'!E188)</f>
        <v/>
      </c>
      <c r="C188" s="41">
        <f>IF($A188="","",'Hợp đồng'!H188)</f>
        <v/>
      </c>
      <c r="D188" s="41">
        <f>IF($A188="","",SUMIFS('Thanh toán'!$E$4:$E$303,'Thanh toán'!$C$4:$C$303,$A188))</f>
        <v/>
      </c>
      <c r="E188" s="41">
        <f>IF($A188="","",$C188-$D188)</f>
        <v/>
      </c>
      <c r="F188" s="57">
        <f>IF($A188="","",'Hợp đồng'!P188)</f>
        <v/>
      </c>
      <c r="G188" s="41">
        <f>IF($A188="",0,IF($E188&lt;=0,0,IF($F188="",0,MAX(0,TODAY()-$F188))))</f>
        <v/>
      </c>
      <c r="H188" s="35">
        <f>IF($A188="","",IF($E188&lt;=0,"Đã thu đủ",IF($G188=0,"Trong hạn",IF($G188&lt;=30,"Quá hạn 1-30 ngày",IF($G188&lt;=60,"Quá hạn 31-60 ngày",IF($G188&lt;=90,"Quá hạn 61-90 ngày","Quá hạn trên 90 ngày"))))))</f>
        <v/>
      </c>
      <c r="I188" s="42">
        <f>IFERROR($D188/$C188,"")</f>
        <v/>
      </c>
    </row>
    <row r="189" ht="15" customHeight="1" s="30">
      <c r="A189" s="35">
        <f>IF('Hợp đồng'!A189="","",'Hợp đồng'!A189)</f>
        <v/>
      </c>
      <c r="B189" s="35">
        <f>IF($A189="","",'Hợp đồng'!E189)</f>
        <v/>
      </c>
      <c r="C189" s="41">
        <f>IF($A189="","",'Hợp đồng'!H189)</f>
        <v/>
      </c>
      <c r="D189" s="41">
        <f>IF($A189="","",SUMIFS('Thanh toán'!$E$4:$E$303,'Thanh toán'!$C$4:$C$303,$A189))</f>
        <v/>
      </c>
      <c r="E189" s="41">
        <f>IF($A189="","",$C189-$D189)</f>
        <v/>
      </c>
      <c r="F189" s="57">
        <f>IF($A189="","",'Hợp đồng'!P189)</f>
        <v/>
      </c>
      <c r="G189" s="41">
        <f>IF($A189="",0,IF($E189&lt;=0,0,IF($F189="",0,MAX(0,TODAY()-$F189))))</f>
        <v/>
      </c>
      <c r="H189" s="35">
        <f>IF($A189="","",IF($E189&lt;=0,"Đã thu đủ",IF($G189=0,"Trong hạn",IF($G189&lt;=30,"Quá hạn 1-30 ngày",IF($G189&lt;=60,"Quá hạn 31-60 ngày",IF($G189&lt;=90,"Quá hạn 61-90 ngày","Quá hạn trên 90 ngày"))))))</f>
        <v/>
      </c>
      <c r="I189" s="42">
        <f>IFERROR($D189/$C189,"")</f>
        <v/>
      </c>
    </row>
    <row r="190" ht="15" customHeight="1" s="30">
      <c r="A190" s="35">
        <f>IF('Hợp đồng'!A190="","",'Hợp đồng'!A190)</f>
        <v/>
      </c>
      <c r="B190" s="35">
        <f>IF($A190="","",'Hợp đồng'!E190)</f>
        <v/>
      </c>
      <c r="C190" s="41">
        <f>IF($A190="","",'Hợp đồng'!H190)</f>
        <v/>
      </c>
      <c r="D190" s="41">
        <f>IF($A190="","",SUMIFS('Thanh toán'!$E$4:$E$303,'Thanh toán'!$C$4:$C$303,$A190))</f>
        <v/>
      </c>
      <c r="E190" s="41">
        <f>IF($A190="","",$C190-$D190)</f>
        <v/>
      </c>
      <c r="F190" s="57">
        <f>IF($A190="","",'Hợp đồng'!P190)</f>
        <v/>
      </c>
      <c r="G190" s="41">
        <f>IF($A190="",0,IF($E190&lt;=0,0,IF($F190="",0,MAX(0,TODAY()-$F190))))</f>
        <v/>
      </c>
      <c r="H190" s="35">
        <f>IF($A190="","",IF($E190&lt;=0,"Đã thu đủ",IF($G190=0,"Trong hạn",IF($G190&lt;=30,"Quá hạn 1-30 ngày",IF($G190&lt;=60,"Quá hạn 31-60 ngày",IF($G190&lt;=90,"Quá hạn 61-90 ngày","Quá hạn trên 90 ngày"))))))</f>
        <v/>
      </c>
      <c r="I190" s="42">
        <f>IFERROR($D190/$C190,"")</f>
        <v/>
      </c>
    </row>
    <row r="191" ht="15" customHeight="1" s="30">
      <c r="A191" s="35">
        <f>IF('Hợp đồng'!A191="","",'Hợp đồng'!A191)</f>
        <v/>
      </c>
      <c r="B191" s="35">
        <f>IF($A191="","",'Hợp đồng'!E191)</f>
        <v/>
      </c>
      <c r="C191" s="41">
        <f>IF($A191="","",'Hợp đồng'!H191)</f>
        <v/>
      </c>
      <c r="D191" s="41">
        <f>IF($A191="","",SUMIFS('Thanh toán'!$E$4:$E$303,'Thanh toán'!$C$4:$C$303,$A191))</f>
        <v/>
      </c>
      <c r="E191" s="41">
        <f>IF($A191="","",$C191-$D191)</f>
        <v/>
      </c>
      <c r="F191" s="57">
        <f>IF($A191="","",'Hợp đồng'!P191)</f>
        <v/>
      </c>
      <c r="G191" s="41">
        <f>IF($A191="",0,IF($E191&lt;=0,0,IF($F191="",0,MAX(0,TODAY()-$F191))))</f>
        <v/>
      </c>
      <c r="H191" s="35">
        <f>IF($A191="","",IF($E191&lt;=0,"Đã thu đủ",IF($G191=0,"Trong hạn",IF($G191&lt;=30,"Quá hạn 1-30 ngày",IF($G191&lt;=60,"Quá hạn 31-60 ngày",IF($G191&lt;=90,"Quá hạn 61-90 ngày","Quá hạn trên 90 ngày"))))))</f>
        <v/>
      </c>
      <c r="I191" s="42">
        <f>IFERROR($D191/$C191,"")</f>
        <v/>
      </c>
    </row>
    <row r="192" ht="15" customHeight="1" s="30">
      <c r="A192" s="35">
        <f>IF('Hợp đồng'!A192="","",'Hợp đồng'!A192)</f>
        <v/>
      </c>
      <c r="B192" s="35">
        <f>IF($A192="","",'Hợp đồng'!E192)</f>
        <v/>
      </c>
      <c r="C192" s="41">
        <f>IF($A192="","",'Hợp đồng'!H192)</f>
        <v/>
      </c>
      <c r="D192" s="41">
        <f>IF($A192="","",SUMIFS('Thanh toán'!$E$4:$E$303,'Thanh toán'!$C$4:$C$303,$A192))</f>
        <v/>
      </c>
      <c r="E192" s="41">
        <f>IF($A192="","",$C192-$D192)</f>
        <v/>
      </c>
      <c r="F192" s="57">
        <f>IF($A192="","",'Hợp đồng'!P192)</f>
        <v/>
      </c>
      <c r="G192" s="41">
        <f>IF($A192="",0,IF($E192&lt;=0,0,IF($F192="",0,MAX(0,TODAY()-$F192))))</f>
        <v/>
      </c>
      <c r="H192" s="35">
        <f>IF($A192="","",IF($E192&lt;=0,"Đã thu đủ",IF($G192=0,"Trong hạn",IF($G192&lt;=30,"Quá hạn 1-30 ngày",IF($G192&lt;=60,"Quá hạn 31-60 ngày",IF($G192&lt;=90,"Quá hạn 61-90 ngày","Quá hạn trên 90 ngày"))))))</f>
        <v/>
      </c>
      <c r="I192" s="42">
        <f>IFERROR($D192/$C192,"")</f>
        <v/>
      </c>
    </row>
    <row r="193" ht="15" customHeight="1" s="30">
      <c r="A193" s="35">
        <f>IF('Hợp đồng'!A193="","",'Hợp đồng'!A193)</f>
        <v/>
      </c>
      <c r="B193" s="35">
        <f>IF($A193="","",'Hợp đồng'!E193)</f>
        <v/>
      </c>
      <c r="C193" s="41">
        <f>IF($A193="","",'Hợp đồng'!H193)</f>
        <v/>
      </c>
      <c r="D193" s="41">
        <f>IF($A193="","",SUMIFS('Thanh toán'!$E$4:$E$303,'Thanh toán'!$C$4:$C$303,$A193))</f>
        <v/>
      </c>
      <c r="E193" s="41">
        <f>IF($A193="","",$C193-$D193)</f>
        <v/>
      </c>
      <c r="F193" s="57">
        <f>IF($A193="","",'Hợp đồng'!P193)</f>
        <v/>
      </c>
      <c r="G193" s="41">
        <f>IF($A193="",0,IF($E193&lt;=0,0,IF($F193="",0,MAX(0,TODAY()-$F193))))</f>
        <v/>
      </c>
      <c r="H193" s="35">
        <f>IF($A193="","",IF($E193&lt;=0,"Đã thu đủ",IF($G193=0,"Trong hạn",IF($G193&lt;=30,"Quá hạn 1-30 ngày",IF($G193&lt;=60,"Quá hạn 31-60 ngày",IF($G193&lt;=90,"Quá hạn 61-90 ngày","Quá hạn trên 90 ngày"))))))</f>
        <v/>
      </c>
      <c r="I193" s="42">
        <f>IFERROR($D193/$C193,"")</f>
        <v/>
      </c>
    </row>
    <row r="194" ht="15" customHeight="1" s="30">
      <c r="A194" s="35">
        <f>IF('Hợp đồng'!A194="","",'Hợp đồng'!A194)</f>
        <v/>
      </c>
      <c r="B194" s="35">
        <f>IF($A194="","",'Hợp đồng'!E194)</f>
        <v/>
      </c>
      <c r="C194" s="41">
        <f>IF($A194="","",'Hợp đồng'!H194)</f>
        <v/>
      </c>
      <c r="D194" s="41">
        <f>IF($A194="","",SUMIFS('Thanh toán'!$E$4:$E$303,'Thanh toán'!$C$4:$C$303,$A194))</f>
        <v/>
      </c>
      <c r="E194" s="41">
        <f>IF($A194="","",$C194-$D194)</f>
        <v/>
      </c>
      <c r="F194" s="57">
        <f>IF($A194="","",'Hợp đồng'!P194)</f>
        <v/>
      </c>
      <c r="G194" s="41">
        <f>IF($A194="",0,IF($E194&lt;=0,0,IF($F194="",0,MAX(0,TODAY()-$F194))))</f>
        <v/>
      </c>
      <c r="H194" s="35">
        <f>IF($A194="","",IF($E194&lt;=0,"Đã thu đủ",IF($G194=0,"Trong hạn",IF($G194&lt;=30,"Quá hạn 1-30 ngày",IF($G194&lt;=60,"Quá hạn 31-60 ngày",IF($G194&lt;=90,"Quá hạn 61-90 ngày","Quá hạn trên 90 ngày"))))))</f>
        <v/>
      </c>
      <c r="I194" s="42">
        <f>IFERROR($D194/$C194,"")</f>
        <v/>
      </c>
    </row>
    <row r="195" ht="15" customHeight="1" s="30">
      <c r="A195" s="35">
        <f>IF('Hợp đồng'!A195="","",'Hợp đồng'!A195)</f>
        <v/>
      </c>
      <c r="B195" s="35">
        <f>IF($A195="","",'Hợp đồng'!E195)</f>
        <v/>
      </c>
      <c r="C195" s="41">
        <f>IF($A195="","",'Hợp đồng'!H195)</f>
        <v/>
      </c>
      <c r="D195" s="41">
        <f>IF($A195="","",SUMIFS('Thanh toán'!$E$4:$E$303,'Thanh toán'!$C$4:$C$303,$A195))</f>
        <v/>
      </c>
      <c r="E195" s="41">
        <f>IF($A195="","",$C195-$D195)</f>
        <v/>
      </c>
      <c r="F195" s="57">
        <f>IF($A195="","",'Hợp đồng'!P195)</f>
        <v/>
      </c>
      <c r="G195" s="41">
        <f>IF($A195="",0,IF($E195&lt;=0,0,IF($F195="",0,MAX(0,TODAY()-$F195))))</f>
        <v/>
      </c>
      <c r="H195" s="35">
        <f>IF($A195="","",IF($E195&lt;=0,"Đã thu đủ",IF($G195=0,"Trong hạn",IF($G195&lt;=30,"Quá hạn 1-30 ngày",IF($G195&lt;=60,"Quá hạn 31-60 ngày",IF($G195&lt;=90,"Quá hạn 61-90 ngày","Quá hạn trên 90 ngày"))))))</f>
        <v/>
      </c>
      <c r="I195" s="42">
        <f>IFERROR($D195/$C195,"")</f>
        <v/>
      </c>
    </row>
    <row r="196" ht="15" customHeight="1" s="30">
      <c r="A196" s="35">
        <f>IF('Hợp đồng'!A196="","",'Hợp đồng'!A196)</f>
        <v/>
      </c>
      <c r="B196" s="35">
        <f>IF($A196="","",'Hợp đồng'!E196)</f>
        <v/>
      </c>
      <c r="C196" s="41">
        <f>IF($A196="","",'Hợp đồng'!H196)</f>
        <v/>
      </c>
      <c r="D196" s="41">
        <f>IF($A196="","",SUMIFS('Thanh toán'!$E$4:$E$303,'Thanh toán'!$C$4:$C$303,$A196))</f>
        <v/>
      </c>
      <c r="E196" s="41">
        <f>IF($A196="","",$C196-$D196)</f>
        <v/>
      </c>
      <c r="F196" s="57">
        <f>IF($A196="","",'Hợp đồng'!P196)</f>
        <v/>
      </c>
      <c r="G196" s="41">
        <f>IF($A196="",0,IF($E196&lt;=0,0,IF($F196="",0,MAX(0,TODAY()-$F196))))</f>
        <v/>
      </c>
      <c r="H196" s="35">
        <f>IF($A196="","",IF($E196&lt;=0,"Đã thu đủ",IF($G196=0,"Trong hạn",IF($G196&lt;=30,"Quá hạn 1-30 ngày",IF($G196&lt;=60,"Quá hạn 31-60 ngày",IF($G196&lt;=90,"Quá hạn 61-90 ngày","Quá hạn trên 90 ngày"))))))</f>
        <v/>
      </c>
      <c r="I196" s="42">
        <f>IFERROR($D196/$C196,"")</f>
        <v/>
      </c>
    </row>
    <row r="197" ht="15" customHeight="1" s="30">
      <c r="A197" s="35">
        <f>IF('Hợp đồng'!A197="","",'Hợp đồng'!A197)</f>
        <v/>
      </c>
      <c r="B197" s="35">
        <f>IF($A197="","",'Hợp đồng'!E197)</f>
        <v/>
      </c>
      <c r="C197" s="41">
        <f>IF($A197="","",'Hợp đồng'!H197)</f>
        <v/>
      </c>
      <c r="D197" s="41">
        <f>IF($A197="","",SUMIFS('Thanh toán'!$E$4:$E$303,'Thanh toán'!$C$4:$C$303,$A197))</f>
        <v/>
      </c>
      <c r="E197" s="41">
        <f>IF($A197="","",$C197-$D197)</f>
        <v/>
      </c>
      <c r="F197" s="57">
        <f>IF($A197="","",'Hợp đồng'!P197)</f>
        <v/>
      </c>
      <c r="G197" s="41">
        <f>IF($A197="",0,IF($E197&lt;=0,0,IF($F197="",0,MAX(0,TODAY()-$F197))))</f>
        <v/>
      </c>
      <c r="H197" s="35">
        <f>IF($A197="","",IF($E197&lt;=0,"Đã thu đủ",IF($G197=0,"Trong hạn",IF($G197&lt;=30,"Quá hạn 1-30 ngày",IF($G197&lt;=60,"Quá hạn 31-60 ngày",IF($G197&lt;=90,"Quá hạn 61-90 ngày","Quá hạn trên 90 ngày"))))))</f>
        <v/>
      </c>
      <c r="I197" s="42">
        <f>IFERROR($D197/$C197,"")</f>
        <v/>
      </c>
    </row>
    <row r="198" ht="15" customHeight="1" s="30">
      <c r="A198" s="35">
        <f>IF('Hợp đồng'!A198="","",'Hợp đồng'!A198)</f>
        <v/>
      </c>
      <c r="B198" s="35">
        <f>IF($A198="","",'Hợp đồng'!E198)</f>
        <v/>
      </c>
      <c r="C198" s="41">
        <f>IF($A198="","",'Hợp đồng'!H198)</f>
        <v/>
      </c>
      <c r="D198" s="41">
        <f>IF($A198="","",SUMIFS('Thanh toán'!$E$4:$E$303,'Thanh toán'!$C$4:$C$303,$A198))</f>
        <v/>
      </c>
      <c r="E198" s="41">
        <f>IF($A198="","",$C198-$D198)</f>
        <v/>
      </c>
      <c r="F198" s="57">
        <f>IF($A198="","",'Hợp đồng'!P198)</f>
        <v/>
      </c>
      <c r="G198" s="41">
        <f>IF($A198="",0,IF($E198&lt;=0,0,IF($F198="",0,MAX(0,TODAY()-$F198))))</f>
        <v/>
      </c>
      <c r="H198" s="35">
        <f>IF($A198="","",IF($E198&lt;=0,"Đã thu đủ",IF($G198=0,"Trong hạn",IF($G198&lt;=30,"Quá hạn 1-30 ngày",IF($G198&lt;=60,"Quá hạn 31-60 ngày",IF($G198&lt;=90,"Quá hạn 61-90 ngày","Quá hạn trên 90 ngày"))))))</f>
        <v/>
      </c>
      <c r="I198" s="42">
        <f>IFERROR($D198/$C198,"")</f>
        <v/>
      </c>
    </row>
    <row r="199" ht="15" customHeight="1" s="30">
      <c r="A199" s="35">
        <f>IF('Hợp đồng'!A199="","",'Hợp đồng'!A199)</f>
        <v/>
      </c>
      <c r="B199" s="35">
        <f>IF($A199="","",'Hợp đồng'!E199)</f>
        <v/>
      </c>
      <c r="C199" s="41">
        <f>IF($A199="","",'Hợp đồng'!H199)</f>
        <v/>
      </c>
      <c r="D199" s="41">
        <f>IF($A199="","",SUMIFS('Thanh toán'!$E$4:$E$303,'Thanh toán'!$C$4:$C$303,$A199))</f>
        <v/>
      </c>
      <c r="E199" s="41">
        <f>IF($A199="","",$C199-$D199)</f>
        <v/>
      </c>
      <c r="F199" s="57">
        <f>IF($A199="","",'Hợp đồng'!P199)</f>
        <v/>
      </c>
      <c r="G199" s="41">
        <f>IF($A199="",0,IF($E199&lt;=0,0,IF($F199="",0,MAX(0,TODAY()-$F199))))</f>
        <v/>
      </c>
      <c r="H199" s="35">
        <f>IF($A199="","",IF($E199&lt;=0,"Đã thu đủ",IF($G199=0,"Trong hạn",IF($G199&lt;=30,"Quá hạn 1-30 ngày",IF($G199&lt;=60,"Quá hạn 31-60 ngày",IF($G199&lt;=90,"Quá hạn 61-90 ngày","Quá hạn trên 90 ngày"))))))</f>
        <v/>
      </c>
      <c r="I199" s="42">
        <f>IFERROR($D199/$C199,"")</f>
        <v/>
      </c>
    </row>
    <row r="200" ht="15" customHeight="1" s="30">
      <c r="A200" s="35">
        <f>IF('Hợp đồng'!A200="","",'Hợp đồng'!A200)</f>
        <v/>
      </c>
      <c r="B200" s="35">
        <f>IF($A200="","",'Hợp đồng'!E200)</f>
        <v/>
      </c>
      <c r="C200" s="41">
        <f>IF($A200="","",'Hợp đồng'!H200)</f>
        <v/>
      </c>
      <c r="D200" s="41">
        <f>IF($A200="","",SUMIFS('Thanh toán'!$E$4:$E$303,'Thanh toán'!$C$4:$C$303,$A200))</f>
        <v/>
      </c>
      <c r="E200" s="41">
        <f>IF($A200="","",$C200-$D200)</f>
        <v/>
      </c>
      <c r="F200" s="57">
        <f>IF($A200="","",'Hợp đồng'!P200)</f>
        <v/>
      </c>
      <c r="G200" s="41">
        <f>IF($A200="",0,IF($E200&lt;=0,0,IF($F200="",0,MAX(0,TODAY()-$F200))))</f>
        <v/>
      </c>
      <c r="H200" s="35">
        <f>IF($A200="","",IF($E200&lt;=0,"Đã thu đủ",IF($G200=0,"Trong hạn",IF($G200&lt;=30,"Quá hạn 1-30 ngày",IF($G200&lt;=60,"Quá hạn 31-60 ngày",IF($G200&lt;=90,"Quá hạn 61-90 ngày","Quá hạn trên 90 ngày"))))))</f>
        <v/>
      </c>
      <c r="I200" s="42">
        <f>IFERROR($D200/$C200,"")</f>
        <v/>
      </c>
    </row>
    <row r="201" ht="15" customHeight="1" s="30">
      <c r="A201" s="35">
        <f>IF('Hợp đồng'!A201="","",'Hợp đồng'!A201)</f>
        <v/>
      </c>
      <c r="B201" s="35">
        <f>IF($A201="","",'Hợp đồng'!E201)</f>
        <v/>
      </c>
      <c r="C201" s="41">
        <f>IF($A201="","",'Hợp đồng'!H201)</f>
        <v/>
      </c>
      <c r="D201" s="41">
        <f>IF($A201="","",SUMIFS('Thanh toán'!$E$4:$E$303,'Thanh toán'!$C$4:$C$303,$A201))</f>
        <v/>
      </c>
      <c r="E201" s="41">
        <f>IF($A201="","",$C201-$D201)</f>
        <v/>
      </c>
      <c r="F201" s="57">
        <f>IF($A201="","",'Hợp đồng'!P201)</f>
        <v/>
      </c>
      <c r="G201" s="41">
        <f>IF($A201="",0,IF($E201&lt;=0,0,IF($F201="",0,MAX(0,TODAY()-$F201))))</f>
        <v/>
      </c>
      <c r="H201" s="35">
        <f>IF($A201="","",IF($E201&lt;=0,"Đã thu đủ",IF($G201=0,"Trong hạn",IF($G201&lt;=30,"Quá hạn 1-30 ngày",IF($G201&lt;=60,"Quá hạn 31-60 ngày",IF($G201&lt;=90,"Quá hạn 61-90 ngày","Quá hạn trên 90 ngày"))))))</f>
        <v/>
      </c>
      <c r="I201" s="42">
        <f>IFERROR($D201/$C201,"")</f>
        <v/>
      </c>
    </row>
    <row r="202" ht="15" customHeight="1" s="30">
      <c r="A202" s="35">
        <f>IF('Hợp đồng'!A202="","",'Hợp đồng'!A202)</f>
        <v/>
      </c>
      <c r="B202" s="35">
        <f>IF($A202="","",'Hợp đồng'!E202)</f>
        <v/>
      </c>
      <c r="C202" s="41">
        <f>IF($A202="","",'Hợp đồng'!H202)</f>
        <v/>
      </c>
      <c r="D202" s="41">
        <f>IF($A202="","",SUMIFS('Thanh toán'!$E$4:$E$303,'Thanh toán'!$C$4:$C$303,$A202))</f>
        <v/>
      </c>
      <c r="E202" s="41">
        <f>IF($A202="","",$C202-$D202)</f>
        <v/>
      </c>
      <c r="F202" s="57">
        <f>IF($A202="","",'Hợp đồng'!P202)</f>
        <v/>
      </c>
      <c r="G202" s="41">
        <f>IF($A202="",0,IF($E202&lt;=0,0,IF($F202="",0,MAX(0,TODAY()-$F202))))</f>
        <v/>
      </c>
      <c r="H202" s="35">
        <f>IF($A202="","",IF($E202&lt;=0,"Đã thu đủ",IF($G202=0,"Trong hạn",IF($G202&lt;=30,"Quá hạn 1-30 ngày",IF($G202&lt;=60,"Quá hạn 31-60 ngày",IF($G202&lt;=90,"Quá hạn 61-90 ngày","Quá hạn trên 90 ngày"))))))</f>
        <v/>
      </c>
      <c r="I202" s="42">
        <f>IFERROR($D202/$C202,"")</f>
        <v/>
      </c>
    </row>
    <row r="203" ht="15" customHeight="1" s="30">
      <c r="A203" s="35">
        <f>IF('Hợp đồng'!A203="","",'Hợp đồng'!A203)</f>
        <v/>
      </c>
      <c r="B203" s="35">
        <f>IF($A203="","",'Hợp đồng'!E203)</f>
        <v/>
      </c>
      <c r="C203" s="41">
        <f>IF($A203="","",'Hợp đồng'!H203)</f>
        <v/>
      </c>
      <c r="D203" s="41">
        <f>IF($A203="","",SUMIFS('Thanh toán'!$E$4:$E$303,'Thanh toán'!$C$4:$C$303,$A203))</f>
        <v/>
      </c>
      <c r="E203" s="41">
        <f>IF($A203="","",$C203-$D203)</f>
        <v/>
      </c>
      <c r="F203" s="57">
        <f>IF($A203="","",'Hợp đồng'!P203)</f>
        <v/>
      </c>
      <c r="G203" s="41">
        <f>IF($A203="",0,IF($E203&lt;=0,0,IF($F203="",0,MAX(0,TODAY()-$F203))))</f>
        <v/>
      </c>
      <c r="H203" s="35">
        <f>IF($A203="","",IF($E203&lt;=0,"Đã thu đủ",IF($G203=0,"Trong hạn",IF($G203&lt;=30,"Quá hạn 1-30 ngày",IF($G203&lt;=60,"Quá hạn 31-60 ngày",IF($G203&lt;=90,"Quá hạn 61-90 ngày","Quá hạn trên 90 ngày"))))))</f>
        <v/>
      </c>
      <c r="I203" s="42">
        <f>IFERROR($D203/$C203,"")</f>
        <v/>
      </c>
    </row>
    <row r="204" ht="15" customHeight="1" s="30">
      <c r="A204" s="63" t="inlineStr">
        <is>
          <t>TỔNG CỘNG</t>
        </is>
      </c>
      <c r="B204" s="63" t="n"/>
      <c r="C204" s="64">
        <f>SUM(C4:C203)</f>
        <v/>
      </c>
      <c r="D204" s="64">
        <f>SUM(D4:D203)</f>
        <v/>
      </c>
      <c r="E204" s="64">
        <f>SUM(E4:E203)</f>
        <v/>
      </c>
      <c r="F204" s="63" t="n"/>
      <c r="G204" s="63" t="n"/>
      <c r="H204" s="63" t="n"/>
      <c r="I204" s="65">
        <f>IFERROR($D204/$C204,0)</f>
        <v/>
      </c>
    </row>
  </sheetData>
  <conditionalFormatting sqref="H4:H203">
    <cfRule type="expression" rank="0" priority="2" equalAverage="0" aboveAverage="0" dxfId="4" text="" percent="0" bottom="0">
      <formula>$G4&gt;0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9" min="1" max="2"/>
    <col width="22" customWidth="1" style="29" min="3" max="3"/>
    <col width="13" customWidth="1" style="29" min="4" max="4"/>
    <col width="22" customWidth="1" style="29" min="5" max="5"/>
    <col width="12" customWidth="1" style="29" min="6" max="6"/>
    <col width="13" customWidth="1" style="29" min="7" max="7"/>
    <col width="22" customWidth="1" style="29" min="8" max="8"/>
    <col width="16" customWidth="1" style="29" min="9" max="10"/>
    <col width="22" customWidth="1" style="29" min="11" max="11"/>
  </cols>
  <sheetData>
    <row r="1" ht="15" customHeight="1" s="30">
      <c r="A1" s="33" t="inlineStr">
        <is>
          <t>Năm báo cáo:</t>
        </is>
      </c>
      <c r="B1" s="66" t="n">
        <v>2026</v>
      </c>
      <c r="C1" s="32" t="inlineStr">
        <is>
          <t>← Nhập năm cần xem</t>
        </is>
      </c>
    </row>
    <row r="2" ht="17.35" customHeight="1" s="30">
      <c r="A2" s="31" t="inlineStr">
        <is>
          <t>TỔNG HỢP THEO THÁNG</t>
        </is>
      </c>
    </row>
    <row r="3" ht="31.5" customHeight="1" s="30">
      <c r="A3" s="39" t="inlineStr">
        <is>
          <t>Tháng</t>
        </is>
      </c>
      <c r="B3" s="39" t="inlineStr">
        <is>
          <t>Số báo giá</t>
        </is>
      </c>
      <c r="C3" s="39" t="inlineStr">
        <is>
          <t>Giá trị báo giá (VNĐ)</t>
        </is>
      </c>
      <c r="D3" s="39" t="inlineStr">
        <is>
          <t>Số BG thắng</t>
        </is>
      </c>
      <c r="E3" s="39" t="inlineStr">
        <is>
          <t>Giá trị thắng (VNĐ)</t>
        </is>
      </c>
      <c r="F3" s="39" t="inlineStr">
        <is>
          <t>Tỷ lệ thắng</t>
        </is>
      </c>
      <c r="G3" s="39" t="inlineStr">
        <is>
          <t>Số HĐ/PO ký</t>
        </is>
      </c>
      <c r="H3" s="39" t="inlineStr">
        <is>
          <t>Giá trị HĐ ký (VNĐ)</t>
        </is>
      </c>
      <c r="I3" s="39" t="inlineStr">
        <is>
          <t>Số đơn giao đúng hạn</t>
        </is>
      </c>
      <c r="J3" s="39" t="inlineStr">
        <is>
          <t>Tỷ lệ giao đúng hạn</t>
        </is>
      </c>
      <c r="K3" s="39" t="inlineStr">
        <is>
          <t>Tiền thu được (VNĐ)</t>
        </is>
      </c>
    </row>
    <row r="4" ht="15" customHeight="1" s="30">
      <c r="A4" s="67" t="n">
        <v>1</v>
      </c>
      <c r="B4" s="41">
        <f>COUNTIFS('Báo giá'!$M$4:$M$203,$A4,'Báo giá'!$N$4:$N$203,$B$1)</f>
        <v/>
      </c>
      <c r="C4" s="41">
        <f>SUMIFS('Báo giá'!$H$4:$H$203,'Báo giá'!$M$4:$M$203,$A4,'Báo giá'!$N$4:$N$203,$B$1)</f>
        <v/>
      </c>
      <c r="D4" s="41">
        <f>COUNTIFS('Báo giá'!$Q$4:$Q$203,$A4,'Báo giá'!$R$4:$R$203,$B$1,'Báo giá'!$J$4:$J$203,"Thắng")</f>
        <v/>
      </c>
      <c r="E4" s="41">
        <f>SUMIFS('Báo giá'!$H$4:$H$203,'Báo giá'!$Q$4:$Q$203,$A4,'Báo giá'!$R$4:$R$203,$B$1,'Báo giá'!$J$4:$J$203,"Thắng")</f>
        <v/>
      </c>
      <c r="F4" s="42">
        <f>IFERROR($E4/$C4,0)</f>
        <v/>
      </c>
      <c r="G4" s="41">
        <f>COUNTIFS('Hợp đồng'!$Q$4:$Q$203,$A4,'Hợp đồng'!$R$4:$R$203,$B$1)</f>
        <v/>
      </c>
      <c r="H4" s="41">
        <f>SUMIFS('Hợp đồng'!$H$4:$H$203,'Hợp đồng'!$Q$4:$Q$203,$A4,'Hợp đồng'!$R$4:$R$203,$B$1)</f>
        <v/>
      </c>
      <c r="I4" s="41">
        <f>COUNTIFS('Hợp đồng'!$Q$4:$Q$203,$A4,'Hợp đồng'!$R$4:$R$203,$B$1,'Hợp đồng'!$L$4:$L$203,"Đúng hạn")</f>
        <v/>
      </c>
      <c r="J4" s="42">
        <f>IFERROR($I4/$G4,0)</f>
        <v/>
      </c>
      <c r="K4" s="41">
        <f>SUMIFS('Thanh toán'!$E$4:$E$303,'Thanh toán'!$H$4:$H$303,$A4,'Thanh toán'!$I$4:$I$303,$B$1)</f>
        <v/>
      </c>
    </row>
    <row r="5" ht="15" customHeight="1" s="30">
      <c r="A5" s="67" t="n">
        <v>2</v>
      </c>
      <c r="B5" s="41">
        <f>COUNTIFS('Báo giá'!$M$4:$M$203,$A5,'Báo giá'!$N$4:$N$203,$B$1)</f>
        <v/>
      </c>
      <c r="C5" s="41">
        <f>SUMIFS('Báo giá'!$H$4:$H$203,'Báo giá'!$M$4:$M$203,$A5,'Báo giá'!$N$4:$N$203,$B$1)</f>
        <v/>
      </c>
      <c r="D5" s="41">
        <f>COUNTIFS('Báo giá'!$Q$4:$Q$203,$A5,'Báo giá'!$R$4:$R$203,$B$1,'Báo giá'!$J$4:$J$203,"Thắng")</f>
        <v/>
      </c>
      <c r="E5" s="41">
        <f>SUMIFS('Báo giá'!$H$4:$H$203,'Báo giá'!$Q$4:$Q$203,$A5,'Báo giá'!$R$4:$R$203,$B$1,'Báo giá'!$J$4:$J$203,"Thắng")</f>
        <v/>
      </c>
      <c r="F5" s="42">
        <f>IFERROR($E5/$C5,0)</f>
        <v/>
      </c>
      <c r="G5" s="41">
        <f>COUNTIFS('Hợp đồng'!$Q$4:$Q$203,$A5,'Hợp đồng'!$R$4:$R$203,$B$1)</f>
        <v/>
      </c>
      <c r="H5" s="41">
        <f>SUMIFS('Hợp đồng'!$H$4:$H$203,'Hợp đồng'!$Q$4:$Q$203,$A5,'Hợp đồng'!$R$4:$R$203,$B$1)</f>
        <v/>
      </c>
      <c r="I5" s="41">
        <f>COUNTIFS('Hợp đồng'!$Q$4:$Q$203,$A5,'Hợp đồng'!$R$4:$R$203,$B$1,'Hợp đồng'!$L$4:$L$203,"Đúng hạn")</f>
        <v/>
      </c>
      <c r="J5" s="42">
        <f>IFERROR($I5/$G5,0)</f>
        <v/>
      </c>
      <c r="K5" s="41">
        <f>SUMIFS('Thanh toán'!$E$4:$E$303,'Thanh toán'!$H$4:$H$303,$A5,'Thanh toán'!$I$4:$I$303,$B$1)</f>
        <v/>
      </c>
    </row>
    <row r="6" ht="15" customHeight="1" s="30">
      <c r="A6" s="67" t="n">
        <v>3</v>
      </c>
      <c r="B6" s="41">
        <f>COUNTIFS('Báo giá'!$M$4:$M$203,$A6,'Báo giá'!$N$4:$N$203,$B$1)</f>
        <v/>
      </c>
      <c r="C6" s="41">
        <f>SUMIFS('Báo giá'!$H$4:$H$203,'Báo giá'!$M$4:$M$203,$A6,'Báo giá'!$N$4:$N$203,$B$1)</f>
        <v/>
      </c>
      <c r="D6" s="41">
        <f>COUNTIFS('Báo giá'!$Q$4:$Q$203,$A6,'Báo giá'!$R$4:$R$203,$B$1,'Báo giá'!$J$4:$J$203,"Thắng")</f>
        <v/>
      </c>
      <c r="E6" s="41">
        <f>SUMIFS('Báo giá'!$H$4:$H$203,'Báo giá'!$Q$4:$Q$203,$A6,'Báo giá'!$R$4:$R$203,$B$1,'Báo giá'!$J$4:$J$203,"Thắng")</f>
        <v/>
      </c>
      <c r="F6" s="42">
        <f>IFERROR($E6/$C6,0)</f>
        <v/>
      </c>
      <c r="G6" s="41">
        <f>COUNTIFS('Hợp đồng'!$Q$4:$Q$203,$A6,'Hợp đồng'!$R$4:$R$203,$B$1)</f>
        <v/>
      </c>
      <c r="H6" s="41">
        <f>SUMIFS('Hợp đồng'!$H$4:$H$203,'Hợp đồng'!$Q$4:$Q$203,$A6,'Hợp đồng'!$R$4:$R$203,$B$1)</f>
        <v/>
      </c>
      <c r="I6" s="41">
        <f>COUNTIFS('Hợp đồng'!$Q$4:$Q$203,$A6,'Hợp đồng'!$R$4:$R$203,$B$1,'Hợp đồng'!$L$4:$L$203,"Đúng hạn")</f>
        <v/>
      </c>
      <c r="J6" s="42">
        <f>IFERROR($I6/$G6,0)</f>
        <v/>
      </c>
      <c r="K6" s="41">
        <f>SUMIFS('Thanh toán'!$E$4:$E$303,'Thanh toán'!$H$4:$H$303,$A6,'Thanh toán'!$I$4:$I$303,$B$1)</f>
        <v/>
      </c>
    </row>
    <row r="7" ht="15" customHeight="1" s="30">
      <c r="A7" s="67" t="n">
        <v>4</v>
      </c>
      <c r="B7" s="41">
        <f>COUNTIFS('Báo giá'!$M$4:$M$203,$A7,'Báo giá'!$N$4:$N$203,$B$1)</f>
        <v/>
      </c>
      <c r="C7" s="41">
        <f>SUMIFS('Báo giá'!$H$4:$H$203,'Báo giá'!$M$4:$M$203,$A7,'Báo giá'!$N$4:$N$203,$B$1)</f>
        <v/>
      </c>
      <c r="D7" s="41">
        <f>COUNTIFS('Báo giá'!$Q$4:$Q$203,$A7,'Báo giá'!$R$4:$R$203,$B$1,'Báo giá'!$J$4:$J$203,"Thắng")</f>
        <v/>
      </c>
      <c r="E7" s="41">
        <f>SUMIFS('Báo giá'!$H$4:$H$203,'Báo giá'!$Q$4:$Q$203,$A7,'Báo giá'!$R$4:$R$203,$B$1,'Báo giá'!$J$4:$J$203,"Thắng")</f>
        <v/>
      </c>
      <c r="F7" s="42">
        <f>IFERROR($E7/$C7,0)</f>
        <v/>
      </c>
      <c r="G7" s="41">
        <f>COUNTIFS('Hợp đồng'!$Q$4:$Q$203,$A7,'Hợp đồng'!$R$4:$R$203,$B$1)</f>
        <v/>
      </c>
      <c r="H7" s="41">
        <f>SUMIFS('Hợp đồng'!$H$4:$H$203,'Hợp đồng'!$Q$4:$Q$203,$A7,'Hợp đồng'!$R$4:$R$203,$B$1)</f>
        <v/>
      </c>
      <c r="I7" s="41">
        <f>COUNTIFS('Hợp đồng'!$Q$4:$Q$203,$A7,'Hợp đồng'!$R$4:$R$203,$B$1,'Hợp đồng'!$L$4:$L$203,"Đúng hạn")</f>
        <v/>
      </c>
      <c r="J7" s="42">
        <f>IFERROR($I7/$G7,0)</f>
        <v/>
      </c>
      <c r="K7" s="41">
        <f>SUMIFS('Thanh toán'!$E$4:$E$303,'Thanh toán'!$H$4:$H$303,$A7,'Thanh toán'!$I$4:$I$303,$B$1)</f>
        <v/>
      </c>
    </row>
    <row r="8" ht="15" customHeight="1" s="30">
      <c r="A8" s="67" t="n">
        <v>5</v>
      </c>
      <c r="B8" s="41">
        <f>COUNTIFS('Báo giá'!$M$4:$M$203,$A8,'Báo giá'!$N$4:$N$203,$B$1)</f>
        <v/>
      </c>
      <c r="C8" s="41">
        <f>SUMIFS('Báo giá'!$H$4:$H$203,'Báo giá'!$M$4:$M$203,$A8,'Báo giá'!$N$4:$N$203,$B$1)</f>
        <v/>
      </c>
      <c r="D8" s="41">
        <f>COUNTIFS('Báo giá'!$Q$4:$Q$203,$A8,'Báo giá'!$R$4:$R$203,$B$1,'Báo giá'!$J$4:$J$203,"Thắng")</f>
        <v/>
      </c>
      <c r="E8" s="41">
        <f>SUMIFS('Báo giá'!$H$4:$H$203,'Báo giá'!$Q$4:$Q$203,$A8,'Báo giá'!$R$4:$R$203,$B$1,'Báo giá'!$J$4:$J$203,"Thắng")</f>
        <v/>
      </c>
      <c r="F8" s="42">
        <f>IFERROR($E8/$C8,0)</f>
        <v/>
      </c>
      <c r="G8" s="41">
        <f>COUNTIFS('Hợp đồng'!$Q$4:$Q$203,$A8,'Hợp đồng'!$R$4:$R$203,$B$1)</f>
        <v/>
      </c>
      <c r="H8" s="41">
        <f>SUMIFS('Hợp đồng'!$H$4:$H$203,'Hợp đồng'!$Q$4:$Q$203,$A8,'Hợp đồng'!$R$4:$R$203,$B$1)</f>
        <v/>
      </c>
      <c r="I8" s="41">
        <f>COUNTIFS('Hợp đồng'!$Q$4:$Q$203,$A8,'Hợp đồng'!$R$4:$R$203,$B$1,'Hợp đồng'!$L$4:$L$203,"Đúng hạn")</f>
        <v/>
      </c>
      <c r="J8" s="42">
        <f>IFERROR($I8/$G8,0)</f>
        <v/>
      </c>
      <c r="K8" s="41">
        <f>SUMIFS('Thanh toán'!$E$4:$E$303,'Thanh toán'!$H$4:$H$303,$A8,'Thanh toán'!$I$4:$I$303,$B$1)</f>
        <v/>
      </c>
    </row>
    <row r="9" ht="15" customHeight="1" s="30">
      <c r="A9" s="67" t="n">
        <v>6</v>
      </c>
      <c r="B9" s="41">
        <f>COUNTIFS('Báo giá'!$M$4:$M$203,$A9,'Báo giá'!$N$4:$N$203,$B$1)</f>
        <v/>
      </c>
      <c r="C9" s="41">
        <f>SUMIFS('Báo giá'!$H$4:$H$203,'Báo giá'!$M$4:$M$203,$A9,'Báo giá'!$N$4:$N$203,$B$1)</f>
        <v/>
      </c>
      <c r="D9" s="41">
        <f>COUNTIFS('Báo giá'!$Q$4:$Q$203,$A9,'Báo giá'!$R$4:$R$203,$B$1,'Báo giá'!$J$4:$J$203,"Thắng")</f>
        <v/>
      </c>
      <c r="E9" s="41">
        <f>SUMIFS('Báo giá'!$H$4:$H$203,'Báo giá'!$Q$4:$Q$203,$A9,'Báo giá'!$R$4:$R$203,$B$1,'Báo giá'!$J$4:$J$203,"Thắng")</f>
        <v/>
      </c>
      <c r="F9" s="42">
        <f>IFERROR($E9/$C9,0)</f>
        <v/>
      </c>
      <c r="G9" s="41">
        <f>COUNTIFS('Hợp đồng'!$Q$4:$Q$203,$A9,'Hợp đồng'!$R$4:$R$203,$B$1)</f>
        <v/>
      </c>
      <c r="H9" s="41">
        <f>SUMIFS('Hợp đồng'!$H$4:$H$203,'Hợp đồng'!$Q$4:$Q$203,$A9,'Hợp đồng'!$R$4:$R$203,$B$1)</f>
        <v/>
      </c>
      <c r="I9" s="41">
        <f>COUNTIFS('Hợp đồng'!$Q$4:$Q$203,$A9,'Hợp đồng'!$R$4:$R$203,$B$1,'Hợp đồng'!$L$4:$L$203,"Đúng hạn")</f>
        <v/>
      </c>
      <c r="J9" s="42">
        <f>IFERROR($I9/$G9,0)</f>
        <v/>
      </c>
      <c r="K9" s="41">
        <f>SUMIFS('Thanh toán'!$E$4:$E$303,'Thanh toán'!$H$4:$H$303,$A9,'Thanh toán'!$I$4:$I$303,$B$1)</f>
        <v/>
      </c>
    </row>
    <row r="10" ht="15" customHeight="1" s="30">
      <c r="A10" s="67" t="n">
        <v>7</v>
      </c>
      <c r="B10" s="41">
        <f>COUNTIFS('Báo giá'!$M$4:$M$203,$A10,'Báo giá'!$N$4:$N$203,$B$1)</f>
        <v/>
      </c>
      <c r="C10" s="41">
        <f>SUMIFS('Báo giá'!$H$4:$H$203,'Báo giá'!$M$4:$M$203,$A10,'Báo giá'!$N$4:$N$203,$B$1)</f>
        <v/>
      </c>
      <c r="D10" s="41">
        <f>COUNTIFS('Báo giá'!$Q$4:$Q$203,$A10,'Báo giá'!$R$4:$R$203,$B$1,'Báo giá'!$J$4:$J$203,"Thắng")</f>
        <v/>
      </c>
      <c r="E10" s="41">
        <f>SUMIFS('Báo giá'!$H$4:$H$203,'Báo giá'!$Q$4:$Q$203,$A10,'Báo giá'!$R$4:$R$203,$B$1,'Báo giá'!$J$4:$J$203,"Thắng")</f>
        <v/>
      </c>
      <c r="F10" s="42">
        <f>IFERROR($E10/$C10,0)</f>
        <v/>
      </c>
      <c r="G10" s="41">
        <f>COUNTIFS('Hợp đồng'!$Q$4:$Q$203,$A10,'Hợp đồng'!$R$4:$R$203,$B$1)</f>
        <v/>
      </c>
      <c r="H10" s="41">
        <f>SUMIFS('Hợp đồng'!$H$4:$H$203,'Hợp đồng'!$Q$4:$Q$203,$A10,'Hợp đồng'!$R$4:$R$203,$B$1)</f>
        <v/>
      </c>
      <c r="I10" s="41">
        <f>COUNTIFS('Hợp đồng'!$Q$4:$Q$203,$A10,'Hợp đồng'!$R$4:$R$203,$B$1,'Hợp đồng'!$L$4:$L$203,"Đúng hạn")</f>
        <v/>
      </c>
      <c r="J10" s="42">
        <f>IFERROR($I10/$G10,0)</f>
        <v/>
      </c>
      <c r="K10" s="41">
        <f>SUMIFS('Thanh toán'!$E$4:$E$303,'Thanh toán'!$H$4:$H$303,$A10,'Thanh toán'!$I$4:$I$303,$B$1)</f>
        <v/>
      </c>
    </row>
    <row r="11" ht="15" customHeight="1" s="30">
      <c r="A11" s="67" t="n">
        <v>8</v>
      </c>
      <c r="B11" s="41">
        <f>COUNTIFS('Báo giá'!$M$4:$M$203,$A11,'Báo giá'!$N$4:$N$203,$B$1)</f>
        <v/>
      </c>
      <c r="C11" s="41">
        <f>SUMIFS('Báo giá'!$H$4:$H$203,'Báo giá'!$M$4:$M$203,$A11,'Báo giá'!$N$4:$N$203,$B$1)</f>
        <v/>
      </c>
      <c r="D11" s="41">
        <f>COUNTIFS('Báo giá'!$Q$4:$Q$203,$A11,'Báo giá'!$R$4:$R$203,$B$1,'Báo giá'!$J$4:$J$203,"Thắng")</f>
        <v/>
      </c>
      <c r="E11" s="41">
        <f>SUMIFS('Báo giá'!$H$4:$H$203,'Báo giá'!$Q$4:$Q$203,$A11,'Báo giá'!$R$4:$R$203,$B$1,'Báo giá'!$J$4:$J$203,"Thắng")</f>
        <v/>
      </c>
      <c r="F11" s="42">
        <f>IFERROR($E11/$C11,0)</f>
        <v/>
      </c>
      <c r="G11" s="41">
        <f>COUNTIFS('Hợp đồng'!$Q$4:$Q$203,$A11,'Hợp đồng'!$R$4:$R$203,$B$1)</f>
        <v/>
      </c>
      <c r="H11" s="41">
        <f>SUMIFS('Hợp đồng'!$H$4:$H$203,'Hợp đồng'!$Q$4:$Q$203,$A11,'Hợp đồng'!$R$4:$R$203,$B$1)</f>
        <v/>
      </c>
      <c r="I11" s="41">
        <f>COUNTIFS('Hợp đồng'!$Q$4:$Q$203,$A11,'Hợp đồng'!$R$4:$R$203,$B$1,'Hợp đồng'!$L$4:$L$203,"Đúng hạn")</f>
        <v/>
      </c>
      <c r="J11" s="42">
        <f>IFERROR($I11/$G11,0)</f>
        <v/>
      </c>
      <c r="K11" s="41">
        <f>SUMIFS('Thanh toán'!$E$4:$E$303,'Thanh toán'!$H$4:$H$303,$A11,'Thanh toán'!$I$4:$I$303,$B$1)</f>
        <v/>
      </c>
    </row>
    <row r="12" ht="15" customHeight="1" s="30">
      <c r="A12" s="67" t="n">
        <v>9</v>
      </c>
      <c r="B12" s="41">
        <f>COUNTIFS('Báo giá'!$M$4:$M$203,$A12,'Báo giá'!$N$4:$N$203,$B$1)</f>
        <v/>
      </c>
      <c r="C12" s="41">
        <f>SUMIFS('Báo giá'!$H$4:$H$203,'Báo giá'!$M$4:$M$203,$A12,'Báo giá'!$N$4:$N$203,$B$1)</f>
        <v/>
      </c>
      <c r="D12" s="41">
        <f>COUNTIFS('Báo giá'!$Q$4:$Q$203,$A12,'Báo giá'!$R$4:$R$203,$B$1,'Báo giá'!$J$4:$J$203,"Thắng")</f>
        <v/>
      </c>
      <c r="E12" s="41">
        <f>SUMIFS('Báo giá'!$H$4:$H$203,'Báo giá'!$Q$4:$Q$203,$A12,'Báo giá'!$R$4:$R$203,$B$1,'Báo giá'!$J$4:$J$203,"Thắng")</f>
        <v/>
      </c>
      <c r="F12" s="42">
        <f>IFERROR($E12/$C12,0)</f>
        <v/>
      </c>
      <c r="G12" s="41">
        <f>COUNTIFS('Hợp đồng'!$Q$4:$Q$203,$A12,'Hợp đồng'!$R$4:$R$203,$B$1)</f>
        <v/>
      </c>
      <c r="H12" s="41">
        <f>SUMIFS('Hợp đồng'!$H$4:$H$203,'Hợp đồng'!$Q$4:$Q$203,$A12,'Hợp đồng'!$R$4:$R$203,$B$1)</f>
        <v/>
      </c>
      <c r="I12" s="41">
        <f>COUNTIFS('Hợp đồng'!$Q$4:$Q$203,$A12,'Hợp đồng'!$R$4:$R$203,$B$1,'Hợp đồng'!$L$4:$L$203,"Đúng hạn")</f>
        <v/>
      </c>
      <c r="J12" s="42">
        <f>IFERROR($I12/$G12,0)</f>
        <v/>
      </c>
      <c r="K12" s="41">
        <f>SUMIFS('Thanh toán'!$E$4:$E$303,'Thanh toán'!$H$4:$H$303,$A12,'Thanh toán'!$I$4:$I$303,$B$1)</f>
        <v/>
      </c>
    </row>
    <row r="13" ht="15" customHeight="1" s="30">
      <c r="A13" s="67" t="n">
        <v>10</v>
      </c>
      <c r="B13" s="41">
        <f>COUNTIFS('Báo giá'!$M$4:$M$203,$A13,'Báo giá'!$N$4:$N$203,$B$1)</f>
        <v/>
      </c>
      <c r="C13" s="41">
        <f>SUMIFS('Báo giá'!$H$4:$H$203,'Báo giá'!$M$4:$M$203,$A13,'Báo giá'!$N$4:$N$203,$B$1)</f>
        <v/>
      </c>
      <c r="D13" s="41">
        <f>COUNTIFS('Báo giá'!$Q$4:$Q$203,$A13,'Báo giá'!$R$4:$R$203,$B$1,'Báo giá'!$J$4:$J$203,"Thắng")</f>
        <v/>
      </c>
      <c r="E13" s="41">
        <f>SUMIFS('Báo giá'!$H$4:$H$203,'Báo giá'!$Q$4:$Q$203,$A13,'Báo giá'!$R$4:$R$203,$B$1,'Báo giá'!$J$4:$J$203,"Thắng")</f>
        <v/>
      </c>
      <c r="F13" s="42">
        <f>IFERROR($E13/$C13,0)</f>
        <v/>
      </c>
      <c r="G13" s="41">
        <f>COUNTIFS('Hợp đồng'!$Q$4:$Q$203,$A13,'Hợp đồng'!$R$4:$R$203,$B$1)</f>
        <v/>
      </c>
      <c r="H13" s="41">
        <f>SUMIFS('Hợp đồng'!$H$4:$H$203,'Hợp đồng'!$Q$4:$Q$203,$A13,'Hợp đồng'!$R$4:$R$203,$B$1)</f>
        <v/>
      </c>
      <c r="I13" s="41">
        <f>COUNTIFS('Hợp đồng'!$Q$4:$Q$203,$A13,'Hợp đồng'!$R$4:$R$203,$B$1,'Hợp đồng'!$L$4:$L$203,"Đúng hạn")</f>
        <v/>
      </c>
      <c r="J13" s="42">
        <f>IFERROR($I13/$G13,0)</f>
        <v/>
      </c>
      <c r="K13" s="41">
        <f>SUMIFS('Thanh toán'!$E$4:$E$303,'Thanh toán'!$H$4:$H$303,$A13,'Thanh toán'!$I$4:$I$303,$B$1)</f>
        <v/>
      </c>
    </row>
    <row r="14" ht="15" customHeight="1" s="30">
      <c r="A14" s="67" t="n">
        <v>11</v>
      </c>
      <c r="B14" s="41">
        <f>COUNTIFS('Báo giá'!$M$4:$M$203,$A14,'Báo giá'!$N$4:$N$203,$B$1)</f>
        <v/>
      </c>
      <c r="C14" s="41">
        <f>SUMIFS('Báo giá'!$H$4:$H$203,'Báo giá'!$M$4:$M$203,$A14,'Báo giá'!$N$4:$N$203,$B$1)</f>
        <v/>
      </c>
      <c r="D14" s="41">
        <f>COUNTIFS('Báo giá'!$Q$4:$Q$203,$A14,'Báo giá'!$R$4:$R$203,$B$1,'Báo giá'!$J$4:$J$203,"Thắng")</f>
        <v/>
      </c>
      <c r="E14" s="41">
        <f>SUMIFS('Báo giá'!$H$4:$H$203,'Báo giá'!$Q$4:$Q$203,$A14,'Báo giá'!$R$4:$R$203,$B$1,'Báo giá'!$J$4:$J$203,"Thắng")</f>
        <v/>
      </c>
      <c r="F14" s="42">
        <f>IFERROR($E14/$C14,0)</f>
        <v/>
      </c>
      <c r="G14" s="41">
        <f>COUNTIFS('Hợp đồng'!$Q$4:$Q$203,$A14,'Hợp đồng'!$R$4:$R$203,$B$1)</f>
        <v/>
      </c>
      <c r="H14" s="41">
        <f>SUMIFS('Hợp đồng'!$H$4:$H$203,'Hợp đồng'!$Q$4:$Q$203,$A14,'Hợp đồng'!$R$4:$R$203,$B$1)</f>
        <v/>
      </c>
      <c r="I14" s="41">
        <f>COUNTIFS('Hợp đồng'!$Q$4:$Q$203,$A14,'Hợp đồng'!$R$4:$R$203,$B$1,'Hợp đồng'!$L$4:$L$203,"Đúng hạn")</f>
        <v/>
      </c>
      <c r="J14" s="42">
        <f>IFERROR($I14/$G14,0)</f>
        <v/>
      </c>
      <c r="K14" s="41">
        <f>SUMIFS('Thanh toán'!$E$4:$E$303,'Thanh toán'!$H$4:$H$303,$A14,'Thanh toán'!$I$4:$I$303,$B$1)</f>
        <v/>
      </c>
    </row>
    <row r="15" ht="15" customHeight="1" s="30">
      <c r="A15" s="67" t="n">
        <v>12</v>
      </c>
      <c r="B15" s="41">
        <f>COUNTIFS('Báo giá'!$M$4:$M$203,$A15,'Báo giá'!$N$4:$N$203,$B$1)</f>
        <v/>
      </c>
      <c r="C15" s="41">
        <f>SUMIFS('Báo giá'!$H$4:$H$203,'Báo giá'!$M$4:$M$203,$A15,'Báo giá'!$N$4:$N$203,$B$1)</f>
        <v/>
      </c>
      <c r="D15" s="41">
        <f>COUNTIFS('Báo giá'!$Q$4:$Q$203,$A15,'Báo giá'!$R$4:$R$203,$B$1,'Báo giá'!$J$4:$J$203,"Thắng")</f>
        <v/>
      </c>
      <c r="E15" s="41">
        <f>SUMIFS('Báo giá'!$H$4:$H$203,'Báo giá'!$Q$4:$Q$203,$A15,'Báo giá'!$R$4:$R$203,$B$1,'Báo giá'!$J$4:$J$203,"Thắng")</f>
        <v/>
      </c>
      <c r="F15" s="42">
        <f>IFERROR($E15/$C15,0)</f>
        <v/>
      </c>
      <c r="G15" s="41">
        <f>COUNTIFS('Hợp đồng'!$Q$4:$Q$203,$A15,'Hợp đồng'!$R$4:$R$203,$B$1)</f>
        <v/>
      </c>
      <c r="H15" s="41">
        <f>SUMIFS('Hợp đồng'!$H$4:$H$203,'Hợp đồng'!$Q$4:$Q$203,$A15,'Hợp đồng'!$R$4:$R$203,$B$1)</f>
        <v/>
      </c>
      <c r="I15" s="41">
        <f>COUNTIFS('Hợp đồng'!$Q$4:$Q$203,$A15,'Hợp đồng'!$R$4:$R$203,$B$1,'Hợp đồng'!$L$4:$L$203,"Đúng hạn")</f>
        <v/>
      </c>
      <c r="J15" s="42">
        <f>IFERROR($I15/$G15,0)</f>
        <v/>
      </c>
      <c r="K15" s="41">
        <f>SUMIFS('Thanh toán'!$E$4:$E$303,'Thanh toán'!$H$4:$H$303,$A15,'Thanh toán'!$I$4:$I$303,$B$1)</f>
        <v/>
      </c>
    </row>
    <row r="16" ht="15" customHeight="1" s="30">
      <c r="A16" s="63" t="inlineStr">
        <is>
          <t>TỔNG CỘNG</t>
        </is>
      </c>
      <c r="B16" s="64">
        <f>SUM(B4:B15)</f>
        <v/>
      </c>
      <c r="C16" s="64">
        <f>SUM(C4:C15)</f>
        <v/>
      </c>
      <c r="D16" s="64">
        <f>SUM(D4:D15)</f>
        <v/>
      </c>
      <c r="E16" s="64">
        <f>SUM(E4:E15)</f>
        <v/>
      </c>
      <c r="F16" s="65">
        <f>IFERROR($E16/$C16,0)</f>
        <v/>
      </c>
      <c r="G16" s="64">
        <f>SUM(G4:G15)</f>
        <v/>
      </c>
      <c r="H16" s="64">
        <f>SUM(H4:H15)</f>
        <v/>
      </c>
      <c r="I16" s="64">
        <f>SUM(I4:I15)</f>
        <v/>
      </c>
      <c r="J16" s="65">
        <f>IFERROR($I16/$G16,0)</f>
        <v/>
      </c>
      <c r="K16" s="64">
        <f>SUM(K4:K15)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29" min="1" max="1"/>
    <col width="32" customWidth="1" style="29" min="2" max="2"/>
    <col width="12" customWidth="1" style="29" min="3" max="3"/>
    <col width="22" customWidth="1" style="29" min="4" max="5"/>
    <col width="12" customWidth="1" style="29" min="6" max="6"/>
    <col width="22" customWidth="1" style="29" min="7" max="7"/>
    <col width="20" customWidth="1" style="29" min="8" max="12"/>
  </cols>
  <sheetData>
    <row r="1" ht="17.35" customHeight="1" s="30">
      <c r="A1" s="31" t="inlineStr">
        <is>
          <t>THỐNG KÊ THEO KHÁCH HÀNG</t>
        </is>
      </c>
    </row>
    <row r="2" ht="15" customHeight="1" s="30">
      <c r="A2" s="32" t="inlineStr">
        <is>
          <t>Tự động lấy danh sách từ sheet 'Khách hàng' - tính trên toàn bộ dữ liệu</t>
        </is>
      </c>
    </row>
    <row r="3" ht="31.5" customHeight="1" s="30">
      <c r="A3" s="39" t="inlineStr">
        <is>
          <t>Mã KH</t>
        </is>
      </c>
      <c r="B3" s="39" t="inlineStr">
        <is>
          <t>Tên khách hàng</t>
        </is>
      </c>
      <c r="C3" s="39" t="inlineStr">
        <is>
          <t>Số báo giá</t>
        </is>
      </c>
      <c r="D3" s="39" t="inlineStr">
        <is>
          <t>Giá trị báo giá (VNĐ)</t>
        </is>
      </c>
      <c r="E3" s="39" t="inlineStr">
        <is>
          <t>Giá trị thắng (VNĐ)</t>
        </is>
      </c>
      <c r="F3" s="39" t="inlineStr">
        <is>
          <t>Tỷ lệ thắng</t>
        </is>
      </c>
      <c r="G3" s="39" t="inlineStr">
        <is>
          <t>Giá trị hợp đồng (VNĐ)</t>
        </is>
      </c>
      <c r="H3" s="39" t="inlineStr">
        <is>
          <t>Đã thu (VNĐ)</t>
        </is>
      </c>
      <c r="I3" s="39" t="inlineStr">
        <is>
          <t>Còn phải thu (VNĐ)</t>
        </is>
      </c>
      <c r="J3" s="39" t="inlineStr">
        <is>
          <t>Nợ quá hạn (VNĐ)</t>
        </is>
      </c>
      <c r="K3" s="39" t="inlineStr">
        <is>
          <t>Hạn mức (VNĐ)</t>
        </is>
      </c>
      <c r="L3" s="39" t="inlineStr">
        <is>
          <t>Cảnh báo hạn mức</t>
        </is>
      </c>
    </row>
    <row r="4" ht="15" customHeight="1" s="30">
      <c r="A4" s="35">
        <f>IF('Khách hàng'!A4="","",'Khách hàng'!A4)</f>
        <v/>
      </c>
      <c r="B4" s="35">
        <f>IF($A4="","",'Khách hàng'!B4)</f>
        <v/>
      </c>
      <c r="C4" s="41">
        <f>IF($A4="","",COUNTIFS('Báo giá'!$C$4:$C$203,$A4))</f>
        <v/>
      </c>
      <c r="D4" s="41">
        <f>IF($A4="","",SUMIFS('Báo giá'!$H$4:$H$203,'Báo giá'!$C$4:$C$203,$A4))</f>
        <v/>
      </c>
      <c r="E4" s="41">
        <f>IF($A4="","",SUMIFS('Báo giá'!$H$4:$H$203,'Báo giá'!$C$4:$C$203,$A4,'Báo giá'!$J$4:$J$203,"Thắng"))</f>
        <v/>
      </c>
      <c r="F4" s="42">
        <f>IFERROR($E4/$D4,"")</f>
        <v/>
      </c>
      <c r="G4" s="41">
        <f>IF($A4="","",SUMIFS('Hợp đồng'!$H$4:$H$203,'Hợp đồng'!$D$4:$D$203,$A4))</f>
        <v/>
      </c>
      <c r="H4" s="41">
        <f>IF($A4="","",SUMIFS('Công nợ'!$D$4:$D$203,'Công nợ'!$B$4:$B$203,$B4))</f>
        <v/>
      </c>
      <c r="I4" s="41">
        <f>IF($A4="","",SUMIFS('Công nợ'!$E$4:$E$203,'Công nợ'!$B$4:$B$203,$B4))</f>
        <v/>
      </c>
      <c r="J4" s="41">
        <f>IF($A4="","",SUMIFS('Công nợ'!$E$4:$E$203,'Công nợ'!$B$4:$B$203,$B4,'Công nợ'!$G$4:$G$203,"&gt;0"))</f>
        <v/>
      </c>
      <c r="K4" s="41">
        <f>IF($A4="","",'Khách hàng'!F4)</f>
        <v/>
      </c>
      <c r="L4" s="35">
        <f>IF($A4="","",IF($K4=0,"Chưa đặt hạn mức",IF($I4&gt;$K4,"VƯỢT HẠN MỨC","Trong hạn mức")))</f>
        <v/>
      </c>
    </row>
    <row r="5" ht="15" customHeight="1" s="30">
      <c r="A5" s="35">
        <f>IF('Khách hàng'!A5="","",'Khách hàng'!A5)</f>
        <v/>
      </c>
      <c r="B5" s="35">
        <f>IF($A5="","",'Khách hàng'!B5)</f>
        <v/>
      </c>
      <c r="C5" s="41">
        <f>IF($A5="","",COUNTIFS('Báo giá'!$C$4:$C$203,$A5))</f>
        <v/>
      </c>
      <c r="D5" s="41">
        <f>IF($A5="","",SUMIFS('Báo giá'!$H$4:$H$203,'Báo giá'!$C$4:$C$203,$A5))</f>
        <v/>
      </c>
      <c r="E5" s="41">
        <f>IF($A5="","",SUMIFS('Báo giá'!$H$4:$H$203,'Báo giá'!$C$4:$C$203,$A5,'Báo giá'!$J$4:$J$203,"Thắng"))</f>
        <v/>
      </c>
      <c r="F5" s="42">
        <f>IFERROR($E5/$D5,"")</f>
        <v/>
      </c>
      <c r="G5" s="41">
        <f>IF($A5="","",SUMIFS('Hợp đồng'!$H$4:$H$203,'Hợp đồng'!$D$4:$D$203,$A5))</f>
        <v/>
      </c>
      <c r="H5" s="41">
        <f>IF($A5="","",SUMIFS('Công nợ'!$D$4:$D$203,'Công nợ'!$B$4:$B$203,$B5))</f>
        <v/>
      </c>
      <c r="I5" s="41">
        <f>IF($A5="","",SUMIFS('Công nợ'!$E$4:$E$203,'Công nợ'!$B$4:$B$203,$B5))</f>
        <v/>
      </c>
      <c r="J5" s="41">
        <f>IF($A5="","",SUMIFS('Công nợ'!$E$4:$E$203,'Công nợ'!$B$4:$B$203,$B5,'Công nợ'!$G$4:$G$203,"&gt;0"))</f>
        <v/>
      </c>
      <c r="K5" s="41">
        <f>IF($A5="","",'Khách hàng'!F5)</f>
        <v/>
      </c>
      <c r="L5" s="35">
        <f>IF($A5="","",IF($K5=0,"Chưa đặt hạn mức",IF($I5&gt;$K5,"VƯỢT HẠN MỨC","Trong hạn mức")))</f>
        <v/>
      </c>
    </row>
    <row r="6" ht="15" customHeight="1" s="30">
      <c r="A6" s="35">
        <f>IF('Khách hàng'!A6="","",'Khách hàng'!A6)</f>
        <v/>
      </c>
      <c r="B6" s="35">
        <f>IF($A6="","",'Khách hàng'!B6)</f>
        <v/>
      </c>
      <c r="C6" s="41">
        <f>IF($A6="","",COUNTIFS('Báo giá'!$C$4:$C$203,$A6))</f>
        <v/>
      </c>
      <c r="D6" s="41">
        <f>IF($A6="","",SUMIFS('Báo giá'!$H$4:$H$203,'Báo giá'!$C$4:$C$203,$A6))</f>
        <v/>
      </c>
      <c r="E6" s="41">
        <f>IF($A6="","",SUMIFS('Báo giá'!$H$4:$H$203,'Báo giá'!$C$4:$C$203,$A6,'Báo giá'!$J$4:$J$203,"Thắng"))</f>
        <v/>
      </c>
      <c r="F6" s="42">
        <f>IFERROR($E6/$D6,"")</f>
        <v/>
      </c>
      <c r="G6" s="41">
        <f>IF($A6="","",SUMIFS('Hợp đồng'!$H$4:$H$203,'Hợp đồng'!$D$4:$D$203,$A6))</f>
        <v/>
      </c>
      <c r="H6" s="41">
        <f>IF($A6="","",SUMIFS('Công nợ'!$D$4:$D$203,'Công nợ'!$B$4:$B$203,$B6))</f>
        <v/>
      </c>
      <c r="I6" s="41">
        <f>IF($A6="","",SUMIFS('Công nợ'!$E$4:$E$203,'Công nợ'!$B$4:$B$203,$B6))</f>
        <v/>
      </c>
      <c r="J6" s="41">
        <f>IF($A6="","",SUMIFS('Công nợ'!$E$4:$E$203,'Công nợ'!$B$4:$B$203,$B6,'Công nợ'!$G$4:$G$203,"&gt;0"))</f>
        <v/>
      </c>
      <c r="K6" s="41">
        <f>IF($A6="","",'Khách hàng'!F6)</f>
        <v/>
      </c>
      <c r="L6" s="35">
        <f>IF($A6="","",IF($K6=0,"Chưa đặt hạn mức",IF($I6&gt;$K6,"VƯỢT HẠN MỨC","Trong hạn mức")))</f>
        <v/>
      </c>
    </row>
    <row r="7" ht="15" customHeight="1" s="30">
      <c r="A7" s="35">
        <f>IF('Khách hàng'!A7="","",'Khách hàng'!A7)</f>
        <v/>
      </c>
      <c r="B7" s="35">
        <f>IF($A7="","",'Khách hàng'!B7)</f>
        <v/>
      </c>
      <c r="C7" s="41">
        <f>IF($A7="","",COUNTIFS('Báo giá'!$C$4:$C$203,$A7))</f>
        <v/>
      </c>
      <c r="D7" s="41">
        <f>IF($A7="","",SUMIFS('Báo giá'!$H$4:$H$203,'Báo giá'!$C$4:$C$203,$A7))</f>
        <v/>
      </c>
      <c r="E7" s="41">
        <f>IF($A7="","",SUMIFS('Báo giá'!$H$4:$H$203,'Báo giá'!$C$4:$C$203,$A7,'Báo giá'!$J$4:$J$203,"Thắng"))</f>
        <v/>
      </c>
      <c r="F7" s="42">
        <f>IFERROR($E7/$D7,"")</f>
        <v/>
      </c>
      <c r="G7" s="41">
        <f>IF($A7="","",SUMIFS('Hợp đồng'!$H$4:$H$203,'Hợp đồng'!$D$4:$D$203,$A7))</f>
        <v/>
      </c>
      <c r="H7" s="41">
        <f>IF($A7="","",SUMIFS('Công nợ'!$D$4:$D$203,'Công nợ'!$B$4:$B$203,$B7))</f>
        <v/>
      </c>
      <c r="I7" s="41">
        <f>IF($A7="","",SUMIFS('Công nợ'!$E$4:$E$203,'Công nợ'!$B$4:$B$203,$B7))</f>
        <v/>
      </c>
      <c r="J7" s="41">
        <f>IF($A7="","",SUMIFS('Công nợ'!$E$4:$E$203,'Công nợ'!$B$4:$B$203,$B7,'Công nợ'!$G$4:$G$203,"&gt;0"))</f>
        <v/>
      </c>
      <c r="K7" s="41">
        <f>IF($A7="","",'Khách hàng'!F7)</f>
        <v/>
      </c>
      <c r="L7" s="35">
        <f>IF($A7="","",IF($K7=0,"Chưa đặt hạn mức",IF($I7&gt;$K7,"VƯỢT HẠN MỨC","Trong hạn mức")))</f>
        <v/>
      </c>
    </row>
    <row r="8" ht="15" customHeight="1" s="30">
      <c r="A8" s="35">
        <f>IF('Khách hàng'!A8="","",'Khách hàng'!A8)</f>
        <v/>
      </c>
      <c r="B8" s="35">
        <f>IF($A8="","",'Khách hàng'!B8)</f>
        <v/>
      </c>
      <c r="C8" s="41">
        <f>IF($A8="","",COUNTIFS('Báo giá'!$C$4:$C$203,$A8))</f>
        <v/>
      </c>
      <c r="D8" s="41">
        <f>IF($A8="","",SUMIFS('Báo giá'!$H$4:$H$203,'Báo giá'!$C$4:$C$203,$A8))</f>
        <v/>
      </c>
      <c r="E8" s="41">
        <f>IF($A8="","",SUMIFS('Báo giá'!$H$4:$H$203,'Báo giá'!$C$4:$C$203,$A8,'Báo giá'!$J$4:$J$203,"Thắng"))</f>
        <v/>
      </c>
      <c r="F8" s="42">
        <f>IFERROR($E8/$D8,"")</f>
        <v/>
      </c>
      <c r="G8" s="41">
        <f>IF($A8="","",SUMIFS('Hợp đồng'!$H$4:$H$203,'Hợp đồng'!$D$4:$D$203,$A8))</f>
        <v/>
      </c>
      <c r="H8" s="41">
        <f>IF($A8="","",SUMIFS('Công nợ'!$D$4:$D$203,'Công nợ'!$B$4:$B$203,$B8))</f>
        <v/>
      </c>
      <c r="I8" s="41">
        <f>IF($A8="","",SUMIFS('Công nợ'!$E$4:$E$203,'Công nợ'!$B$4:$B$203,$B8))</f>
        <v/>
      </c>
      <c r="J8" s="41">
        <f>IF($A8="","",SUMIFS('Công nợ'!$E$4:$E$203,'Công nợ'!$B$4:$B$203,$B8,'Công nợ'!$G$4:$G$203,"&gt;0"))</f>
        <v/>
      </c>
      <c r="K8" s="41">
        <f>IF($A8="","",'Khách hàng'!F8)</f>
        <v/>
      </c>
      <c r="L8" s="35">
        <f>IF($A8="","",IF($K8=0,"Chưa đặt hạn mức",IF($I8&gt;$K8,"VƯỢT HẠN MỨC","Trong hạn mức")))</f>
        <v/>
      </c>
    </row>
    <row r="9" ht="15" customHeight="1" s="30">
      <c r="A9" s="35">
        <f>IF('Khách hàng'!A9="","",'Khách hàng'!A9)</f>
        <v/>
      </c>
      <c r="B9" s="35">
        <f>IF($A9="","",'Khách hàng'!B9)</f>
        <v/>
      </c>
      <c r="C9" s="41">
        <f>IF($A9="","",COUNTIFS('Báo giá'!$C$4:$C$203,$A9))</f>
        <v/>
      </c>
      <c r="D9" s="41">
        <f>IF($A9="","",SUMIFS('Báo giá'!$H$4:$H$203,'Báo giá'!$C$4:$C$203,$A9))</f>
        <v/>
      </c>
      <c r="E9" s="41">
        <f>IF($A9="","",SUMIFS('Báo giá'!$H$4:$H$203,'Báo giá'!$C$4:$C$203,$A9,'Báo giá'!$J$4:$J$203,"Thắng"))</f>
        <v/>
      </c>
      <c r="F9" s="42">
        <f>IFERROR($E9/$D9,"")</f>
        <v/>
      </c>
      <c r="G9" s="41">
        <f>IF($A9="","",SUMIFS('Hợp đồng'!$H$4:$H$203,'Hợp đồng'!$D$4:$D$203,$A9))</f>
        <v/>
      </c>
      <c r="H9" s="41">
        <f>IF($A9="","",SUMIFS('Công nợ'!$D$4:$D$203,'Công nợ'!$B$4:$B$203,$B9))</f>
        <v/>
      </c>
      <c r="I9" s="41">
        <f>IF($A9="","",SUMIFS('Công nợ'!$E$4:$E$203,'Công nợ'!$B$4:$B$203,$B9))</f>
        <v/>
      </c>
      <c r="J9" s="41">
        <f>IF($A9="","",SUMIFS('Công nợ'!$E$4:$E$203,'Công nợ'!$B$4:$B$203,$B9,'Công nợ'!$G$4:$G$203,"&gt;0"))</f>
        <v/>
      </c>
      <c r="K9" s="41">
        <f>IF($A9="","",'Khách hàng'!F9)</f>
        <v/>
      </c>
      <c r="L9" s="35">
        <f>IF($A9="","",IF($K9=0,"Chưa đặt hạn mức",IF($I9&gt;$K9,"VƯỢT HẠN MỨC","Trong hạn mức")))</f>
        <v/>
      </c>
    </row>
    <row r="10" ht="15" customHeight="1" s="30">
      <c r="A10" s="35">
        <f>IF('Khách hàng'!A10="","",'Khách hàng'!A10)</f>
        <v/>
      </c>
      <c r="B10" s="35">
        <f>IF($A10="","",'Khách hàng'!B10)</f>
        <v/>
      </c>
      <c r="C10" s="41">
        <f>IF($A10="","",COUNTIFS('Báo giá'!$C$4:$C$203,$A10))</f>
        <v/>
      </c>
      <c r="D10" s="41">
        <f>IF($A10="","",SUMIFS('Báo giá'!$H$4:$H$203,'Báo giá'!$C$4:$C$203,$A10))</f>
        <v/>
      </c>
      <c r="E10" s="41">
        <f>IF($A10="","",SUMIFS('Báo giá'!$H$4:$H$203,'Báo giá'!$C$4:$C$203,$A10,'Báo giá'!$J$4:$J$203,"Thắng"))</f>
        <v/>
      </c>
      <c r="F10" s="42">
        <f>IFERROR($E10/$D10,"")</f>
        <v/>
      </c>
      <c r="G10" s="41">
        <f>IF($A10="","",SUMIFS('Hợp đồng'!$H$4:$H$203,'Hợp đồng'!$D$4:$D$203,$A10))</f>
        <v/>
      </c>
      <c r="H10" s="41">
        <f>IF($A10="","",SUMIFS('Công nợ'!$D$4:$D$203,'Công nợ'!$B$4:$B$203,$B10))</f>
        <v/>
      </c>
      <c r="I10" s="41">
        <f>IF($A10="","",SUMIFS('Công nợ'!$E$4:$E$203,'Công nợ'!$B$4:$B$203,$B10))</f>
        <v/>
      </c>
      <c r="J10" s="41">
        <f>IF($A10="","",SUMIFS('Công nợ'!$E$4:$E$203,'Công nợ'!$B$4:$B$203,$B10,'Công nợ'!$G$4:$G$203,"&gt;0"))</f>
        <v/>
      </c>
      <c r="K10" s="41">
        <f>IF($A10="","",'Khách hàng'!F10)</f>
        <v/>
      </c>
      <c r="L10" s="35">
        <f>IF($A10="","",IF($K10=0,"Chưa đặt hạn mức",IF($I10&gt;$K10,"VƯỢT HẠN MỨC","Trong hạn mức")))</f>
        <v/>
      </c>
    </row>
    <row r="11" ht="15" customHeight="1" s="30">
      <c r="A11" s="35">
        <f>IF('Khách hàng'!A11="","",'Khách hàng'!A11)</f>
        <v/>
      </c>
      <c r="B11" s="35">
        <f>IF($A11="","",'Khách hàng'!B11)</f>
        <v/>
      </c>
      <c r="C11" s="41">
        <f>IF($A11="","",COUNTIFS('Báo giá'!$C$4:$C$203,$A11))</f>
        <v/>
      </c>
      <c r="D11" s="41">
        <f>IF($A11="","",SUMIFS('Báo giá'!$H$4:$H$203,'Báo giá'!$C$4:$C$203,$A11))</f>
        <v/>
      </c>
      <c r="E11" s="41">
        <f>IF($A11="","",SUMIFS('Báo giá'!$H$4:$H$203,'Báo giá'!$C$4:$C$203,$A11,'Báo giá'!$J$4:$J$203,"Thắng"))</f>
        <v/>
      </c>
      <c r="F11" s="42">
        <f>IFERROR($E11/$D11,"")</f>
        <v/>
      </c>
      <c r="G11" s="41">
        <f>IF($A11="","",SUMIFS('Hợp đồng'!$H$4:$H$203,'Hợp đồng'!$D$4:$D$203,$A11))</f>
        <v/>
      </c>
      <c r="H11" s="41">
        <f>IF($A11="","",SUMIFS('Công nợ'!$D$4:$D$203,'Công nợ'!$B$4:$B$203,$B11))</f>
        <v/>
      </c>
      <c r="I11" s="41">
        <f>IF($A11="","",SUMIFS('Công nợ'!$E$4:$E$203,'Công nợ'!$B$4:$B$203,$B11))</f>
        <v/>
      </c>
      <c r="J11" s="41">
        <f>IF($A11="","",SUMIFS('Công nợ'!$E$4:$E$203,'Công nợ'!$B$4:$B$203,$B11,'Công nợ'!$G$4:$G$203,"&gt;0"))</f>
        <v/>
      </c>
      <c r="K11" s="41">
        <f>IF($A11="","",'Khách hàng'!F11)</f>
        <v/>
      </c>
      <c r="L11" s="35">
        <f>IF($A11="","",IF($K11=0,"Chưa đặt hạn mức",IF($I11&gt;$K11,"VƯỢT HẠN MỨC","Trong hạn mức")))</f>
        <v/>
      </c>
    </row>
    <row r="12" ht="15" customHeight="1" s="30">
      <c r="A12" s="35">
        <f>IF('Khách hàng'!A12="","",'Khách hàng'!A12)</f>
        <v/>
      </c>
      <c r="B12" s="35">
        <f>IF($A12="","",'Khách hàng'!B12)</f>
        <v/>
      </c>
      <c r="C12" s="41">
        <f>IF($A12="","",COUNTIFS('Báo giá'!$C$4:$C$203,$A12))</f>
        <v/>
      </c>
      <c r="D12" s="41">
        <f>IF($A12="","",SUMIFS('Báo giá'!$H$4:$H$203,'Báo giá'!$C$4:$C$203,$A12))</f>
        <v/>
      </c>
      <c r="E12" s="41">
        <f>IF($A12="","",SUMIFS('Báo giá'!$H$4:$H$203,'Báo giá'!$C$4:$C$203,$A12,'Báo giá'!$J$4:$J$203,"Thắng"))</f>
        <v/>
      </c>
      <c r="F12" s="42">
        <f>IFERROR($E12/$D12,"")</f>
        <v/>
      </c>
      <c r="G12" s="41">
        <f>IF($A12="","",SUMIFS('Hợp đồng'!$H$4:$H$203,'Hợp đồng'!$D$4:$D$203,$A12))</f>
        <v/>
      </c>
      <c r="H12" s="41">
        <f>IF($A12="","",SUMIFS('Công nợ'!$D$4:$D$203,'Công nợ'!$B$4:$B$203,$B12))</f>
        <v/>
      </c>
      <c r="I12" s="41">
        <f>IF($A12="","",SUMIFS('Công nợ'!$E$4:$E$203,'Công nợ'!$B$4:$B$203,$B12))</f>
        <v/>
      </c>
      <c r="J12" s="41">
        <f>IF($A12="","",SUMIFS('Công nợ'!$E$4:$E$203,'Công nợ'!$B$4:$B$203,$B12,'Công nợ'!$G$4:$G$203,"&gt;0"))</f>
        <v/>
      </c>
      <c r="K12" s="41">
        <f>IF($A12="","",'Khách hàng'!F12)</f>
        <v/>
      </c>
      <c r="L12" s="35">
        <f>IF($A12="","",IF($K12=0,"Chưa đặt hạn mức",IF($I12&gt;$K12,"VƯỢT HẠN MỨC","Trong hạn mức")))</f>
        <v/>
      </c>
    </row>
    <row r="13" ht="15" customHeight="1" s="30">
      <c r="A13" s="35">
        <f>IF('Khách hàng'!A13="","",'Khách hàng'!A13)</f>
        <v/>
      </c>
      <c r="B13" s="35">
        <f>IF($A13="","",'Khách hàng'!B13)</f>
        <v/>
      </c>
      <c r="C13" s="41">
        <f>IF($A13="","",COUNTIFS('Báo giá'!$C$4:$C$203,$A13))</f>
        <v/>
      </c>
      <c r="D13" s="41">
        <f>IF($A13="","",SUMIFS('Báo giá'!$H$4:$H$203,'Báo giá'!$C$4:$C$203,$A13))</f>
        <v/>
      </c>
      <c r="E13" s="41">
        <f>IF($A13="","",SUMIFS('Báo giá'!$H$4:$H$203,'Báo giá'!$C$4:$C$203,$A13,'Báo giá'!$J$4:$J$203,"Thắng"))</f>
        <v/>
      </c>
      <c r="F13" s="42">
        <f>IFERROR($E13/$D13,"")</f>
        <v/>
      </c>
      <c r="G13" s="41">
        <f>IF($A13="","",SUMIFS('Hợp đồng'!$H$4:$H$203,'Hợp đồng'!$D$4:$D$203,$A13))</f>
        <v/>
      </c>
      <c r="H13" s="41">
        <f>IF($A13="","",SUMIFS('Công nợ'!$D$4:$D$203,'Công nợ'!$B$4:$B$203,$B13))</f>
        <v/>
      </c>
      <c r="I13" s="41">
        <f>IF($A13="","",SUMIFS('Công nợ'!$E$4:$E$203,'Công nợ'!$B$4:$B$203,$B13))</f>
        <v/>
      </c>
      <c r="J13" s="41">
        <f>IF($A13="","",SUMIFS('Công nợ'!$E$4:$E$203,'Công nợ'!$B$4:$B$203,$B13,'Công nợ'!$G$4:$G$203,"&gt;0"))</f>
        <v/>
      </c>
      <c r="K13" s="41">
        <f>IF($A13="","",'Khách hàng'!F13)</f>
        <v/>
      </c>
      <c r="L13" s="35">
        <f>IF($A13="","",IF($K13=0,"Chưa đặt hạn mức",IF($I13&gt;$K13,"VƯỢT HẠN MỨC","Trong hạn mức")))</f>
        <v/>
      </c>
    </row>
    <row r="14" ht="15" customHeight="1" s="30">
      <c r="A14" s="35">
        <f>IF('Khách hàng'!A14="","",'Khách hàng'!A14)</f>
        <v/>
      </c>
      <c r="B14" s="35">
        <f>IF($A14="","",'Khách hàng'!B14)</f>
        <v/>
      </c>
      <c r="C14" s="41">
        <f>IF($A14="","",COUNTIFS('Báo giá'!$C$4:$C$203,$A14))</f>
        <v/>
      </c>
      <c r="D14" s="41">
        <f>IF($A14="","",SUMIFS('Báo giá'!$H$4:$H$203,'Báo giá'!$C$4:$C$203,$A14))</f>
        <v/>
      </c>
      <c r="E14" s="41">
        <f>IF($A14="","",SUMIFS('Báo giá'!$H$4:$H$203,'Báo giá'!$C$4:$C$203,$A14,'Báo giá'!$J$4:$J$203,"Thắng"))</f>
        <v/>
      </c>
      <c r="F14" s="42">
        <f>IFERROR($E14/$D14,"")</f>
        <v/>
      </c>
      <c r="G14" s="41">
        <f>IF($A14="","",SUMIFS('Hợp đồng'!$H$4:$H$203,'Hợp đồng'!$D$4:$D$203,$A14))</f>
        <v/>
      </c>
      <c r="H14" s="41">
        <f>IF($A14="","",SUMIFS('Công nợ'!$D$4:$D$203,'Công nợ'!$B$4:$B$203,$B14))</f>
        <v/>
      </c>
      <c r="I14" s="41">
        <f>IF($A14="","",SUMIFS('Công nợ'!$E$4:$E$203,'Công nợ'!$B$4:$B$203,$B14))</f>
        <v/>
      </c>
      <c r="J14" s="41">
        <f>IF($A14="","",SUMIFS('Công nợ'!$E$4:$E$203,'Công nợ'!$B$4:$B$203,$B14,'Công nợ'!$G$4:$G$203,"&gt;0"))</f>
        <v/>
      </c>
      <c r="K14" s="41">
        <f>IF($A14="","",'Khách hàng'!F14)</f>
        <v/>
      </c>
      <c r="L14" s="35">
        <f>IF($A14="","",IF($K14=0,"Chưa đặt hạn mức",IF($I14&gt;$K14,"VƯỢT HẠN MỨC","Trong hạn mức")))</f>
        <v/>
      </c>
    </row>
    <row r="15" ht="15" customHeight="1" s="30">
      <c r="A15" s="35">
        <f>IF('Khách hàng'!A15="","",'Khách hàng'!A15)</f>
        <v/>
      </c>
      <c r="B15" s="35">
        <f>IF($A15="","",'Khách hàng'!B15)</f>
        <v/>
      </c>
      <c r="C15" s="41">
        <f>IF($A15="","",COUNTIFS('Báo giá'!$C$4:$C$203,$A15))</f>
        <v/>
      </c>
      <c r="D15" s="41">
        <f>IF($A15="","",SUMIFS('Báo giá'!$H$4:$H$203,'Báo giá'!$C$4:$C$203,$A15))</f>
        <v/>
      </c>
      <c r="E15" s="41">
        <f>IF($A15="","",SUMIFS('Báo giá'!$H$4:$H$203,'Báo giá'!$C$4:$C$203,$A15,'Báo giá'!$J$4:$J$203,"Thắng"))</f>
        <v/>
      </c>
      <c r="F15" s="42">
        <f>IFERROR($E15/$D15,"")</f>
        <v/>
      </c>
      <c r="G15" s="41">
        <f>IF($A15="","",SUMIFS('Hợp đồng'!$H$4:$H$203,'Hợp đồng'!$D$4:$D$203,$A15))</f>
        <v/>
      </c>
      <c r="H15" s="41">
        <f>IF($A15="","",SUMIFS('Công nợ'!$D$4:$D$203,'Công nợ'!$B$4:$B$203,$B15))</f>
        <v/>
      </c>
      <c r="I15" s="41">
        <f>IF($A15="","",SUMIFS('Công nợ'!$E$4:$E$203,'Công nợ'!$B$4:$B$203,$B15))</f>
        <v/>
      </c>
      <c r="J15" s="41">
        <f>IF($A15="","",SUMIFS('Công nợ'!$E$4:$E$203,'Công nợ'!$B$4:$B$203,$B15,'Công nợ'!$G$4:$G$203,"&gt;0"))</f>
        <v/>
      </c>
      <c r="K15" s="41">
        <f>IF($A15="","",'Khách hàng'!F15)</f>
        <v/>
      </c>
      <c r="L15" s="35">
        <f>IF($A15="","",IF($K15=0,"Chưa đặt hạn mức",IF($I15&gt;$K15,"VƯỢT HẠN MỨC","Trong hạn mức")))</f>
        <v/>
      </c>
    </row>
    <row r="16" ht="15" customHeight="1" s="30">
      <c r="A16" s="35">
        <f>IF('Khách hàng'!A16="","",'Khách hàng'!A16)</f>
        <v/>
      </c>
      <c r="B16" s="35">
        <f>IF($A16="","",'Khách hàng'!B16)</f>
        <v/>
      </c>
      <c r="C16" s="41">
        <f>IF($A16="","",COUNTIFS('Báo giá'!$C$4:$C$203,$A16))</f>
        <v/>
      </c>
      <c r="D16" s="41">
        <f>IF($A16="","",SUMIFS('Báo giá'!$H$4:$H$203,'Báo giá'!$C$4:$C$203,$A16))</f>
        <v/>
      </c>
      <c r="E16" s="41">
        <f>IF($A16="","",SUMIFS('Báo giá'!$H$4:$H$203,'Báo giá'!$C$4:$C$203,$A16,'Báo giá'!$J$4:$J$203,"Thắng"))</f>
        <v/>
      </c>
      <c r="F16" s="42">
        <f>IFERROR($E16/$D16,"")</f>
        <v/>
      </c>
      <c r="G16" s="41">
        <f>IF($A16="","",SUMIFS('Hợp đồng'!$H$4:$H$203,'Hợp đồng'!$D$4:$D$203,$A16))</f>
        <v/>
      </c>
      <c r="H16" s="41">
        <f>IF($A16="","",SUMIFS('Công nợ'!$D$4:$D$203,'Công nợ'!$B$4:$B$203,$B16))</f>
        <v/>
      </c>
      <c r="I16" s="41">
        <f>IF($A16="","",SUMIFS('Công nợ'!$E$4:$E$203,'Công nợ'!$B$4:$B$203,$B16))</f>
        <v/>
      </c>
      <c r="J16" s="41">
        <f>IF($A16="","",SUMIFS('Công nợ'!$E$4:$E$203,'Công nợ'!$B$4:$B$203,$B16,'Công nợ'!$G$4:$G$203,"&gt;0"))</f>
        <v/>
      </c>
      <c r="K16" s="41">
        <f>IF($A16="","",'Khách hàng'!F16)</f>
        <v/>
      </c>
      <c r="L16" s="35">
        <f>IF($A16="","",IF($K16=0,"Chưa đặt hạn mức",IF($I16&gt;$K16,"VƯỢT HẠN MỨC","Trong hạn mức")))</f>
        <v/>
      </c>
    </row>
    <row r="17" ht="15" customHeight="1" s="30">
      <c r="A17" s="35">
        <f>IF('Khách hàng'!A17="","",'Khách hàng'!A17)</f>
        <v/>
      </c>
      <c r="B17" s="35">
        <f>IF($A17="","",'Khách hàng'!B17)</f>
        <v/>
      </c>
      <c r="C17" s="41">
        <f>IF($A17="","",COUNTIFS('Báo giá'!$C$4:$C$203,$A17))</f>
        <v/>
      </c>
      <c r="D17" s="41">
        <f>IF($A17="","",SUMIFS('Báo giá'!$H$4:$H$203,'Báo giá'!$C$4:$C$203,$A17))</f>
        <v/>
      </c>
      <c r="E17" s="41">
        <f>IF($A17="","",SUMIFS('Báo giá'!$H$4:$H$203,'Báo giá'!$C$4:$C$203,$A17,'Báo giá'!$J$4:$J$203,"Thắng"))</f>
        <v/>
      </c>
      <c r="F17" s="42">
        <f>IFERROR($E17/$D17,"")</f>
        <v/>
      </c>
      <c r="G17" s="41">
        <f>IF($A17="","",SUMIFS('Hợp đồng'!$H$4:$H$203,'Hợp đồng'!$D$4:$D$203,$A17))</f>
        <v/>
      </c>
      <c r="H17" s="41">
        <f>IF($A17="","",SUMIFS('Công nợ'!$D$4:$D$203,'Công nợ'!$B$4:$B$203,$B17))</f>
        <v/>
      </c>
      <c r="I17" s="41">
        <f>IF($A17="","",SUMIFS('Công nợ'!$E$4:$E$203,'Công nợ'!$B$4:$B$203,$B17))</f>
        <v/>
      </c>
      <c r="J17" s="41">
        <f>IF($A17="","",SUMIFS('Công nợ'!$E$4:$E$203,'Công nợ'!$B$4:$B$203,$B17,'Công nợ'!$G$4:$G$203,"&gt;0"))</f>
        <v/>
      </c>
      <c r="K17" s="41">
        <f>IF($A17="","",'Khách hàng'!F17)</f>
        <v/>
      </c>
      <c r="L17" s="35">
        <f>IF($A17="","",IF($K17=0,"Chưa đặt hạn mức",IF($I17&gt;$K17,"VƯỢT HẠN MỨC","Trong hạn mức")))</f>
        <v/>
      </c>
    </row>
    <row r="18" ht="15" customHeight="1" s="30">
      <c r="A18" s="35">
        <f>IF('Khách hàng'!A18="","",'Khách hàng'!A18)</f>
        <v/>
      </c>
      <c r="B18" s="35">
        <f>IF($A18="","",'Khách hàng'!B18)</f>
        <v/>
      </c>
      <c r="C18" s="41">
        <f>IF($A18="","",COUNTIFS('Báo giá'!$C$4:$C$203,$A18))</f>
        <v/>
      </c>
      <c r="D18" s="41">
        <f>IF($A18="","",SUMIFS('Báo giá'!$H$4:$H$203,'Báo giá'!$C$4:$C$203,$A18))</f>
        <v/>
      </c>
      <c r="E18" s="41">
        <f>IF($A18="","",SUMIFS('Báo giá'!$H$4:$H$203,'Báo giá'!$C$4:$C$203,$A18,'Báo giá'!$J$4:$J$203,"Thắng"))</f>
        <v/>
      </c>
      <c r="F18" s="42">
        <f>IFERROR($E18/$D18,"")</f>
        <v/>
      </c>
      <c r="G18" s="41">
        <f>IF($A18="","",SUMIFS('Hợp đồng'!$H$4:$H$203,'Hợp đồng'!$D$4:$D$203,$A18))</f>
        <v/>
      </c>
      <c r="H18" s="41">
        <f>IF($A18="","",SUMIFS('Công nợ'!$D$4:$D$203,'Công nợ'!$B$4:$B$203,$B18))</f>
        <v/>
      </c>
      <c r="I18" s="41">
        <f>IF($A18="","",SUMIFS('Công nợ'!$E$4:$E$203,'Công nợ'!$B$4:$B$203,$B18))</f>
        <v/>
      </c>
      <c r="J18" s="41">
        <f>IF($A18="","",SUMIFS('Công nợ'!$E$4:$E$203,'Công nợ'!$B$4:$B$203,$B18,'Công nợ'!$G$4:$G$203,"&gt;0"))</f>
        <v/>
      </c>
      <c r="K18" s="41">
        <f>IF($A18="","",'Khách hàng'!F18)</f>
        <v/>
      </c>
      <c r="L18" s="35">
        <f>IF($A18="","",IF($K18=0,"Chưa đặt hạn mức",IF($I18&gt;$K18,"VƯỢT HẠN MỨC","Trong hạn mức")))</f>
        <v/>
      </c>
    </row>
    <row r="19" ht="15" customHeight="1" s="30">
      <c r="A19" s="35">
        <f>IF('Khách hàng'!A19="","",'Khách hàng'!A19)</f>
        <v/>
      </c>
      <c r="B19" s="35">
        <f>IF($A19="","",'Khách hàng'!B19)</f>
        <v/>
      </c>
      <c r="C19" s="41">
        <f>IF($A19="","",COUNTIFS('Báo giá'!$C$4:$C$203,$A19))</f>
        <v/>
      </c>
      <c r="D19" s="41">
        <f>IF($A19="","",SUMIFS('Báo giá'!$H$4:$H$203,'Báo giá'!$C$4:$C$203,$A19))</f>
        <v/>
      </c>
      <c r="E19" s="41">
        <f>IF($A19="","",SUMIFS('Báo giá'!$H$4:$H$203,'Báo giá'!$C$4:$C$203,$A19,'Báo giá'!$J$4:$J$203,"Thắng"))</f>
        <v/>
      </c>
      <c r="F19" s="42">
        <f>IFERROR($E19/$D19,"")</f>
        <v/>
      </c>
      <c r="G19" s="41">
        <f>IF($A19="","",SUMIFS('Hợp đồng'!$H$4:$H$203,'Hợp đồng'!$D$4:$D$203,$A19))</f>
        <v/>
      </c>
      <c r="H19" s="41">
        <f>IF($A19="","",SUMIFS('Công nợ'!$D$4:$D$203,'Công nợ'!$B$4:$B$203,$B19))</f>
        <v/>
      </c>
      <c r="I19" s="41">
        <f>IF($A19="","",SUMIFS('Công nợ'!$E$4:$E$203,'Công nợ'!$B$4:$B$203,$B19))</f>
        <v/>
      </c>
      <c r="J19" s="41">
        <f>IF($A19="","",SUMIFS('Công nợ'!$E$4:$E$203,'Công nợ'!$B$4:$B$203,$B19,'Công nợ'!$G$4:$G$203,"&gt;0"))</f>
        <v/>
      </c>
      <c r="K19" s="41">
        <f>IF($A19="","",'Khách hàng'!F19)</f>
        <v/>
      </c>
      <c r="L19" s="35">
        <f>IF($A19="","",IF($K19=0,"Chưa đặt hạn mức",IF($I19&gt;$K19,"VƯỢT HẠN MỨC","Trong hạn mức")))</f>
        <v/>
      </c>
    </row>
    <row r="20" ht="15" customHeight="1" s="30">
      <c r="A20" s="35">
        <f>IF('Khách hàng'!A20="","",'Khách hàng'!A20)</f>
        <v/>
      </c>
      <c r="B20" s="35">
        <f>IF($A20="","",'Khách hàng'!B20)</f>
        <v/>
      </c>
      <c r="C20" s="41">
        <f>IF($A20="","",COUNTIFS('Báo giá'!$C$4:$C$203,$A20))</f>
        <v/>
      </c>
      <c r="D20" s="41">
        <f>IF($A20="","",SUMIFS('Báo giá'!$H$4:$H$203,'Báo giá'!$C$4:$C$203,$A20))</f>
        <v/>
      </c>
      <c r="E20" s="41">
        <f>IF($A20="","",SUMIFS('Báo giá'!$H$4:$H$203,'Báo giá'!$C$4:$C$203,$A20,'Báo giá'!$J$4:$J$203,"Thắng"))</f>
        <v/>
      </c>
      <c r="F20" s="42">
        <f>IFERROR($E20/$D20,"")</f>
        <v/>
      </c>
      <c r="G20" s="41">
        <f>IF($A20="","",SUMIFS('Hợp đồng'!$H$4:$H$203,'Hợp đồng'!$D$4:$D$203,$A20))</f>
        <v/>
      </c>
      <c r="H20" s="41">
        <f>IF($A20="","",SUMIFS('Công nợ'!$D$4:$D$203,'Công nợ'!$B$4:$B$203,$B20))</f>
        <v/>
      </c>
      <c r="I20" s="41">
        <f>IF($A20="","",SUMIFS('Công nợ'!$E$4:$E$203,'Công nợ'!$B$4:$B$203,$B20))</f>
        <v/>
      </c>
      <c r="J20" s="41">
        <f>IF($A20="","",SUMIFS('Công nợ'!$E$4:$E$203,'Công nợ'!$B$4:$B$203,$B20,'Công nợ'!$G$4:$G$203,"&gt;0"))</f>
        <v/>
      </c>
      <c r="K20" s="41">
        <f>IF($A20="","",'Khách hàng'!F20)</f>
        <v/>
      </c>
      <c r="L20" s="35">
        <f>IF($A20="","",IF($K20=0,"Chưa đặt hạn mức",IF($I20&gt;$K20,"VƯỢT HẠN MỨC","Trong hạn mức")))</f>
        <v/>
      </c>
    </row>
    <row r="21" ht="15" customHeight="1" s="30">
      <c r="A21" s="35">
        <f>IF('Khách hàng'!A21="","",'Khách hàng'!A21)</f>
        <v/>
      </c>
      <c r="B21" s="35">
        <f>IF($A21="","",'Khách hàng'!B21)</f>
        <v/>
      </c>
      <c r="C21" s="41">
        <f>IF($A21="","",COUNTIFS('Báo giá'!$C$4:$C$203,$A21))</f>
        <v/>
      </c>
      <c r="D21" s="41">
        <f>IF($A21="","",SUMIFS('Báo giá'!$H$4:$H$203,'Báo giá'!$C$4:$C$203,$A21))</f>
        <v/>
      </c>
      <c r="E21" s="41">
        <f>IF($A21="","",SUMIFS('Báo giá'!$H$4:$H$203,'Báo giá'!$C$4:$C$203,$A21,'Báo giá'!$J$4:$J$203,"Thắng"))</f>
        <v/>
      </c>
      <c r="F21" s="42">
        <f>IFERROR($E21/$D21,"")</f>
        <v/>
      </c>
      <c r="G21" s="41">
        <f>IF($A21="","",SUMIFS('Hợp đồng'!$H$4:$H$203,'Hợp đồng'!$D$4:$D$203,$A21))</f>
        <v/>
      </c>
      <c r="H21" s="41">
        <f>IF($A21="","",SUMIFS('Công nợ'!$D$4:$D$203,'Công nợ'!$B$4:$B$203,$B21))</f>
        <v/>
      </c>
      <c r="I21" s="41">
        <f>IF($A21="","",SUMIFS('Công nợ'!$E$4:$E$203,'Công nợ'!$B$4:$B$203,$B21))</f>
        <v/>
      </c>
      <c r="J21" s="41">
        <f>IF($A21="","",SUMIFS('Công nợ'!$E$4:$E$203,'Công nợ'!$B$4:$B$203,$B21,'Công nợ'!$G$4:$G$203,"&gt;0"))</f>
        <v/>
      </c>
      <c r="K21" s="41">
        <f>IF($A21="","",'Khách hàng'!F21)</f>
        <v/>
      </c>
      <c r="L21" s="35">
        <f>IF($A21="","",IF($K21=0,"Chưa đặt hạn mức",IF($I21&gt;$K21,"VƯỢT HẠN MỨC","Trong hạn mức")))</f>
        <v/>
      </c>
    </row>
    <row r="22" ht="15" customHeight="1" s="30">
      <c r="A22" s="35">
        <f>IF('Khách hàng'!A22="","",'Khách hàng'!A22)</f>
        <v/>
      </c>
      <c r="B22" s="35">
        <f>IF($A22="","",'Khách hàng'!B22)</f>
        <v/>
      </c>
      <c r="C22" s="41">
        <f>IF($A22="","",COUNTIFS('Báo giá'!$C$4:$C$203,$A22))</f>
        <v/>
      </c>
      <c r="D22" s="41">
        <f>IF($A22="","",SUMIFS('Báo giá'!$H$4:$H$203,'Báo giá'!$C$4:$C$203,$A22))</f>
        <v/>
      </c>
      <c r="E22" s="41">
        <f>IF($A22="","",SUMIFS('Báo giá'!$H$4:$H$203,'Báo giá'!$C$4:$C$203,$A22,'Báo giá'!$J$4:$J$203,"Thắng"))</f>
        <v/>
      </c>
      <c r="F22" s="42">
        <f>IFERROR($E22/$D22,"")</f>
        <v/>
      </c>
      <c r="G22" s="41">
        <f>IF($A22="","",SUMIFS('Hợp đồng'!$H$4:$H$203,'Hợp đồng'!$D$4:$D$203,$A22))</f>
        <v/>
      </c>
      <c r="H22" s="41">
        <f>IF($A22="","",SUMIFS('Công nợ'!$D$4:$D$203,'Công nợ'!$B$4:$B$203,$B22))</f>
        <v/>
      </c>
      <c r="I22" s="41">
        <f>IF($A22="","",SUMIFS('Công nợ'!$E$4:$E$203,'Công nợ'!$B$4:$B$203,$B22))</f>
        <v/>
      </c>
      <c r="J22" s="41">
        <f>IF($A22="","",SUMIFS('Công nợ'!$E$4:$E$203,'Công nợ'!$B$4:$B$203,$B22,'Công nợ'!$G$4:$G$203,"&gt;0"))</f>
        <v/>
      </c>
      <c r="K22" s="41">
        <f>IF($A22="","",'Khách hàng'!F22)</f>
        <v/>
      </c>
      <c r="L22" s="35">
        <f>IF($A22="","",IF($K22=0,"Chưa đặt hạn mức",IF($I22&gt;$K22,"VƯỢT HẠN MỨC","Trong hạn mức")))</f>
        <v/>
      </c>
    </row>
    <row r="23" ht="15" customHeight="1" s="30">
      <c r="A23" s="35">
        <f>IF('Khách hàng'!A23="","",'Khách hàng'!A23)</f>
        <v/>
      </c>
      <c r="B23" s="35">
        <f>IF($A23="","",'Khách hàng'!B23)</f>
        <v/>
      </c>
      <c r="C23" s="41">
        <f>IF($A23="","",COUNTIFS('Báo giá'!$C$4:$C$203,$A23))</f>
        <v/>
      </c>
      <c r="D23" s="41">
        <f>IF($A23="","",SUMIFS('Báo giá'!$H$4:$H$203,'Báo giá'!$C$4:$C$203,$A23))</f>
        <v/>
      </c>
      <c r="E23" s="41">
        <f>IF($A23="","",SUMIFS('Báo giá'!$H$4:$H$203,'Báo giá'!$C$4:$C$203,$A23,'Báo giá'!$J$4:$J$203,"Thắng"))</f>
        <v/>
      </c>
      <c r="F23" s="42">
        <f>IFERROR($E23/$D23,"")</f>
        <v/>
      </c>
      <c r="G23" s="41">
        <f>IF($A23="","",SUMIFS('Hợp đồng'!$H$4:$H$203,'Hợp đồng'!$D$4:$D$203,$A23))</f>
        <v/>
      </c>
      <c r="H23" s="41">
        <f>IF($A23="","",SUMIFS('Công nợ'!$D$4:$D$203,'Công nợ'!$B$4:$B$203,$B23))</f>
        <v/>
      </c>
      <c r="I23" s="41">
        <f>IF($A23="","",SUMIFS('Công nợ'!$E$4:$E$203,'Công nợ'!$B$4:$B$203,$B23))</f>
        <v/>
      </c>
      <c r="J23" s="41">
        <f>IF($A23="","",SUMIFS('Công nợ'!$E$4:$E$203,'Công nợ'!$B$4:$B$203,$B23,'Công nợ'!$G$4:$G$203,"&gt;0"))</f>
        <v/>
      </c>
      <c r="K23" s="41">
        <f>IF($A23="","",'Khách hàng'!F23)</f>
        <v/>
      </c>
      <c r="L23" s="35">
        <f>IF($A23="","",IF($K23=0,"Chưa đặt hạn mức",IF($I23&gt;$K23,"VƯỢT HẠN MỨC","Trong hạn mức")))</f>
        <v/>
      </c>
    </row>
    <row r="24" ht="15" customHeight="1" s="30">
      <c r="A24" s="35">
        <f>IF('Khách hàng'!A24="","",'Khách hàng'!A24)</f>
        <v/>
      </c>
      <c r="B24" s="35">
        <f>IF($A24="","",'Khách hàng'!B24)</f>
        <v/>
      </c>
      <c r="C24" s="41">
        <f>IF($A24="","",COUNTIFS('Báo giá'!$C$4:$C$203,$A24))</f>
        <v/>
      </c>
      <c r="D24" s="41">
        <f>IF($A24="","",SUMIFS('Báo giá'!$H$4:$H$203,'Báo giá'!$C$4:$C$203,$A24))</f>
        <v/>
      </c>
      <c r="E24" s="41">
        <f>IF($A24="","",SUMIFS('Báo giá'!$H$4:$H$203,'Báo giá'!$C$4:$C$203,$A24,'Báo giá'!$J$4:$J$203,"Thắng"))</f>
        <v/>
      </c>
      <c r="F24" s="42">
        <f>IFERROR($E24/$D24,"")</f>
        <v/>
      </c>
      <c r="G24" s="41">
        <f>IF($A24="","",SUMIFS('Hợp đồng'!$H$4:$H$203,'Hợp đồng'!$D$4:$D$203,$A24))</f>
        <v/>
      </c>
      <c r="H24" s="41">
        <f>IF($A24="","",SUMIFS('Công nợ'!$D$4:$D$203,'Công nợ'!$B$4:$B$203,$B24))</f>
        <v/>
      </c>
      <c r="I24" s="41">
        <f>IF($A24="","",SUMIFS('Công nợ'!$E$4:$E$203,'Công nợ'!$B$4:$B$203,$B24))</f>
        <v/>
      </c>
      <c r="J24" s="41">
        <f>IF($A24="","",SUMIFS('Công nợ'!$E$4:$E$203,'Công nợ'!$B$4:$B$203,$B24,'Công nợ'!$G$4:$G$203,"&gt;0"))</f>
        <v/>
      </c>
      <c r="K24" s="41">
        <f>IF($A24="","",'Khách hàng'!F24)</f>
        <v/>
      </c>
      <c r="L24" s="35">
        <f>IF($A24="","",IF($K24=0,"Chưa đặt hạn mức",IF($I24&gt;$K24,"VƯỢT HẠN MỨC","Trong hạn mức")))</f>
        <v/>
      </c>
    </row>
    <row r="25" ht="15" customHeight="1" s="30">
      <c r="A25" s="35">
        <f>IF('Khách hàng'!A25="","",'Khách hàng'!A25)</f>
        <v/>
      </c>
      <c r="B25" s="35">
        <f>IF($A25="","",'Khách hàng'!B25)</f>
        <v/>
      </c>
      <c r="C25" s="41">
        <f>IF($A25="","",COUNTIFS('Báo giá'!$C$4:$C$203,$A25))</f>
        <v/>
      </c>
      <c r="D25" s="41">
        <f>IF($A25="","",SUMIFS('Báo giá'!$H$4:$H$203,'Báo giá'!$C$4:$C$203,$A25))</f>
        <v/>
      </c>
      <c r="E25" s="41">
        <f>IF($A25="","",SUMIFS('Báo giá'!$H$4:$H$203,'Báo giá'!$C$4:$C$203,$A25,'Báo giá'!$J$4:$J$203,"Thắng"))</f>
        <v/>
      </c>
      <c r="F25" s="42">
        <f>IFERROR($E25/$D25,"")</f>
        <v/>
      </c>
      <c r="G25" s="41">
        <f>IF($A25="","",SUMIFS('Hợp đồng'!$H$4:$H$203,'Hợp đồng'!$D$4:$D$203,$A25))</f>
        <v/>
      </c>
      <c r="H25" s="41">
        <f>IF($A25="","",SUMIFS('Công nợ'!$D$4:$D$203,'Công nợ'!$B$4:$B$203,$B25))</f>
        <v/>
      </c>
      <c r="I25" s="41">
        <f>IF($A25="","",SUMIFS('Công nợ'!$E$4:$E$203,'Công nợ'!$B$4:$B$203,$B25))</f>
        <v/>
      </c>
      <c r="J25" s="41">
        <f>IF($A25="","",SUMIFS('Công nợ'!$E$4:$E$203,'Công nợ'!$B$4:$B$203,$B25,'Công nợ'!$G$4:$G$203,"&gt;0"))</f>
        <v/>
      </c>
      <c r="K25" s="41">
        <f>IF($A25="","",'Khách hàng'!F25)</f>
        <v/>
      </c>
      <c r="L25" s="35">
        <f>IF($A25="","",IF($K25=0,"Chưa đặt hạn mức",IF($I25&gt;$K25,"VƯỢT HẠN MỨC","Trong hạn mức")))</f>
        <v/>
      </c>
    </row>
    <row r="26" ht="15" customHeight="1" s="30">
      <c r="A26" s="35">
        <f>IF('Khách hàng'!A26="","",'Khách hàng'!A26)</f>
        <v/>
      </c>
      <c r="B26" s="35">
        <f>IF($A26="","",'Khách hàng'!B26)</f>
        <v/>
      </c>
      <c r="C26" s="41">
        <f>IF($A26="","",COUNTIFS('Báo giá'!$C$4:$C$203,$A26))</f>
        <v/>
      </c>
      <c r="D26" s="41">
        <f>IF($A26="","",SUMIFS('Báo giá'!$H$4:$H$203,'Báo giá'!$C$4:$C$203,$A26))</f>
        <v/>
      </c>
      <c r="E26" s="41">
        <f>IF($A26="","",SUMIFS('Báo giá'!$H$4:$H$203,'Báo giá'!$C$4:$C$203,$A26,'Báo giá'!$J$4:$J$203,"Thắng"))</f>
        <v/>
      </c>
      <c r="F26" s="42">
        <f>IFERROR($E26/$D26,"")</f>
        <v/>
      </c>
      <c r="G26" s="41">
        <f>IF($A26="","",SUMIFS('Hợp đồng'!$H$4:$H$203,'Hợp đồng'!$D$4:$D$203,$A26))</f>
        <v/>
      </c>
      <c r="H26" s="41">
        <f>IF($A26="","",SUMIFS('Công nợ'!$D$4:$D$203,'Công nợ'!$B$4:$B$203,$B26))</f>
        <v/>
      </c>
      <c r="I26" s="41">
        <f>IF($A26="","",SUMIFS('Công nợ'!$E$4:$E$203,'Công nợ'!$B$4:$B$203,$B26))</f>
        <v/>
      </c>
      <c r="J26" s="41">
        <f>IF($A26="","",SUMIFS('Công nợ'!$E$4:$E$203,'Công nợ'!$B$4:$B$203,$B26,'Công nợ'!$G$4:$G$203,"&gt;0"))</f>
        <v/>
      </c>
      <c r="K26" s="41">
        <f>IF($A26="","",'Khách hàng'!F26)</f>
        <v/>
      </c>
      <c r="L26" s="35">
        <f>IF($A26="","",IF($K26=0,"Chưa đặt hạn mức",IF($I26&gt;$K26,"VƯỢT HẠN MỨC","Trong hạn mức")))</f>
        <v/>
      </c>
    </row>
    <row r="27" ht="15" customHeight="1" s="30">
      <c r="A27" s="35">
        <f>IF('Khách hàng'!A27="","",'Khách hàng'!A27)</f>
        <v/>
      </c>
      <c r="B27" s="35">
        <f>IF($A27="","",'Khách hàng'!B27)</f>
        <v/>
      </c>
      <c r="C27" s="41">
        <f>IF($A27="","",COUNTIFS('Báo giá'!$C$4:$C$203,$A27))</f>
        <v/>
      </c>
      <c r="D27" s="41">
        <f>IF($A27="","",SUMIFS('Báo giá'!$H$4:$H$203,'Báo giá'!$C$4:$C$203,$A27))</f>
        <v/>
      </c>
      <c r="E27" s="41">
        <f>IF($A27="","",SUMIFS('Báo giá'!$H$4:$H$203,'Báo giá'!$C$4:$C$203,$A27,'Báo giá'!$J$4:$J$203,"Thắng"))</f>
        <v/>
      </c>
      <c r="F27" s="42">
        <f>IFERROR($E27/$D27,"")</f>
        <v/>
      </c>
      <c r="G27" s="41">
        <f>IF($A27="","",SUMIFS('Hợp đồng'!$H$4:$H$203,'Hợp đồng'!$D$4:$D$203,$A27))</f>
        <v/>
      </c>
      <c r="H27" s="41">
        <f>IF($A27="","",SUMIFS('Công nợ'!$D$4:$D$203,'Công nợ'!$B$4:$B$203,$B27))</f>
        <v/>
      </c>
      <c r="I27" s="41">
        <f>IF($A27="","",SUMIFS('Công nợ'!$E$4:$E$203,'Công nợ'!$B$4:$B$203,$B27))</f>
        <v/>
      </c>
      <c r="J27" s="41">
        <f>IF($A27="","",SUMIFS('Công nợ'!$E$4:$E$203,'Công nợ'!$B$4:$B$203,$B27,'Công nợ'!$G$4:$G$203,"&gt;0"))</f>
        <v/>
      </c>
      <c r="K27" s="41">
        <f>IF($A27="","",'Khách hàng'!F27)</f>
        <v/>
      </c>
      <c r="L27" s="35">
        <f>IF($A27="","",IF($K27=0,"Chưa đặt hạn mức",IF($I27&gt;$K27,"VƯỢT HẠN MỨC","Trong hạn mức")))</f>
        <v/>
      </c>
    </row>
    <row r="28" ht="15" customHeight="1" s="30">
      <c r="A28" s="35">
        <f>IF('Khách hàng'!A28="","",'Khách hàng'!A28)</f>
        <v/>
      </c>
      <c r="B28" s="35">
        <f>IF($A28="","",'Khách hàng'!B28)</f>
        <v/>
      </c>
      <c r="C28" s="41">
        <f>IF($A28="","",COUNTIFS('Báo giá'!$C$4:$C$203,$A28))</f>
        <v/>
      </c>
      <c r="D28" s="41">
        <f>IF($A28="","",SUMIFS('Báo giá'!$H$4:$H$203,'Báo giá'!$C$4:$C$203,$A28))</f>
        <v/>
      </c>
      <c r="E28" s="41">
        <f>IF($A28="","",SUMIFS('Báo giá'!$H$4:$H$203,'Báo giá'!$C$4:$C$203,$A28,'Báo giá'!$J$4:$J$203,"Thắng"))</f>
        <v/>
      </c>
      <c r="F28" s="42">
        <f>IFERROR($E28/$D28,"")</f>
        <v/>
      </c>
      <c r="G28" s="41">
        <f>IF($A28="","",SUMIFS('Hợp đồng'!$H$4:$H$203,'Hợp đồng'!$D$4:$D$203,$A28))</f>
        <v/>
      </c>
      <c r="H28" s="41">
        <f>IF($A28="","",SUMIFS('Công nợ'!$D$4:$D$203,'Công nợ'!$B$4:$B$203,$B28))</f>
        <v/>
      </c>
      <c r="I28" s="41">
        <f>IF($A28="","",SUMIFS('Công nợ'!$E$4:$E$203,'Công nợ'!$B$4:$B$203,$B28))</f>
        <v/>
      </c>
      <c r="J28" s="41">
        <f>IF($A28="","",SUMIFS('Công nợ'!$E$4:$E$203,'Công nợ'!$B$4:$B$203,$B28,'Công nợ'!$G$4:$G$203,"&gt;0"))</f>
        <v/>
      </c>
      <c r="K28" s="41">
        <f>IF($A28="","",'Khách hàng'!F28)</f>
        <v/>
      </c>
      <c r="L28" s="35">
        <f>IF($A28="","",IF($K28=0,"Chưa đặt hạn mức",IF($I28&gt;$K28,"VƯỢT HẠN MỨC","Trong hạn mức")))</f>
        <v/>
      </c>
    </row>
    <row r="29" ht="15" customHeight="1" s="30">
      <c r="A29" s="35">
        <f>IF('Khách hàng'!A29="","",'Khách hàng'!A29)</f>
        <v/>
      </c>
      <c r="B29" s="35">
        <f>IF($A29="","",'Khách hàng'!B29)</f>
        <v/>
      </c>
      <c r="C29" s="41">
        <f>IF($A29="","",COUNTIFS('Báo giá'!$C$4:$C$203,$A29))</f>
        <v/>
      </c>
      <c r="D29" s="41">
        <f>IF($A29="","",SUMIFS('Báo giá'!$H$4:$H$203,'Báo giá'!$C$4:$C$203,$A29))</f>
        <v/>
      </c>
      <c r="E29" s="41">
        <f>IF($A29="","",SUMIFS('Báo giá'!$H$4:$H$203,'Báo giá'!$C$4:$C$203,$A29,'Báo giá'!$J$4:$J$203,"Thắng"))</f>
        <v/>
      </c>
      <c r="F29" s="42">
        <f>IFERROR($E29/$D29,"")</f>
        <v/>
      </c>
      <c r="G29" s="41">
        <f>IF($A29="","",SUMIFS('Hợp đồng'!$H$4:$H$203,'Hợp đồng'!$D$4:$D$203,$A29))</f>
        <v/>
      </c>
      <c r="H29" s="41">
        <f>IF($A29="","",SUMIFS('Công nợ'!$D$4:$D$203,'Công nợ'!$B$4:$B$203,$B29))</f>
        <v/>
      </c>
      <c r="I29" s="41">
        <f>IF($A29="","",SUMIFS('Công nợ'!$E$4:$E$203,'Công nợ'!$B$4:$B$203,$B29))</f>
        <v/>
      </c>
      <c r="J29" s="41">
        <f>IF($A29="","",SUMIFS('Công nợ'!$E$4:$E$203,'Công nợ'!$B$4:$B$203,$B29,'Công nợ'!$G$4:$G$203,"&gt;0"))</f>
        <v/>
      </c>
      <c r="K29" s="41">
        <f>IF($A29="","",'Khách hàng'!F29)</f>
        <v/>
      </c>
      <c r="L29" s="35">
        <f>IF($A29="","",IF($K29=0,"Chưa đặt hạn mức",IF($I29&gt;$K29,"VƯỢT HẠN MỨC","Trong hạn mức")))</f>
        <v/>
      </c>
    </row>
    <row r="30" ht="15" customHeight="1" s="30">
      <c r="A30" s="35">
        <f>IF('Khách hàng'!A30="","",'Khách hàng'!A30)</f>
        <v/>
      </c>
      <c r="B30" s="35">
        <f>IF($A30="","",'Khách hàng'!B30)</f>
        <v/>
      </c>
      <c r="C30" s="41">
        <f>IF($A30="","",COUNTIFS('Báo giá'!$C$4:$C$203,$A30))</f>
        <v/>
      </c>
      <c r="D30" s="41">
        <f>IF($A30="","",SUMIFS('Báo giá'!$H$4:$H$203,'Báo giá'!$C$4:$C$203,$A30))</f>
        <v/>
      </c>
      <c r="E30" s="41">
        <f>IF($A30="","",SUMIFS('Báo giá'!$H$4:$H$203,'Báo giá'!$C$4:$C$203,$A30,'Báo giá'!$J$4:$J$203,"Thắng"))</f>
        <v/>
      </c>
      <c r="F30" s="42">
        <f>IFERROR($E30/$D30,"")</f>
        <v/>
      </c>
      <c r="G30" s="41">
        <f>IF($A30="","",SUMIFS('Hợp đồng'!$H$4:$H$203,'Hợp đồng'!$D$4:$D$203,$A30))</f>
        <v/>
      </c>
      <c r="H30" s="41">
        <f>IF($A30="","",SUMIFS('Công nợ'!$D$4:$D$203,'Công nợ'!$B$4:$B$203,$B30))</f>
        <v/>
      </c>
      <c r="I30" s="41">
        <f>IF($A30="","",SUMIFS('Công nợ'!$E$4:$E$203,'Công nợ'!$B$4:$B$203,$B30))</f>
        <v/>
      </c>
      <c r="J30" s="41">
        <f>IF($A30="","",SUMIFS('Công nợ'!$E$4:$E$203,'Công nợ'!$B$4:$B$203,$B30,'Công nợ'!$G$4:$G$203,"&gt;0"))</f>
        <v/>
      </c>
      <c r="K30" s="41">
        <f>IF($A30="","",'Khách hàng'!F30)</f>
        <v/>
      </c>
      <c r="L30" s="35">
        <f>IF($A30="","",IF($K30=0,"Chưa đặt hạn mức",IF($I30&gt;$K30,"VƯỢT HẠN MỨC","Trong hạn mức")))</f>
        <v/>
      </c>
    </row>
    <row r="31" ht="15" customHeight="1" s="30">
      <c r="A31" s="35">
        <f>IF('Khách hàng'!A31="","",'Khách hàng'!A31)</f>
        <v/>
      </c>
      <c r="B31" s="35">
        <f>IF($A31="","",'Khách hàng'!B31)</f>
        <v/>
      </c>
      <c r="C31" s="41">
        <f>IF($A31="","",COUNTIFS('Báo giá'!$C$4:$C$203,$A31))</f>
        <v/>
      </c>
      <c r="D31" s="41">
        <f>IF($A31="","",SUMIFS('Báo giá'!$H$4:$H$203,'Báo giá'!$C$4:$C$203,$A31))</f>
        <v/>
      </c>
      <c r="E31" s="41">
        <f>IF($A31="","",SUMIFS('Báo giá'!$H$4:$H$203,'Báo giá'!$C$4:$C$203,$A31,'Báo giá'!$J$4:$J$203,"Thắng"))</f>
        <v/>
      </c>
      <c r="F31" s="42">
        <f>IFERROR($E31/$D31,"")</f>
        <v/>
      </c>
      <c r="G31" s="41">
        <f>IF($A31="","",SUMIFS('Hợp đồng'!$H$4:$H$203,'Hợp đồng'!$D$4:$D$203,$A31))</f>
        <v/>
      </c>
      <c r="H31" s="41">
        <f>IF($A31="","",SUMIFS('Công nợ'!$D$4:$D$203,'Công nợ'!$B$4:$B$203,$B31))</f>
        <v/>
      </c>
      <c r="I31" s="41">
        <f>IF($A31="","",SUMIFS('Công nợ'!$E$4:$E$203,'Công nợ'!$B$4:$B$203,$B31))</f>
        <v/>
      </c>
      <c r="J31" s="41">
        <f>IF($A31="","",SUMIFS('Công nợ'!$E$4:$E$203,'Công nợ'!$B$4:$B$203,$B31,'Công nợ'!$G$4:$G$203,"&gt;0"))</f>
        <v/>
      </c>
      <c r="K31" s="41">
        <f>IF($A31="","",'Khách hàng'!F31)</f>
        <v/>
      </c>
      <c r="L31" s="35">
        <f>IF($A31="","",IF($K31=0,"Chưa đặt hạn mức",IF($I31&gt;$K31,"VƯỢT HẠN MỨC","Trong hạn mức")))</f>
        <v/>
      </c>
    </row>
    <row r="32" ht="15" customHeight="1" s="30">
      <c r="A32" s="35">
        <f>IF('Khách hàng'!A32="","",'Khách hàng'!A32)</f>
        <v/>
      </c>
      <c r="B32" s="35">
        <f>IF($A32="","",'Khách hàng'!B32)</f>
        <v/>
      </c>
      <c r="C32" s="41">
        <f>IF($A32="","",COUNTIFS('Báo giá'!$C$4:$C$203,$A32))</f>
        <v/>
      </c>
      <c r="D32" s="41">
        <f>IF($A32="","",SUMIFS('Báo giá'!$H$4:$H$203,'Báo giá'!$C$4:$C$203,$A32))</f>
        <v/>
      </c>
      <c r="E32" s="41">
        <f>IF($A32="","",SUMIFS('Báo giá'!$H$4:$H$203,'Báo giá'!$C$4:$C$203,$A32,'Báo giá'!$J$4:$J$203,"Thắng"))</f>
        <v/>
      </c>
      <c r="F32" s="42">
        <f>IFERROR($E32/$D32,"")</f>
        <v/>
      </c>
      <c r="G32" s="41">
        <f>IF($A32="","",SUMIFS('Hợp đồng'!$H$4:$H$203,'Hợp đồng'!$D$4:$D$203,$A32))</f>
        <v/>
      </c>
      <c r="H32" s="41">
        <f>IF($A32="","",SUMIFS('Công nợ'!$D$4:$D$203,'Công nợ'!$B$4:$B$203,$B32))</f>
        <v/>
      </c>
      <c r="I32" s="41">
        <f>IF($A32="","",SUMIFS('Công nợ'!$E$4:$E$203,'Công nợ'!$B$4:$B$203,$B32))</f>
        <v/>
      </c>
      <c r="J32" s="41">
        <f>IF($A32="","",SUMIFS('Công nợ'!$E$4:$E$203,'Công nợ'!$B$4:$B$203,$B32,'Công nợ'!$G$4:$G$203,"&gt;0"))</f>
        <v/>
      </c>
      <c r="K32" s="41">
        <f>IF($A32="","",'Khách hàng'!F32)</f>
        <v/>
      </c>
      <c r="L32" s="35">
        <f>IF($A32="","",IF($K32=0,"Chưa đặt hạn mức",IF($I32&gt;$K32,"VƯỢT HẠN MỨC","Trong hạn mức")))</f>
        <v/>
      </c>
    </row>
    <row r="33" ht="15" customHeight="1" s="30">
      <c r="A33" s="35">
        <f>IF('Khách hàng'!A33="","",'Khách hàng'!A33)</f>
        <v/>
      </c>
      <c r="B33" s="35">
        <f>IF($A33="","",'Khách hàng'!B33)</f>
        <v/>
      </c>
      <c r="C33" s="41">
        <f>IF($A33="","",COUNTIFS('Báo giá'!$C$4:$C$203,$A33))</f>
        <v/>
      </c>
      <c r="D33" s="41">
        <f>IF($A33="","",SUMIFS('Báo giá'!$H$4:$H$203,'Báo giá'!$C$4:$C$203,$A33))</f>
        <v/>
      </c>
      <c r="E33" s="41">
        <f>IF($A33="","",SUMIFS('Báo giá'!$H$4:$H$203,'Báo giá'!$C$4:$C$203,$A33,'Báo giá'!$J$4:$J$203,"Thắng"))</f>
        <v/>
      </c>
      <c r="F33" s="42">
        <f>IFERROR($E33/$D33,"")</f>
        <v/>
      </c>
      <c r="G33" s="41">
        <f>IF($A33="","",SUMIFS('Hợp đồng'!$H$4:$H$203,'Hợp đồng'!$D$4:$D$203,$A33))</f>
        <v/>
      </c>
      <c r="H33" s="41">
        <f>IF($A33="","",SUMIFS('Công nợ'!$D$4:$D$203,'Công nợ'!$B$4:$B$203,$B33))</f>
        <v/>
      </c>
      <c r="I33" s="41">
        <f>IF($A33="","",SUMIFS('Công nợ'!$E$4:$E$203,'Công nợ'!$B$4:$B$203,$B33))</f>
        <v/>
      </c>
      <c r="J33" s="41">
        <f>IF($A33="","",SUMIFS('Công nợ'!$E$4:$E$203,'Công nợ'!$B$4:$B$203,$B33,'Công nợ'!$G$4:$G$203,"&gt;0"))</f>
        <v/>
      </c>
      <c r="K33" s="41">
        <f>IF($A33="","",'Khách hàng'!F33)</f>
        <v/>
      </c>
      <c r="L33" s="35">
        <f>IF($A33="","",IF($K33=0,"Chưa đặt hạn mức",IF($I33&gt;$K33,"VƯỢT HẠN MỨC","Trong hạn mức")))</f>
        <v/>
      </c>
    </row>
    <row r="34" ht="15" customHeight="1" s="30">
      <c r="A34" s="35">
        <f>IF('Khách hàng'!A34="","",'Khách hàng'!A34)</f>
        <v/>
      </c>
      <c r="B34" s="35">
        <f>IF($A34="","",'Khách hàng'!B34)</f>
        <v/>
      </c>
      <c r="C34" s="41">
        <f>IF($A34="","",COUNTIFS('Báo giá'!$C$4:$C$203,$A34))</f>
        <v/>
      </c>
      <c r="D34" s="41">
        <f>IF($A34="","",SUMIFS('Báo giá'!$H$4:$H$203,'Báo giá'!$C$4:$C$203,$A34))</f>
        <v/>
      </c>
      <c r="E34" s="41">
        <f>IF($A34="","",SUMIFS('Báo giá'!$H$4:$H$203,'Báo giá'!$C$4:$C$203,$A34,'Báo giá'!$J$4:$J$203,"Thắng"))</f>
        <v/>
      </c>
      <c r="F34" s="42">
        <f>IFERROR($E34/$D34,"")</f>
        <v/>
      </c>
      <c r="G34" s="41">
        <f>IF($A34="","",SUMIFS('Hợp đồng'!$H$4:$H$203,'Hợp đồng'!$D$4:$D$203,$A34))</f>
        <v/>
      </c>
      <c r="H34" s="41">
        <f>IF($A34="","",SUMIFS('Công nợ'!$D$4:$D$203,'Công nợ'!$B$4:$B$203,$B34))</f>
        <v/>
      </c>
      <c r="I34" s="41">
        <f>IF($A34="","",SUMIFS('Công nợ'!$E$4:$E$203,'Công nợ'!$B$4:$B$203,$B34))</f>
        <v/>
      </c>
      <c r="J34" s="41">
        <f>IF($A34="","",SUMIFS('Công nợ'!$E$4:$E$203,'Công nợ'!$B$4:$B$203,$B34,'Công nợ'!$G$4:$G$203,"&gt;0"))</f>
        <v/>
      </c>
      <c r="K34" s="41">
        <f>IF($A34="","",'Khách hàng'!F34)</f>
        <v/>
      </c>
      <c r="L34" s="35">
        <f>IF($A34="","",IF($K34=0,"Chưa đặt hạn mức",IF($I34&gt;$K34,"VƯỢT HẠN MỨC","Trong hạn mức")))</f>
        <v/>
      </c>
    </row>
    <row r="35" ht="15" customHeight="1" s="30">
      <c r="A35" s="35">
        <f>IF('Khách hàng'!A35="","",'Khách hàng'!A35)</f>
        <v/>
      </c>
      <c r="B35" s="35">
        <f>IF($A35="","",'Khách hàng'!B35)</f>
        <v/>
      </c>
      <c r="C35" s="41">
        <f>IF($A35="","",COUNTIFS('Báo giá'!$C$4:$C$203,$A35))</f>
        <v/>
      </c>
      <c r="D35" s="41">
        <f>IF($A35="","",SUMIFS('Báo giá'!$H$4:$H$203,'Báo giá'!$C$4:$C$203,$A35))</f>
        <v/>
      </c>
      <c r="E35" s="41">
        <f>IF($A35="","",SUMIFS('Báo giá'!$H$4:$H$203,'Báo giá'!$C$4:$C$203,$A35,'Báo giá'!$J$4:$J$203,"Thắng"))</f>
        <v/>
      </c>
      <c r="F35" s="42">
        <f>IFERROR($E35/$D35,"")</f>
        <v/>
      </c>
      <c r="G35" s="41">
        <f>IF($A35="","",SUMIFS('Hợp đồng'!$H$4:$H$203,'Hợp đồng'!$D$4:$D$203,$A35))</f>
        <v/>
      </c>
      <c r="H35" s="41">
        <f>IF($A35="","",SUMIFS('Công nợ'!$D$4:$D$203,'Công nợ'!$B$4:$B$203,$B35))</f>
        <v/>
      </c>
      <c r="I35" s="41">
        <f>IF($A35="","",SUMIFS('Công nợ'!$E$4:$E$203,'Công nợ'!$B$4:$B$203,$B35))</f>
        <v/>
      </c>
      <c r="J35" s="41">
        <f>IF($A35="","",SUMIFS('Công nợ'!$E$4:$E$203,'Công nợ'!$B$4:$B$203,$B35,'Công nợ'!$G$4:$G$203,"&gt;0"))</f>
        <v/>
      </c>
      <c r="K35" s="41">
        <f>IF($A35="","",'Khách hàng'!F35)</f>
        <v/>
      </c>
      <c r="L35" s="35">
        <f>IF($A35="","",IF($K35=0,"Chưa đặt hạn mức",IF($I35&gt;$K35,"VƯỢT HẠN MỨC","Trong hạn mức")))</f>
        <v/>
      </c>
    </row>
    <row r="36" ht="15" customHeight="1" s="30">
      <c r="A36" s="35">
        <f>IF('Khách hàng'!A36="","",'Khách hàng'!A36)</f>
        <v/>
      </c>
      <c r="B36" s="35">
        <f>IF($A36="","",'Khách hàng'!B36)</f>
        <v/>
      </c>
      <c r="C36" s="41">
        <f>IF($A36="","",COUNTIFS('Báo giá'!$C$4:$C$203,$A36))</f>
        <v/>
      </c>
      <c r="D36" s="41">
        <f>IF($A36="","",SUMIFS('Báo giá'!$H$4:$H$203,'Báo giá'!$C$4:$C$203,$A36))</f>
        <v/>
      </c>
      <c r="E36" s="41">
        <f>IF($A36="","",SUMIFS('Báo giá'!$H$4:$H$203,'Báo giá'!$C$4:$C$203,$A36,'Báo giá'!$J$4:$J$203,"Thắng"))</f>
        <v/>
      </c>
      <c r="F36" s="42">
        <f>IFERROR($E36/$D36,"")</f>
        <v/>
      </c>
      <c r="G36" s="41">
        <f>IF($A36="","",SUMIFS('Hợp đồng'!$H$4:$H$203,'Hợp đồng'!$D$4:$D$203,$A36))</f>
        <v/>
      </c>
      <c r="H36" s="41">
        <f>IF($A36="","",SUMIFS('Công nợ'!$D$4:$D$203,'Công nợ'!$B$4:$B$203,$B36))</f>
        <v/>
      </c>
      <c r="I36" s="41">
        <f>IF($A36="","",SUMIFS('Công nợ'!$E$4:$E$203,'Công nợ'!$B$4:$B$203,$B36))</f>
        <v/>
      </c>
      <c r="J36" s="41">
        <f>IF($A36="","",SUMIFS('Công nợ'!$E$4:$E$203,'Công nợ'!$B$4:$B$203,$B36,'Công nợ'!$G$4:$G$203,"&gt;0"))</f>
        <v/>
      </c>
      <c r="K36" s="41">
        <f>IF($A36="","",'Khách hàng'!F36)</f>
        <v/>
      </c>
      <c r="L36" s="35">
        <f>IF($A36="","",IF($K36=0,"Chưa đặt hạn mức",IF($I36&gt;$K36,"VƯỢT HẠN MỨC","Trong hạn mức")))</f>
        <v/>
      </c>
    </row>
    <row r="37" ht="15" customHeight="1" s="30">
      <c r="A37" s="35">
        <f>IF('Khách hàng'!A37="","",'Khách hàng'!A37)</f>
        <v/>
      </c>
      <c r="B37" s="35">
        <f>IF($A37="","",'Khách hàng'!B37)</f>
        <v/>
      </c>
      <c r="C37" s="41">
        <f>IF($A37="","",COUNTIFS('Báo giá'!$C$4:$C$203,$A37))</f>
        <v/>
      </c>
      <c r="D37" s="41">
        <f>IF($A37="","",SUMIFS('Báo giá'!$H$4:$H$203,'Báo giá'!$C$4:$C$203,$A37))</f>
        <v/>
      </c>
      <c r="E37" s="41">
        <f>IF($A37="","",SUMIFS('Báo giá'!$H$4:$H$203,'Báo giá'!$C$4:$C$203,$A37,'Báo giá'!$J$4:$J$203,"Thắng"))</f>
        <v/>
      </c>
      <c r="F37" s="42">
        <f>IFERROR($E37/$D37,"")</f>
        <v/>
      </c>
      <c r="G37" s="41">
        <f>IF($A37="","",SUMIFS('Hợp đồng'!$H$4:$H$203,'Hợp đồng'!$D$4:$D$203,$A37))</f>
        <v/>
      </c>
      <c r="H37" s="41">
        <f>IF($A37="","",SUMIFS('Công nợ'!$D$4:$D$203,'Công nợ'!$B$4:$B$203,$B37))</f>
        <v/>
      </c>
      <c r="I37" s="41">
        <f>IF($A37="","",SUMIFS('Công nợ'!$E$4:$E$203,'Công nợ'!$B$4:$B$203,$B37))</f>
        <v/>
      </c>
      <c r="J37" s="41">
        <f>IF($A37="","",SUMIFS('Công nợ'!$E$4:$E$203,'Công nợ'!$B$4:$B$203,$B37,'Công nợ'!$G$4:$G$203,"&gt;0"))</f>
        <v/>
      </c>
      <c r="K37" s="41">
        <f>IF($A37="","",'Khách hàng'!F37)</f>
        <v/>
      </c>
      <c r="L37" s="35">
        <f>IF($A37="","",IF($K37=0,"Chưa đặt hạn mức",IF($I37&gt;$K37,"VƯỢT HẠN MỨC","Trong hạn mức")))</f>
        <v/>
      </c>
    </row>
    <row r="38" ht="15" customHeight="1" s="30">
      <c r="A38" s="35">
        <f>IF('Khách hàng'!A38="","",'Khách hàng'!A38)</f>
        <v/>
      </c>
      <c r="B38" s="35">
        <f>IF($A38="","",'Khách hàng'!B38)</f>
        <v/>
      </c>
      <c r="C38" s="41">
        <f>IF($A38="","",COUNTIFS('Báo giá'!$C$4:$C$203,$A38))</f>
        <v/>
      </c>
      <c r="D38" s="41">
        <f>IF($A38="","",SUMIFS('Báo giá'!$H$4:$H$203,'Báo giá'!$C$4:$C$203,$A38))</f>
        <v/>
      </c>
      <c r="E38" s="41">
        <f>IF($A38="","",SUMIFS('Báo giá'!$H$4:$H$203,'Báo giá'!$C$4:$C$203,$A38,'Báo giá'!$J$4:$J$203,"Thắng"))</f>
        <v/>
      </c>
      <c r="F38" s="42">
        <f>IFERROR($E38/$D38,"")</f>
        <v/>
      </c>
      <c r="G38" s="41">
        <f>IF($A38="","",SUMIFS('Hợp đồng'!$H$4:$H$203,'Hợp đồng'!$D$4:$D$203,$A38))</f>
        <v/>
      </c>
      <c r="H38" s="41">
        <f>IF($A38="","",SUMIFS('Công nợ'!$D$4:$D$203,'Công nợ'!$B$4:$B$203,$B38))</f>
        <v/>
      </c>
      <c r="I38" s="41">
        <f>IF($A38="","",SUMIFS('Công nợ'!$E$4:$E$203,'Công nợ'!$B$4:$B$203,$B38))</f>
        <v/>
      </c>
      <c r="J38" s="41">
        <f>IF($A38="","",SUMIFS('Công nợ'!$E$4:$E$203,'Công nợ'!$B$4:$B$203,$B38,'Công nợ'!$G$4:$G$203,"&gt;0"))</f>
        <v/>
      </c>
      <c r="K38" s="41">
        <f>IF($A38="","",'Khách hàng'!F38)</f>
        <v/>
      </c>
      <c r="L38" s="35">
        <f>IF($A38="","",IF($K38=0,"Chưa đặt hạn mức",IF($I38&gt;$K38,"VƯỢT HẠN MỨC","Trong hạn mức")))</f>
        <v/>
      </c>
    </row>
    <row r="39" ht="15" customHeight="1" s="30">
      <c r="A39" s="35">
        <f>IF('Khách hàng'!A39="","",'Khách hàng'!A39)</f>
        <v/>
      </c>
      <c r="B39" s="35">
        <f>IF($A39="","",'Khách hàng'!B39)</f>
        <v/>
      </c>
      <c r="C39" s="41">
        <f>IF($A39="","",COUNTIFS('Báo giá'!$C$4:$C$203,$A39))</f>
        <v/>
      </c>
      <c r="D39" s="41">
        <f>IF($A39="","",SUMIFS('Báo giá'!$H$4:$H$203,'Báo giá'!$C$4:$C$203,$A39))</f>
        <v/>
      </c>
      <c r="E39" s="41">
        <f>IF($A39="","",SUMIFS('Báo giá'!$H$4:$H$203,'Báo giá'!$C$4:$C$203,$A39,'Báo giá'!$J$4:$J$203,"Thắng"))</f>
        <v/>
      </c>
      <c r="F39" s="42">
        <f>IFERROR($E39/$D39,"")</f>
        <v/>
      </c>
      <c r="G39" s="41">
        <f>IF($A39="","",SUMIFS('Hợp đồng'!$H$4:$H$203,'Hợp đồng'!$D$4:$D$203,$A39))</f>
        <v/>
      </c>
      <c r="H39" s="41">
        <f>IF($A39="","",SUMIFS('Công nợ'!$D$4:$D$203,'Công nợ'!$B$4:$B$203,$B39))</f>
        <v/>
      </c>
      <c r="I39" s="41">
        <f>IF($A39="","",SUMIFS('Công nợ'!$E$4:$E$203,'Công nợ'!$B$4:$B$203,$B39))</f>
        <v/>
      </c>
      <c r="J39" s="41">
        <f>IF($A39="","",SUMIFS('Công nợ'!$E$4:$E$203,'Công nợ'!$B$4:$B$203,$B39,'Công nợ'!$G$4:$G$203,"&gt;0"))</f>
        <v/>
      </c>
      <c r="K39" s="41">
        <f>IF($A39="","",'Khách hàng'!F39)</f>
        <v/>
      </c>
      <c r="L39" s="35">
        <f>IF($A39="","",IF($K39=0,"Chưa đặt hạn mức",IF($I39&gt;$K39,"VƯỢT HẠN MỨC","Trong hạn mức")))</f>
        <v/>
      </c>
    </row>
    <row r="40" ht="15" customHeight="1" s="30">
      <c r="A40" s="35">
        <f>IF('Khách hàng'!A40="","",'Khách hàng'!A40)</f>
        <v/>
      </c>
      <c r="B40" s="35">
        <f>IF($A40="","",'Khách hàng'!B40)</f>
        <v/>
      </c>
      <c r="C40" s="41">
        <f>IF($A40="","",COUNTIFS('Báo giá'!$C$4:$C$203,$A40))</f>
        <v/>
      </c>
      <c r="D40" s="41">
        <f>IF($A40="","",SUMIFS('Báo giá'!$H$4:$H$203,'Báo giá'!$C$4:$C$203,$A40))</f>
        <v/>
      </c>
      <c r="E40" s="41">
        <f>IF($A40="","",SUMIFS('Báo giá'!$H$4:$H$203,'Báo giá'!$C$4:$C$203,$A40,'Báo giá'!$J$4:$J$203,"Thắng"))</f>
        <v/>
      </c>
      <c r="F40" s="42">
        <f>IFERROR($E40/$D40,"")</f>
        <v/>
      </c>
      <c r="G40" s="41">
        <f>IF($A40="","",SUMIFS('Hợp đồng'!$H$4:$H$203,'Hợp đồng'!$D$4:$D$203,$A40))</f>
        <v/>
      </c>
      <c r="H40" s="41">
        <f>IF($A40="","",SUMIFS('Công nợ'!$D$4:$D$203,'Công nợ'!$B$4:$B$203,$B40))</f>
        <v/>
      </c>
      <c r="I40" s="41">
        <f>IF($A40="","",SUMIFS('Công nợ'!$E$4:$E$203,'Công nợ'!$B$4:$B$203,$B40))</f>
        <v/>
      </c>
      <c r="J40" s="41">
        <f>IF($A40="","",SUMIFS('Công nợ'!$E$4:$E$203,'Công nợ'!$B$4:$B$203,$B40,'Công nợ'!$G$4:$G$203,"&gt;0"))</f>
        <v/>
      </c>
      <c r="K40" s="41">
        <f>IF($A40="","",'Khách hàng'!F40)</f>
        <v/>
      </c>
      <c r="L40" s="35">
        <f>IF($A40="","",IF($K40=0,"Chưa đặt hạn mức",IF($I40&gt;$K40,"VƯỢT HẠN MỨC","Trong hạn mức")))</f>
        <v/>
      </c>
    </row>
    <row r="41" ht="15" customHeight="1" s="30">
      <c r="A41" s="35">
        <f>IF('Khách hàng'!A41="","",'Khách hàng'!A41)</f>
        <v/>
      </c>
      <c r="B41" s="35">
        <f>IF($A41="","",'Khách hàng'!B41)</f>
        <v/>
      </c>
      <c r="C41" s="41">
        <f>IF($A41="","",COUNTIFS('Báo giá'!$C$4:$C$203,$A41))</f>
        <v/>
      </c>
      <c r="D41" s="41">
        <f>IF($A41="","",SUMIFS('Báo giá'!$H$4:$H$203,'Báo giá'!$C$4:$C$203,$A41))</f>
        <v/>
      </c>
      <c r="E41" s="41">
        <f>IF($A41="","",SUMIFS('Báo giá'!$H$4:$H$203,'Báo giá'!$C$4:$C$203,$A41,'Báo giá'!$J$4:$J$203,"Thắng"))</f>
        <v/>
      </c>
      <c r="F41" s="42">
        <f>IFERROR($E41/$D41,"")</f>
        <v/>
      </c>
      <c r="G41" s="41">
        <f>IF($A41="","",SUMIFS('Hợp đồng'!$H$4:$H$203,'Hợp đồng'!$D$4:$D$203,$A41))</f>
        <v/>
      </c>
      <c r="H41" s="41">
        <f>IF($A41="","",SUMIFS('Công nợ'!$D$4:$D$203,'Công nợ'!$B$4:$B$203,$B41))</f>
        <v/>
      </c>
      <c r="I41" s="41">
        <f>IF($A41="","",SUMIFS('Công nợ'!$E$4:$E$203,'Công nợ'!$B$4:$B$203,$B41))</f>
        <v/>
      </c>
      <c r="J41" s="41">
        <f>IF($A41="","",SUMIFS('Công nợ'!$E$4:$E$203,'Công nợ'!$B$4:$B$203,$B41,'Công nợ'!$G$4:$G$203,"&gt;0"))</f>
        <v/>
      </c>
      <c r="K41" s="41">
        <f>IF($A41="","",'Khách hàng'!F41)</f>
        <v/>
      </c>
      <c r="L41" s="35">
        <f>IF($A41="","",IF($K41=0,"Chưa đặt hạn mức",IF($I41&gt;$K41,"VƯỢT HẠN MỨC","Trong hạn mức")))</f>
        <v/>
      </c>
    </row>
    <row r="42" ht="15" customHeight="1" s="30">
      <c r="A42" s="35">
        <f>IF('Khách hàng'!A42="","",'Khách hàng'!A42)</f>
        <v/>
      </c>
      <c r="B42" s="35">
        <f>IF($A42="","",'Khách hàng'!B42)</f>
        <v/>
      </c>
      <c r="C42" s="41">
        <f>IF($A42="","",COUNTIFS('Báo giá'!$C$4:$C$203,$A42))</f>
        <v/>
      </c>
      <c r="D42" s="41">
        <f>IF($A42="","",SUMIFS('Báo giá'!$H$4:$H$203,'Báo giá'!$C$4:$C$203,$A42))</f>
        <v/>
      </c>
      <c r="E42" s="41">
        <f>IF($A42="","",SUMIFS('Báo giá'!$H$4:$H$203,'Báo giá'!$C$4:$C$203,$A42,'Báo giá'!$J$4:$J$203,"Thắng"))</f>
        <v/>
      </c>
      <c r="F42" s="42">
        <f>IFERROR($E42/$D42,"")</f>
        <v/>
      </c>
      <c r="G42" s="41">
        <f>IF($A42="","",SUMIFS('Hợp đồng'!$H$4:$H$203,'Hợp đồng'!$D$4:$D$203,$A42))</f>
        <v/>
      </c>
      <c r="H42" s="41">
        <f>IF($A42="","",SUMIFS('Công nợ'!$D$4:$D$203,'Công nợ'!$B$4:$B$203,$B42))</f>
        <v/>
      </c>
      <c r="I42" s="41">
        <f>IF($A42="","",SUMIFS('Công nợ'!$E$4:$E$203,'Công nợ'!$B$4:$B$203,$B42))</f>
        <v/>
      </c>
      <c r="J42" s="41">
        <f>IF($A42="","",SUMIFS('Công nợ'!$E$4:$E$203,'Công nợ'!$B$4:$B$203,$B42,'Công nợ'!$G$4:$G$203,"&gt;0"))</f>
        <v/>
      </c>
      <c r="K42" s="41">
        <f>IF($A42="","",'Khách hàng'!F42)</f>
        <v/>
      </c>
      <c r="L42" s="35">
        <f>IF($A42="","",IF($K42=0,"Chưa đặt hạn mức",IF($I42&gt;$K42,"VƯỢT HẠN MỨC","Trong hạn mức")))</f>
        <v/>
      </c>
    </row>
    <row r="43" ht="15" customHeight="1" s="30">
      <c r="A43" s="35">
        <f>IF('Khách hàng'!A43="","",'Khách hàng'!A43)</f>
        <v/>
      </c>
      <c r="B43" s="35">
        <f>IF($A43="","",'Khách hàng'!B43)</f>
        <v/>
      </c>
      <c r="C43" s="41">
        <f>IF($A43="","",COUNTIFS('Báo giá'!$C$4:$C$203,$A43))</f>
        <v/>
      </c>
      <c r="D43" s="41">
        <f>IF($A43="","",SUMIFS('Báo giá'!$H$4:$H$203,'Báo giá'!$C$4:$C$203,$A43))</f>
        <v/>
      </c>
      <c r="E43" s="41">
        <f>IF($A43="","",SUMIFS('Báo giá'!$H$4:$H$203,'Báo giá'!$C$4:$C$203,$A43,'Báo giá'!$J$4:$J$203,"Thắng"))</f>
        <v/>
      </c>
      <c r="F43" s="42">
        <f>IFERROR($E43/$D43,"")</f>
        <v/>
      </c>
      <c r="G43" s="41">
        <f>IF($A43="","",SUMIFS('Hợp đồng'!$H$4:$H$203,'Hợp đồng'!$D$4:$D$203,$A43))</f>
        <v/>
      </c>
      <c r="H43" s="41">
        <f>IF($A43="","",SUMIFS('Công nợ'!$D$4:$D$203,'Công nợ'!$B$4:$B$203,$B43))</f>
        <v/>
      </c>
      <c r="I43" s="41">
        <f>IF($A43="","",SUMIFS('Công nợ'!$E$4:$E$203,'Công nợ'!$B$4:$B$203,$B43))</f>
        <v/>
      </c>
      <c r="J43" s="41">
        <f>IF($A43="","",SUMIFS('Công nợ'!$E$4:$E$203,'Công nợ'!$B$4:$B$203,$B43,'Công nợ'!$G$4:$G$203,"&gt;0"))</f>
        <v/>
      </c>
      <c r="K43" s="41">
        <f>IF($A43="","",'Khách hàng'!F43)</f>
        <v/>
      </c>
      <c r="L43" s="35">
        <f>IF($A43="","",IF($K43=0,"Chưa đặt hạn mức",IF($I43&gt;$K43,"VƯỢT HẠN MỨC","Trong hạn mức")))</f>
        <v/>
      </c>
    </row>
    <row r="44" ht="15" customHeight="1" s="30">
      <c r="A44" s="35">
        <f>IF('Khách hàng'!A44="","",'Khách hàng'!A44)</f>
        <v/>
      </c>
      <c r="B44" s="35">
        <f>IF($A44="","",'Khách hàng'!B44)</f>
        <v/>
      </c>
      <c r="C44" s="41">
        <f>IF($A44="","",COUNTIFS('Báo giá'!$C$4:$C$203,$A44))</f>
        <v/>
      </c>
      <c r="D44" s="41">
        <f>IF($A44="","",SUMIFS('Báo giá'!$H$4:$H$203,'Báo giá'!$C$4:$C$203,$A44))</f>
        <v/>
      </c>
      <c r="E44" s="41">
        <f>IF($A44="","",SUMIFS('Báo giá'!$H$4:$H$203,'Báo giá'!$C$4:$C$203,$A44,'Báo giá'!$J$4:$J$203,"Thắng"))</f>
        <v/>
      </c>
      <c r="F44" s="42">
        <f>IFERROR($E44/$D44,"")</f>
        <v/>
      </c>
      <c r="G44" s="41">
        <f>IF($A44="","",SUMIFS('Hợp đồng'!$H$4:$H$203,'Hợp đồng'!$D$4:$D$203,$A44))</f>
        <v/>
      </c>
      <c r="H44" s="41">
        <f>IF($A44="","",SUMIFS('Công nợ'!$D$4:$D$203,'Công nợ'!$B$4:$B$203,$B44))</f>
        <v/>
      </c>
      <c r="I44" s="41">
        <f>IF($A44="","",SUMIFS('Công nợ'!$E$4:$E$203,'Công nợ'!$B$4:$B$203,$B44))</f>
        <v/>
      </c>
      <c r="J44" s="41">
        <f>IF($A44="","",SUMIFS('Công nợ'!$E$4:$E$203,'Công nợ'!$B$4:$B$203,$B44,'Công nợ'!$G$4:$G$203,"&gt;0"))</f>
        <v/>
      </c>
      <c r="K44" s="41">
        <f>IF($A44="","",'Khách hàng'!F44)</f>
        <v/>
      </c>
      <c r="L44" s="35">
        <f>IF($A44="","",IF($K44=0,"Chưa đặt hạn mức",IF($I44&gt;$K44,"VƯỢT HẠN MỨC","Trong hạn mức")))</f>
        <v/>
      </c>
    </row>
    <row r="45" ht="15" customHeight="1" s="30">
      <c r="A45" s="35">
        <f>IF('Khách hàng'!A45="","",'Khách hàng'!A45)</f>
        <v/>
      </c>
      <c r="B45" s="35">
        <f>IF($A45="","",'Khách hàng'!B45)</f>
        <v/>
      </c>
      <c r="C45" s="41">
        <f>IF($A45="","",COUNTIFS('Báo giá'!$C$4:$C$203,$A45))</f>
        <v/>
      </c>
      <c r="D45" s="41">
        <f>IF($A45="","",SUMIFS('Báo giá'!$H$4:$H$203,'Báo giá'!$C$4:$C$203,$A45))</f>
        <v/>
      </c>
      <c r="E45" s="41">
        <f>IF($A45="","",SUMIFS('Báo giá'!$H$4:$H$203,'Báo giá'!$C$4:$C$203,$A45,'Báo giá'!$J$4:$J$203,"Thắng"))</f>
        <v/>
      </c>
      <c r="F45" s="42">
        <f>IFERROR($E45/$D45,"")</f>
        <v/>
      </c>
      <c r="G45" s="41">
        <f>IF($A45="","",SUMIFS('Hợp đồng'!$H$4:$H$203,'Hợp đồng'!$D$4:$D$203,$A45))</f>
        <v/>
      </c>
      <c r="H45" s="41">
        <f>IF($A45="","",SUMIFS('Công nợ'!$D$4:$D$203,'Công nợ'!$B$4:$B$203,$B45))</f>
        <v/>
      </c>
      <c r="I45" s="41">
        <f>IF($A45="","",SUMIFS('Công nợ'!$E$4:$E$203,'Công nợ'!$B$4:$B$203,$B45))</f>
        <v/>
      </c>
      <c r="J45" s="41">
        <f>IF($A45="","",SUMIFS('Công nợ'!$E$4:$E$203,'Công nợ'!$B$4:$B$203,$B45,'Công nợ'!$G$4:$G$203,"&gt;0"))</f>
        <v/>
      </c>
      <c r="K45" s="41">
        <f>IF($A45="","",'Khách hàng'!F45)</f>
        <v/>
      </c>
      <c r="L45" s="35">
        <f>IF($A45="","",IF($K45=0,"Chưa đặt hạn mức",IF($I45&gt;$K45,"VƯỢT HẠN MỨC","Trong hạn mức")))</f>
        <v/>
      </c>
    </row>
    <row r="46" ht="15" customHeight="1" s="30">
      <c r="A46" s="35">
        <f>IF('Khách hàng'!A46="","",'Khách hàng'!A46)</f>
        <v/>
      </c>
      <c r="B46" s="35">
        <f>IF($A46="","",'Khách hàng'!B46)</f>
        <v/>
      </c>
      <c r="C46" s="41">
        <f>IF($A46="","",COUNTIFS('Báo giá'!$C$4:$C$203,$A46))</f>
        <v/>
      </c>
      <c r="D46" s="41">
        <f>IF($A46="","",SUMIFS('Báo giá'!$H$4:$H$203,'Báo giá'!$C$4:$C$203,$A46))</f>
        <v/>
      </c>
      <c r="E46" s="41">
        <f>IF($A46="","",SUMIFS('Báo giá'!$H$4:$H$203,'Báo giá'!$C$4:$C$203,$A46,'Báo giá'!$J$4:$J$203,"Thắng"))</f>
        <v/>
      </c>
      <c r="F46" s="42">
        <f>IFERROR($E46/$D46,"")</f>
        <v/>
      </c>
      <c r="G46" s="41">
        <f>IF($A46="","",SUMIFS('Hợp đồng'!$H$4:$H$203,'Hợp đồng'!$D$4:$D$203,$A46))</f>
        <v/>
      </c>
      <c r="H46" s="41">
        <f>IF($A46="","",SUMIFS('Công nợ'!$D$4:$D$203,'Công nợ'!$B$4:$B$203,$B46))</f>
        <v/>
      </c>
      <c r="I46" s="41">
        <f>IF($A46="","",SUMIFS('Công nợ'!$E$4:$E$203,'Công nợ'!$B$4:$B$203,$B46))</f>
        <v/>
      </c>
      <c r="J46" s="41">
        <f>IF($A46="","",SUMIFS('Công nợ'!$E$4:$E$203,'Công nợ'!$B$4:$B$203,$B46,'Công nợ'!$G$4:$G$203,"&gt;0"))</f>
        <v/>
      </c>
      <c r="K46" s="41">
        <f>IF($A46="","",'Khách hàng'!F46)</f>
        <v/>
      </c>
      <c r="L46" s="35">
        <f>IF($A46="","",IF($K46=0,"Chưa đặt hạn mức",IF($I46&gt;$K46,"VƯỢT HẠN MỨC","Trong hạn mức")))</f>
        <v/>
      </c>
    </row>
    <row r="47" ht="15" customHeight="1" s="30">
      <c r="A47" s="35">
        <f>IF('Khách hàng'!A47="","",'Khách hàng'!A47)</f>
        <v/>
      </c>
      <c r="B47" s="35">
        <f>IF($A47="","",'Khách hàng'!B47)</f>
        <v/>
      </c>
      <c r="C47" s="41">
        <f>IF($A47="","",COUNTIFS('Báo giá'!$C$4:$C$203,$A47))</f>
        <v/>
      </c>
      <c r="D47" s="41">
        <f>IF($A47="","",SUMIFS('Báo giá'!$H$4:$H$203,'Báo giá'!$C$4:$C$203,$A47))</f>
        <v/>
      </c>
      <c r="E47" s="41">
        <f>IF($A47="","",SUMIFS('Báo giá'!$H$4:$H$203,'Báo giá'!$C$4:$C$203,$A47,'Báo giá'!$J$4:$J$203,"Thắng"))</f>
        <v/>
      </c>
      <c r="F47" s="42">
        <f>IFERROR($E47/$D47,"")</f>
        <v/>
      </c>
      <c r="G47" s="41">
        <f>IF($A47="","",SUMIFS('Hợp đồng'!$H$4:$H$203,'Hợp đồng'!$D$4:$D$203,$A47))</f>
        <v/>
      </c>
      <c r="H47" s="41">
        <f>IF($A47="","",SUMIFS('Công nợ'!$D$4:$D$203,'Công nợ'!$B$4:$B$203,$B47))</f>
        <v/>
      </c>
      <c r="I47" s="41">
        <f>IF($A47="","",SUMIFS('Công nợ'!$E$4:$E$203,'Công nợ'!$B$4:$B$203,$B47))</f>
        <v/>
      </c>
      <c r="J47" s="41">
        <f>IF($A47="","",SUMIFS('Công nợ'!$E$4:$E$203,'Công nợ'!$B$4:$B$203,$B47,'Công nợ'!$G$4:$G$203,"&gt;0"))</f>
        <v/>
      </c>
      <c r="K47" s="41">
        <f>IF($A47="","",'Khách hàng'!F47)</f>
        <v/>
      </c>
      <c r="L47" s="35">
        <f>IF($A47="","",IF($K47=0,"Chưa đặt hạn mức",IF($I47&gt;$K47,"VƯỢT HẠN MỨC","Trong hạn mức")))</f>
        <v/>
      </c>
    </row>
    <row r="48" ht="15" customHeight="1" s="30">
      <c r="A48" s="35">
        <f>IF('Khách hàng'!A48="","",'Khách hàng'!A48)</f>
        <v/>
      </c>
      <c r="B48" s="35">
        <f>IF($A48="","",'Khách hàng'!B48)</f>
        <v/>
      </c>
      <c r="C48" s="41">
        <f>IF($A48="","",COUNTIFS('Báo giá'!$C$4:$C$203,$A48))</f>
        <v/>
      </c>
      <c r="D48" s="41">
        <f>IF($A48="","",SUMIFS('Báo giá'!$H$4:$H$203,'Báo giá'!$C$4:$C$203,$A48))</f>
        <v/>
      </c>
      <c r="E48" s="41">
        <f>IF($A48="","",SUMIFS('Báo giá'!$H$4:$H$203,'Báo giá'!$C$4:$C$203,$A48,'Báo giá'!$J$4:$J$203,"Thắng"))</f>
        <v/>
      </c>
      <c r="F48" s="42">
        <f>IFERROR($E48/$D48,"")</f>
        <v/>
      </c>
      <c r="G48" s="41">
        <f>IF($A48="","",SUMIFS('Hợp đồng'!$H$4:$H$203,'Hợp đồng'!$D$4:$D$203,$A48))</f>
        <v/>
      </c>
      <c r="H48" s="41">
        <f>IF($A48="","",SUMIFS('Công nợ'!$D$4:$D$203,'Công nợ'!$B$4:$B$203,$B48))</f>
        <v/>
      </c>
      <c r="I48" s="41">
        <f>IF($A48="","",SUMIFS('Công nợ'!$E$4:$E$203,'Công nợ'!$B$4:$B$203,$B48))</f>
        <v/>
      </c>
      <c r="J48" s="41">
        <f>IF($A48="","",SUMIFS('Công nợ'!$E$4:$E$203,'Công nợ'!$B$4:$B$203,$B48,'Công nợ'!$G$4:$G$203,"&gt;0"))</f>
        <v/>
      </c>
      <c r="K48" s="41">
        <f>IF($A48="","",'Khách hàng'!F48)</f>
        <v/>
      </c>
      <c r="L48" s="35">
        <f>IF($A48="","",IF($K48=0,"Chưa đặt hạn mức",IF($I48&gt;$K48,"VƯỢT HẠN MỨC","Trong hạn mức")))</f>
        <v/>
      </c>
    </row>
    <row r="49" ht="15" customHeight="1" s="30">
      <c r="A49" s="35">
        <f>IF('Khách hàng'!A49="","",'Khách hàng'!A49)</f>
        <v/>
      </c>
      <c r="B49" s="35">
        <f>IF($A49="","",'Khách hàng'!B49)</f>
        <v/>
      </c>
      <c r="C49" s="41">
        <f>IF($A49="","",COUNTIFS('Báo giá'!$C$4:$C$203,$A49))</f>
        <v/>
      </c>
      <c r="D49" s="41">
        <f>IF($A49="","",SUMIFS('Báo giá'!$H$4:$H$203,'Báo giá'!$C$4:$C$203,$A49))</f>
        <v/>
      </c>
      <c r="E49" s="41">
        <f>IF($A49="","",SUMIFS('Báo giá'!$H$4:$H$203,'Báo giá'!$C$4:$C$203,$A49,'Báo giá'!$J$4:$J$203,"Thắng"))</f>
        <v/>
      </c>
      <c r="F49" s="42">
        <f>IFERROR($E49/$D49,"")</f>
        <v/>
      </c>
      <c r="G49" s="41">
        <f>IF($A49="","",SUMIFS('Hợp đồng'!$H$4:$H$203,'Hợp đồng'!$D$4:$D$203,$A49))</f>
        <v/>
      </c>
      <c r="H49" s="41">
        <f>IF($A49="","",SUMIFS('Công nợ'!$D$4:$D$203,'Công nợ'!$B$4:$B$203,$B49))</f>
        <v/>
      </c>
      <c r="I49" s="41">
        <f>IF($A49="","",SUMIFS('Công nợ'!$E$4:$E$203,'Công nợ'!$B$4:$B$203,$B49))</f>
        <v/>
      </c>
      <c r="J49" s="41">
        <f>IF($A49="","",SUMIFS('Công nợ'!$E$4:$E$203,'Công nợ'!$B$4:$B$203,$B49,'Công nợ'!$G$4:$G$203,"&gt;0"))</f>
        <v/>
      </c>
      <c r="K49" s="41">
        <f>IF($A49="","",'Khách hàng'!F49)</f>
        <v/>
      </c>
      <c r="L49" s="35">
        <f>IF($A49="","",IF($K49=0,"Chưa đặt hạn mức",IF($I49&gt;$K49,"VƯỢT HẠN MỨC","Trong hạn mức")))</f>
        <v/>
      </c>
    </row>
    <row r="50" ht="15" customHeight="1" s="30">
      <c r="A50" s="35">
        <f>IF('Khách hàng'!A50="","",'Khách hàng'!A50)</f>
        <v/>
      </c>
      <c r="B50" s="35">
        <f>IF($A50="","",'Khách hàng'!B50)</f>
        <v/>
      </c>
      <c r="C50" s="41">
        <f>IF($A50="","",COUNTIFS('Báo giá'!$C$4:$C$203,$A50))</f>
        <v/>
      </c>
      <c r="D50" s="41">
        <f>IF($A50="","",SUMIFS('Báo giá'!$H$4:$H$203,'Báo giá'!$C$4:$C$203,$A50))</f>
        <v/>
      </c>
      <c r="E50" s="41">
        <f>IF($A50="","",SUMIFS('Báo giá'!$H$4:$H$203,'Báo giá'!$C$4:$C$203,$A50,'Báo giá'!$J$4:$J$203,"Thắng"))</f>
        <v/>
      </c>
      <c r="F50" s="42">
        <f>IFERROR($E50/$D50,"")</f>
        <v/>
      </c>
      <c r="G50" s="41">
        <f>IF($A50="","",SUMIFS('Hợp đồng'!$H$4:$H$203,'Hợp đồng'!$D$4:$D$203,$A50))</f>
        <v/>
      </c>
      <c r="H50" s="41">
        <f>IF($A50="","",SUMIFS('Công nợ'!$D$4:$D$203,'Công nợ'!$B$4:$B$203,$B50))</f>
        <v/>
      </c>
      <c r="I50" s="41">
        <f>IF($A50="","",SUMIFS('Công nợ'!$E$4:$E$203,'Công nợ'!$B$4:$B$203,$B50))</f>
        <v/>
      </c>
      <c r="J50" s="41">
        <f>IF($A50="","",SUMIFS('Công nợ'!$E$4:$E$203,'Công nợ'!$B$4:$B$203,$B50,'Công nợ'!$G$4:$G$203,"&gt;0"))</f>
        <v/>
      </c>
      <c r="K50" s="41">
        <f>IF($A50="","",'Khách hàng'!F50)</f>
        <v/>
      </c>
      <c r="L50" s="35">
        <f>IF($A50="","",IF($K50=0,"Chưa đặt hạn mức",IF($I50&gt;$K50,"VƯỢT HẠN MỨC","Trong hạn mức")))</f>
        <v/>
      </c>
    </row>
    <row r="51" ht="15" customHeight="1" s="30">
      <c r="A51" s="35">
        <f>IF('Khách hàng'!A51="","",'Khách hàng'!A51)</f>
        <v/>
      </c>
      <c r="B51" s="35">
        <f>IF($A51="","",'Khách hàng'!B51)</f>
        <v/>
      </c>
      <c r="C51" s="41">
        <f>IF($A51="","",COUNTIFS('Báo giá'!$C$4:$C$203,$A51))</f>
        <v/>
      </c>
      <c r="D51" s="41">
        <f>IF($A51="","",SUMIFS('Báo giá'!$H$4:$H$203,'Báo giá'!$C$4:$C$203,$A51))</f>
        <v/>
      </c>
      <c r="E51" s="41">
        <f>IF($A51="","",SUMIFS('Báo giá'!$H$4:$H$203,'Báo giá'!$C$4:$C$203,$A51,'Báo giá'!$J$4:$J$203,"Thắng"))</f>
        <v/>
      </c>
      <c r="F51" s="42">
        <f>IFERROR($E51/$D51,"")</f>
        <v/>
      </c>
      <c r="G51" s="41">
        <f>IF($A51="","",SUMIFS('Hợp đồng'!$H$4:$H$203,'Hợp đồng'!$D$4:$D$203,$A51))</f>
        <v/>
      </c>
      <c r="H51" s="41">
        <f>IF($A51="","",SUMIFS('Công nợ'!$D$4:$D$203,'Công nợ'!$B$4:$B$203,$B51))</f>
        <v/>
      </c>
      <c r="I51" s="41">
        <f>IF($A51="","",SUMIFS('Công nợ'!$E$4:$E$203,'Công nợ'!$B$4:$B$203,$B51))</f>
        <v/>
      </c>
      <c r="J51" s="41">
        <f>IF($A51="","",SUMIFS('Công nợ'!$E$4:$E$203,'Công nợ'!$B$4:$B$203,$B51,'Công nợ'!$G$4:$G$203,"&gt;0"))</f>
        <v/>
      </c>
      <c r="K51" s="41">
        <f>IF($A51="","",'Khách hàng'!F51)</f>
        <v/>
      </c>
      <c r="L51" s="35">
        <f>IF($A51="","",IF($K51=0,"Chưa đặt hạn mức",IF($I51&gt;$K51,"VƯỢT HẠN MỨC","Trong hạn mức")))</f>
        <v/>
      </c>
    </row>
    <row r="52" ht="15" customHeight="1" s="30">
      <c r="A52" s="35">
        <f>IF('Khách hàng'!A52="","",'Khách hàng'!A52)</f>
        <v/>
      </c>
      <c r="B52" s="35">
        <f>IF($A52="","",'Khách hàng'!B52)</f>
        <v/>
      </c>
      <c r="C52" s="41">
        <f>IF($A52="","",COUNTIFS('Báo giá'!$C$4:$C$203,$A52))</f>
        <v/>
      </c>
      <c r="D52" s="41">
        <f>IF($A52="","",SUMIFS('Báo giá'!$H$4:$H$203,'Báo giá'!$C$4:$C$203,$A52))</f>
        <v/>
      </c>
      <c r="E52" s="41">
        <f>IF($A52="","",SUMIFS('Báo giá'!$H$4:$H$203,'Báo giá'!$C$4:$C$203,$A52,'Báo giá'!$J$4:$J$203,"Thắng"))</f>
        <v/>
      </c>
      <c r="F52" s="42">
        <f>IFERROR($E52/$D52,"")</f>
        <v/>
      </c>
      <c r="G52" s="41">
        <f>IF($A52="","",SUMIFS('Hợp đồng'!$H$4:$H$203,'Hợp đồng'!$D$4:$D$203,$A52))</f>
        <v/>
      </c>
      <c r="H52" s="41">
        <f>IF($A52="","",SUMIFS('Công nợ'!$D$4:$D$203,'Công nợ'!$B$4:$B$203,$B52))</f>
        <v/>
      </c>
      <c r="I52" s="41">
        <f>IF($A52="","",SUMIFS('Công nợ'!$E$4:$E$203,'Công nợ'!$B$4:$B$203,$B52))</f>
        <v/>
      </c>
      <c r="J52" s="41">
        <f>IF($A52="","",SUMIFS('Công nợ'!$E$4:$E$203,'Công nợ'!$B$4:$B$203,$B52,'Công nợ'!$G$4:$G$203,"&gt;0"))</f>
        <v/>
      </c>
      <c r="K52" s="41">
        <f>IF($A52="","",'Khách hàng'!F52)</f>
        <v/>
      </c>
      <c r="L52" s="35">
        <f>IF($A52="","",IF($K52=0,"Chưa đặt hạn mức",IF($I52&gt;$K52,"VƯỢT HẠN MỨC","Trong hạn mức")))</f>
        <v/>
      </c>
    </row>
    <row r="53" ht="15" customHeight="1" s="30">
      <c r="A53" s="35">
        <f>IF('Khách hàng'!A53="","",'Khách hàng'!A53)</f>
        <v/>
      </c>
      <c r="B53" s="35">
        <f>IF($A53="","",'Khách hàng'!B53)</f>
        <v/>
      </c>
      <c r="C53" s="41">
        <f>IF($A53="","",COUNTIFS('Báo giá'!$C$4:$C$203,$A53))</f>
        <v/>
      </c>
      <c r="D53" s="41">
        <f>IF($A53="","",SUMIFS('Báo giá'!$H$4:$H$203,'Báo giá'!$C$4:$C$203,$A53))</f>
        <v/>
      </c>
      <c r="E53" s="41">
        <f>IF($A53="","",SUMIFS('Báo giá'!$H$4:$H$203,'Báo giá'!$C$4:$C$203,$A53,'Báo giá'!$J$4:$J$203,"Thắng"))</f>
        <v/>
      </c>
      <c r="F53" s="42">
        <f>IFERROR($E53/$D53,"")</f>
        <v/>
      </c>
      <c r="G53" s="41">
        <f>IF($A53="","",SUMIFS('Hợp đồng'!$H$4:$H$203,'Hợp đồng'!$D$4:$D$203,$A53))</f>
        <v/>
      </c>
      <c r="H53" s="41">
        <f>IF($A53="","",SUMIFS('Công nợ'!$D$4:$D$203,'Công nợ'!$B$4:$B$203,$B53))</f>
        <v/>
      </c>
      <c r="I53" s="41">
        <f>IF($A53="","",SUMIFS('Công nợ'!$E$4:$E$203,'Công nợ'!$B$4:$B$203,$B53))</f>
        <v/>
      </c>
      <c r="J53" s="41">
        <f>IF($A53="","",SUMIFS('Công nợ'!$E$4:$E$203,'Công nợ'!$B$4:$B$203,$B53,'Công nợ'!$G$4:$G$203,"&gt;0"))</f>
        <v/>
      </c>
      <c r="K53" s="41">
        <f>IF($A53="","",'Khách hàng'!F53)</f>
        <v/>
      </c>
      <c r="L53" s="35">
        <f>IF($A53="","",IF($K53=0,"Chưa đặt hạn mức",IF($I53&gt;$K53,"VƯỢT HẠN MỨC","Trong hạn mức")))</f>
        <v/>
      </c>
    </row>
    <row r="54" ht="15" customHeight="1" s="30">
      <c r="A54" s="35">
        <f>IF('Khách hàng'!A54="","",'Khách hàng'!A54)</f>
        <v/>
      </c>
      <c r="B54" s="35">
        <f>IF($A54="","",'Khách hàng'!B54)</f>
        <v/>
      </c>
      <c r="C54" s="41">
        <f>IF($A54="","",COUNTIFS('Báo giá'!$C$4:$C$203,$A54))</f>
        <v/>
      </c>
      <c r="D54" s="41">
        <f>IF($A54="","",SUMIFS('Báo giá'!$H$4:$H$203,'Báo giá'!$C$4:$C$203,$A54))</f>
        <v/>
      </c>
      <c r="E54" s="41">
        <f>IF($A54="","",SUMIFS('Báo giá'!$H$4:$H$203,'Báo giá'!$C$4:$C$203,$A54,'Báo giá'!$J$4:$J$203,"Thắng"))</f>
        <v/>
      </c>
      <c r="F54" s="42">
        <f>IFERROR($E54/$D54,"")</f>
        <v/>
      </c>
      <c r="G54" s="41">
        <f>IF($A54="","",SUMIFS('Hợp đồng'!$H$4:$H$203,'Hợp đồng'!$D$4:$D$203,$A54))</f>
        <v/>
      </c>
      <c r="H54" s="41">
        <f>IF($A54="","",SUMIFS('Công nợ'!$D$4:$D$203,'Công nợ'!$B$4:$B$203,$B54))</f>
        <v/>
      </c>
      <c r="I54" s="41">
        <f>IF($A54="","",SUMIFS('Công nợ'!$E$4:$E$203,'Công nợ'!$B$4:$B$203,$B54))</f>
        <v/>
      </c>
      <c r="J54" s="41">
        <f>IF($A54="","",SUMIFS('Công nợ'!$E$4:$E$203,'Công nợ'!$B$4:$B$203,$B54,'Công nợ'!$G$4:$G$203,"&gt;0"))</f>
        <v/>
      </c>
      <c r="K54" s="41">
        <f>IF($A54="","",'Khách hàng'!F54)</f>
        <v/>
      </c>
      <c r="L54" s="35">
        <f>IF($A54="","",IF($K54=0,"Chưa đặt hạn mức",IF($I54&gt;$K54,"VƯỢT HẠN MỨC","Trong hạn mức")))</f>
        <v/>
      </c>
    </row>
    <row r="55" ht="15" customHeight="1" s="30">
      <c r="A55" s="35">
        <f>IF('Khách hàng'!A55="","",'Khách hàng'!A55)</f>
        <v/>
      </c>
      <c r="B55" s="35">
        <f>IF($A55="","",'Khách hàng'!B55)</f>
        <v/>
      </c>
      <c r="C55" s="41">
        <f>IF($A55="","",COUNTIFS('Báo giá'!$C$4:$C$203,$A55))</f>
        <v/>
      </c>
      <c r="D55" s="41">
        <f>IF($A55="","",SUMIFS('Báo giá'!$H$4:$H$203,'Báo giá'!$C$4:$C$203,$A55))</f>
        <v/>
      </c>
      <c r="E55" s="41">
        <f>IF($A55="","",SUMIFS('Báo giá'!$H$4:$H$203,'Báo giá'!$C$4:$C$203,$A55,'Báo giá'!$J$4:$J$203,"Thắng"))</f>
        <v/>
      </c>
      <c r="F55" s="42">
        <f>IFERROR($E55/$D55,"")</f>
        <v/>
      </c>
      <c r="G55" s="41">
        <f>IF($A55="","",SUMIFS('Hợp đồng'!$H$4:$H$203,'Hợp đồng'!$D$4:$D$203,$A55))</f>
        <v/>
      </c>
      <c r="H55" s="41">
        <f>IF($A55="","",SUMIFS('Công nợ'!$D$4:$D$203,'Công nợ'!$B$4:$B$203,$B55))</f>
        <v/>
      </c>
      <c r="I55" s="41">
        <f>IF($A55="","",SUMIFS('Công nợ'!$E$4:$E$203,'Công nợ'!$B$4:$B$203,$B55))</f>
        <v/>
      </c>
      <c r="J55" s="41">
        <f>IF($A55="","",SUMIFS('Công nợ'!$E$4:$E$203,'Công nợ'!$B$4:$B$203,$B55,'Công nợ'!$G$4:$G$203,"&gt;0"))</f>
        <v/>
      </c>
      <c r="K55" s="41">
        <f>IF($A55="","",'Khách hàng'!F55)</f>
        <v/>
      </c>
      <c r="L55" s="35">
        <f>IF($A55="","",IF($K55=0,"Chưa đặt hạn mức",IF($I55&gt;$K55,"VƯỢT HẠN MỨC","Trong hạn mức")))</f>
        <v/>
      </c>
    </row>
    <row r="56" ht="15" customHeight="1" s="30">
      <c r="A56" s="35">
        <f>IF('Khách hàng'!A56="","",'Khách hàng'!A56)</f>
        <v/>
      </c>
      <c r="B56" s="35">
        <f>IF($A56="","",'Khách hàng'!B56)</f>
        <v/>
      </c>
      <c r="C56" s="41">
        <f>IF($A56="","",COUNTIFS('Báo giá'!$C$4:$C$203,$A56))</f>
        <v/>
      </c>
      <c r="D56" s="41">
        <f>IF($A56="","",SUMIFS('Báo giá'!$H$4:$H$203,'Báo giá'!$C$4:$C$203,$A56))</f>
        <v/>
      </c>
      <c r="E56" s="41">
        <f>IF($A56="","",SUMIFS('Báo giá'!$H$4:$H$203,'Báo giá'!$C$4:$C$203,$A56,'Báo giá'!$J$4:$J$203,"Thắng"))</f>
        <v/>
      </c>
      <c r="F56" s="42">
        <f>IFERROR($E56/$D56,"")</f>
        <v/>
      </c>
      <c r="G56" s="41">
        <f>IF($A56="","",SUMIFS('Hợp đồng'!$H$4:$H$203,'Hợp đồng'!$D$4:$D$203,$A56))</f>
        <v/>
      </c>
      <c r="H56" s="41">
        <f>IF($A56="","",SUMIFS('Công nợ'!$D$4:$D$203,'Công nợ'!$B$4:$B$203,$B56))</f>
        <v/>
      </c>
      <c r="I56" s="41">
        <f>IF($A56="","",SUMIFS('Công nợ'!$E$4:$E$203,'Công nợ'!$B$4:$B$203,$B56))</f>
        <v/>
      </c>
      <c r="J56" s="41">
        <f>IF($A56="","",SUMIFS('Công nợ'!$E$4:$E$203,'Công nợ'!$B$4:$B$203,$B56,'Công nợ'!$G$4:$G$203,"&gt;0"))</f>
        <v/>
      </c>
      <c r="K56" s="41">
        <f>IF($A56="","",'Khách hàng'!F56)</f>
        <v/>
      </c>
      <c r="L56" s="35">
        <f>IF($A56="","",IF($K56=0,"Chưa đặt hạn mức",IF($I56&gt;$K56,"VƯỢT HẠN MỨC","Trong hạn mức")))</f>
        <v/>
      </c>
    </row>
    <row r="57" ht="15" customHeight="1" s="30">
      <c r="A57" s="35">
        <f>IF('Khách hàng'!A57="","",'Khách hàng'!A57)</f>
        <v/>
      </c>
      <c r="B57" s="35">
        <f>IF($A57="","",'Khách hàng'!B57)</f>
        <v/>
      </c>
      <c r="C57" s="41">
        <f>IF($A57="","",COUNTIFS('Báo giá'!$C$4:$C$203,$A57))</f>
        <v/>
      </c>
      <c r="D57" s="41">
        <f>IF($A57="","",SUMIFS('Báo giá'!$H$4:$H$203,'Báo giá'!$C$4:$C$203,$A57))</f>
        <v/>
      </c>
      <c r="E57" s="41">
        <f>IF($A57="","",SUMIFS('Báo giá'!$H$4:$H$203,'Báo giá'!$C$4:$C$203,$A57,'Báo giá'!$J$4:$J$203,"Thắng"))</f>
        <v/>
      </c>
      <c r="F57" s="42">
        <f>IFERROR($E57/$D57,"")</f>
        <v/>
      </c>
      <c r="G57" s="41">
        <f>IF($A57="","",SUMIFS('Hợp đồng'!$H$4:$H$203,'Hợp đồng'!$D$4:$D$203,$A57))</f>
        <v/>
      </c>
      <c r="H57" s="41">
        <f>IF($A57="","",SUMIFS('Công nợ'!$D$4:$D$203,'Công nợ'!$B$4:$B$203,$B57))</f>
        <v/>
      </c>
      <c r="I57" s="41">
        <f>IF($A57="","",SUMIFS('Công nợ'!$E$4:$E$203,'Công nợ'!$B$4:$B$203,$B57))</f>
        <v/>
      </c>
      <c r="J57" s="41">
        <f>IF($A57="","",SUMIFS('Công nợ'!$E$4:$E$203,'Công nợ'!$B$4:$B$203,$B57,'Công nợ'!$G$4:$G$203,"&gt;0"))</f>
        <v/>
      </c>
      <c r="K57" s="41">
        <f>IF($A57="","",'Khách hàng'!F57)</f>
        <v/>
      </c>
      <c r="L57" s="35">
        <f>IF($A57="","",IF($K57=0,"Chưa đặt hạn mức",IF($I57&gt;$K57,"VƯỢT HẠN MỨC","Trong hạn mức")))</f>
        <v/>
      </c>
    </row>
    <row r="58" ht="15" customHeight="1" s="30">
      <c r="A58" s="35">
        <f>IF('Khách hàng'!A58="","",'Khách hàng'!A58)</f>
        <v/>
      </c>
      <c r="B58" s="35">
        <f>IF($A58="","",'Khách hàng'!B58)</f>
        <v/>
      </c>
      <c r="C58" s="41">
        <f>IF($A58="","",COUNTIFS('Báo giá'!$C$4:$C$203,$A58))</f>
        <v/>
      </c>
      <c r="D58" s="41">
        <f>IF($A58="","",SUMIFS('Báo giá'!$H$4:$H$203,'Báo giá'!$C$4:$C$203,$A58))</f>
        <v/>
      </c>
      <c r="E58" s="41">
        <f>IF($A58="","",SUMIFS('Báo giá'!$H$4:$H$203,'Báo giá'!$C$4:$C$203,$A58,'Báo giá'!$J$4:$J$203,"Thắng"))</f>
        <v/>
      </c>
      <c r="F58" s="42">
        <f>IFERROR($E58/$D58,"")</f>
        <v/>
      </c>
      <c r="G58" s="41">
        <f>IF($A58="","",SUMIFS('Hợp đồng'!$H$4:$H$203,'Hợp đồng'!$D$4:$D$203,$A58))</f>
        <v/>
      </c>
      <c r="H58" s="41">
        <f>IF($A58="","",SUMIFS('Công nợ'!$D$4:$D$203,'Công nợ'!$B$4:$B$203,$B58))</f>
        <v/>
      </c>
      <c r="I58" s="41">
        <f>IF($A58="","",SUMIFS('Công nợ'!$E$4:$E$203,'Công nợ'!$B$4:$B$203,$B58))</f>
        <v/>
      </c>
      <c r="J58" s="41">
        <f>IF($A58="","",SUMIFS('Công nợ'!$E$4:$E$203,'Công nợ'!$B$4:$B$203,$B58,'Công nợ'!$G$4:$G$203,"&gt;0"))</f>
        <v/>
      </c>
      <c r="K58" s="41">
        <f>IF($A58="","",'Khách hàng'!F58)</f>
        <v/>
      </c>
      <c r="L58" s="35">
        <f>IF($A58="","",IF($K58=0,"Chưa đặt hạn mức",IF($I58&gt;$K58,"VƯỢT HẠN MỨC","Trong hạn mức")))</f>
        <v/>
      </c>
    </row>
    <row r="59" ht="15" customHeight="1" s="30">
      <c r="A59" s="35">
        <f>IF('Khách hàng'!A59="","",'Khách hàng'!A59)</f>
        <v/>
      </c>
      <c r="B59" s="35">
        <f>IF($A59="","",'Khách hàng'!B59)</f>
        <v/>
      </c>
      <c r="C59" s="41">
        <f>IF($A59="","",COUNTIFS('Báo giá'!$C$4:$C$203,$A59))</f>
        <v/>
      </c>
      <c r="D59" s="41">
        <f>IF($A59="","",SUMIFS('Báo giá'!$H$4:$H$203,'Báo giá'!$C$4:$C$203,$A59))</f>
        <v/>
      </c>
      <c r="E59" s="41">
        <f>IF($A59="","",SUMIFS('Báo giá'!$H$4:$H$203,'Báo giá'!$C$4:$C$203,$A59,'Báo giá'!$J$4:$J$203,"Thắng"))</f>
        <v/>
      </c>
      <c r="F59" s="42">
        <f>IFERROR($E59/$D59,"")</f>
        <v/>
      </c>
      <c r="G59" s="41">
        <f>IF($A59="","",SUMIFS('Hợp đồng'!$H$4:$H$203,'Hợp đồng'!$D$4:$D$203,$A59))</f>
        <v/>
      </c>
      <c r="H59" s="41">
        <f>IF($A59="","",SUMIFS('Công nợ'!$D$4:$D$203,'Công nợ'!$B$4:$B$203,$B59))</f>
        <v/>
      </c>
      <c r="I59" s="41">
        <f>IF($A59="","",SUMIFS('Công nợ'!$E$4:$E$203,'Công nợ'!$B$4:$B$203,$B59))</f>
        <v/>
      </c>
      <c r="J59" s="41">
        <f>IF($A59="","",SUMIFS('Công nợ'!$E$4:$E$203,'Công nợ'!$B$4:$B$203,$B59,'Công nợ'!$G$4:$G$203,"&gt;0"))</f>
        <v/>
      </c>
      <c r="K59" s="41">
        <f>IF($A59="","",'Khách hàng'!F59)</f>
        <v/>
      </c>
      <c r="L59" s="35">
        <f>IF($A59="","",IF($K59=0,"Chưa đặt hạn mức",IF($I59&gt;$K59,"VƯỢT HẠN MỨC","Trong hạn mức")))</f>
        <v/>
      </c>
    </row>
    <row r="60" ht="15" customHeight="1" s="30">
      <c r="A60" s="35">
        <f>IF('Khách hàng'!A60="","",'Khách hàng'!A60)</f>
        <v/>
      </c>
      <c r="B60" s="35">
        <f>IF($A60="","",'Khách hàng'!B60)</f>
        <v/>
      </c>
      <c r="C60" s="41">
        <f>IF($A60="","",COUNTIFS('Báo giá'!$C$4:$C$203,$A60))</f>
        <v/>
      </c>
      <c r="D60" s="41">
        <f>IF($A60="","",SUMIFS('Báo giá'!$H$4:$H$203,'Báo giá'!$C$4:$C$203,$A60))</f>
        <v/>
      </c>
      <c r="E60" s="41">
        <f>IF($A60="","",SUMIFS('Báo giá'!$H$4:$H$203,'Báo giá'!$C$4:$C$203,$A60,'Báo giá'!$J$4:$J$203,"Thắng"))</f>
        <v/>
      </c>
      <c r="F60" s="42">
        <f>IFERROR($E60/$D60,"")</f>
        <v/>
      </c>
      <c r="G60" s="41">
        <f>IF($A60="","",SUMIFS('Hợp đồng'!$H$4:$H$203,'Hợp đồng'!$D$4:$D$203,$A60))</f>
        <v/>
      </c>
      <c r="H60" s="41">
        <f>IF($A60="","",SUMIFS('Công nợ'!$D$4:$D$203,'Công nợ'!$B$4:$B$203,$B60))</f>
        <v/>
      </c>
      <c r="I60" s="41">
        <f>IF($A60="","",SUMIFS('Công nợ'!$E$4:$E$203,'Công nợ'!$B$4:$B$203,$B60))</f>
        <v/>
      </c>
      <c r="J60" s="41">
        <f>IF($A60="","",SUMIFS('Công nợ'!$E$4:$E$203,'Công nợ'!$B$4:$B$203,$B60,'Công nợ'!$G$4:$G$203,"&gt;0"))</f>
        <v/>
      </c>
      <c r="K60" s="41">
        <f>IF($A60="","",'Khách hàng'!F60)</f>
        <v/>
      </c>
      <c r="L60" s="35">
        <f>IF($A60="","",IF($K60=0,"Chưa đặt hạn mức",IF($I60&gt;$K60,"VƯỢT HẠN MỨC","Trong hạn mức")))</f>
        <v/>
      </c>
    </row>
    <row r="61" ht="15" customHeight="1" s="30">
      <c r="A61" s="35">
        <f>IF('Khách hàng'!A61="","",'Khách hàng'!A61)</f>
        <v/>
      </c>
      <c r="B61" s="35">
        <f>IF($A61="","",'Khách hàng'!B61)</f>
        <v/>
      </c>
      <c r="C61" s="41">
        <f>IF($A61="","",COUNTIFS('Báo giá'!$C$4:$C$203,$A61))</f>
        <v/>
      </c>
      <c r="D61" s="41">
        <f>IF($A61="","",SUMIFS('Báo giá'!$H$4:$H$203,'Báo giá'!$C$4:$C$203,$A61))</f>
        <v/>
      </c>
      <c r="E61" s="41">
        <f>IF($A61="","",SUMIFS('Báo giá'!$H$4:$H$203,'Báo giá'!$C$4:$C$203,$A61,'Báo giá'!$J$4:$J$203,"Thắng"))</f>
        <v/>
      </c>
      <c r="F61" s="42">
        <f>IFERROR($E61/$D61,"")</f>
        <v/>
      </c>
      <c r="G61" s="41">
        <f>IF($A61="","",SUMIFS('Hợp đồng'!$H$4:$H$203,'Hợp đồng'!$D$4:$D$203,$A61))</f>
        <v/>
      </c>
      <c r="H61" s="41">
        <f>IF($A61="","",SUMIFS('Công nợ'!$D$4:$D$203,'Công nợ'!$B$4:$B$203,$B61))</f>
        <v/>
      </c>
      <c r="I61" s="41">
        <f>IF($A61="","",SUMIFS('Công nợ'!$E$4:$E$203,'Công nợ'!$B$4:$B$203,$B61))</f>
        <v/>
      </c>
      <c r="J61" s="41">
        <f>IF($A61="","",SUMIFS('Công nợ'!$E$4:$E$203,'Công nợ'!$B$4:$B$203,$B61,'Công nợ'!$G$4:$G$203,"&gt;0"))</f>
        <v/>
      </c>
      <c r="K61" s="41">
        <f>IF($A61="","",'Khách hàng'!F61)</f>
        <v/>
      </c>
      <c r="L61" s="35">
        <f>IF($A61="","",IF($K61=0,"Chưa đặt hạn mức",IF($I61&gt;$K61,"VƯỢT HẠN MỨC","Trong hạn mức")))</f>
        <v/>
      </c>
    </row>
    <row r="62" ht="15" customHeight="1" s="30">
      <c r="A62" s="35">
        <f>IF('Khách hàng'!A62="","",'Khách hàng'!A62)</f>
        <v/>
      </c>
      <c r="B62" s="35">
        <f>IF($A62="","",'Khách hàng'!B62)</f>
        <v/>
      </c>
      <c r="C62" s="41">
        <f>IF($A62="","",COUNTIFS('Báo giá'!$C$4:$C$203,$A62))</f>
        <v/>
      </c>
      <c r="D62" s="41">
        <f>IF($A62="","",SUMIFS('Báo giá'!$H$4:$H$203,'Báo giá'!$C$4:$C$203,$A62))</f>
        <v/>
      </c>
      <c r="E62" s="41">
        <f>IF($A62="","",SUMIFS('Báo giá'!$H$4:$H$203,'Báo giá'!$C$4:$C$203,$A62,'Báo giá'!$J$4:$J$203,"Thắng"))</f>
        <v/>
      </c>
      <c r="F62" s="42">
        <f>IFERROR($E62/$D62,"")</f>
        <v/>
      </c>
      <c r="G62" s="41">
        <f>IF($A62="","",SUMIFS('Hợp đồng'!$H$4:$H$203,'Hợp đồng'!$D$4:$D$203,$A62))</f>
        <v/>
      </c>
      <c r="H62" s="41">
        <f>IF($A62="","",SUMIFS('Công nợ'!$D$4:$D$203,'Công nợ'!$B$4:$B$203,$B62))</f>
        <v/>
      </c>
      <c r="I62" s="41">
        <f>IF($A62="","",SUMIFS('Công nợ'!$E$4:$E$203,'Công nợ'!$B$4:$B$203,$B62))</f>
        <v/>
      </c>
      <c r="J62" s="41">
        <f>IF($A62="","",SUMIFS('Công nợ'!$E$4:$E$203,'Công nợ'!$B$4:$B$203,$B62,'Công nợ'!$G$4:$G$203,"&gt;0"))</f>
        <v/>
      </c>
      <c r="K62" s="41">
        <f>IF($A62="","",'Khách hàng'!F62)</f>
        <v/>
      </c>
      <c r="L62" s="35">
        <f>IF($A62="","",IF($K62=0,"Chưa đặt hạn mức",IF($I62&gt;$K62,"VƯỢT HẠN MỨC","Trong hạn mức")))</f>
        <v/>
      </c>
    </row>
    <row r="63" ht="15" customHeight="1" s="30">
      <c r="A63" s="35">
        <f>IF('Khách hàng'!A63="","",'Khách hàng'!A63)</f>
        <v/>
      </c>
      <c r="B63" s="35">
        <f>IF($A63="","",'Khách hàng'!B63)</f>
        <v/>
      </c>
      <c r="C63" s="41">
        <f>IF($A63="","",COUNTIFS('Báo giá'!$C$4:$C$203,$A63))</f>
        <v/>
      </c>
      <c r="D63" s="41">
        <f>IF($A63="","",SUMIFS('Báo giá'!$H$4:$H$203,'Báo giá'!$C$4:$C$203,$A63))</f>
        <v/>
      </c>
      <c r="E63" s="41">
        <f>IF($A63="","",SUMIFS('Báo giá'!$H$4:$H$203,'Báo giá'!$C$4:$C$203,$A63,'Báo giá'!$J$4:$J$203,"Thắng"))</f>
        <v/>
      </c>
      <c r="F63" s="42">
        <f>IFERROR($E63/$D63,"")</f>
        <v/>
      </c>
      <c r="G63" s="41">
        <f>IF($A63="","",SUMIFS('Hợp đồng'!$H$4:$H$203,'Hợp đồng'!$D$4:$D$203,$A63))</f>
        <v/>
      </c>
      <c r="H63" s="41">
        <f>IF($A63="","",SUMIFS('Công nợ'!$D$4:$D$203,'Công nợ'!$B$4:$B$203,$B63))</f>
        <v/>
      </c>
      <c r="I63" s="41">
        <f>IF($A63="","",SUMIFS('Công nợ'!$E$4:$E$203,'Công nợ'!$B$4:$B$203,$B63))</f>
        <v/>
      </c>
      <c r="J63" s="41">
        <f>IF($A63="","",SUMIFS('Công nợ'!$E$4:$E$203,'Công nợ'!$B$4:$B$203,$B63,'Công nợ'!$G$4:$G$203,"&gt;0"))</f>
        <v/>
      </c>
      <c r="K63" s="41">
        <f>IF($A63="","",'Khách hàng'!F63)</f>
        <v/>
      </c>
      <c r="L63" s="35">
        <f>IF($A63="","",IF($K63=0,"Chưa đặt hạn mức",IF($I63&gt;$K63,"VƯỢT HẠN MỨC","Trong hạn mức")))</f>
        <v/>
      </c>
    </row>
    <row r="64" ht="15" customHeight="1" s="30">
      <c r="A64" s="35">
        <f>IF('Khách hàng'!A64="","",'Khách hàng'!A64)</f>
        <v/>
      </c>
      <c r="B64" s="35">
        <f>IF($A64="","",'Khách hàng'!B64)</f>
        <v/>
      </c>
      <c r="C64" s="41">
        <f>IF($A64="","",COUNTIFS('Báo giá'!$C$4:$C$203,$A64))</f>
        <v/>
      </c>
      <c r="D64" s="41">
        <f>IF($A64="","",SUMIFS('Báo giá'!$H$4:$H$203,'Báo giá'!$C$4:$C$203,$A64))</f>
        <v/>
      </c>
      <c r="E64" s="41">
        <f>IF($A64="","",SUMIFS('Báo giá'!$H$4:$H$203,'Báo giá'!$C$4:$C$203,$A64,'Báo giá'!$J$4:$J$203,"Thắng"))</f>
        <v/>
      </c>
      <c r="F64" s="42">
        <f>IFERROR($E64/$D64,"")</f>
        <v/>
      </c>
      <c r="G64" s="41">
        <f>IF($A64="","",SUMIFS('Hợp đồng'!$H$4:$H$203,'Hợp đồng'!$D$4:$D$203,$A64))</f>
        <v/>
      </c>
      <c r="H64" s="41">
        <f>IF($A64="","",SUMIFS('Công nợ'!$D$4:$D$203,'Công nợ'!$B$4:$B$203,$B64))</f>
        <v/>
      </c>
      <c r="I64" s="41">
        <f>IF($A64="","",SUMIFS('Công nợ'!$E$4:$E$203,'Công nợ'!$B$4:$B$203,$B64))</f>
        <v/>
      </c>
      <c r="J64" s="41">
        <f>IF($A64="","",SUMIFS('Công nợ'!$E$4:$E$203,'Công nợ'!$B$4:$B$203,$B64,'Công nợ'!$G$4:$G$203,"&gt;0"))</f>
        <v/>
      </c>
      <c r="K64" s="41">
        <f>IF($A64="","",'Khách hàng'!F64)</f>
        <v/>
      </c>
      <c r="L64" s="35">
        <f>IF($A64="","",IF($K64=0,"Chưa đặt hạn mức",IF($I64&gt;$K64,"VƯỢT HẠN MỨC","Trong hạn mức")))</f>
        <v/>
      </c>
    </row>
    <row r="65" ht="15" customHeight="1" s="30">
      <c r="A65" s="35">
        <f>IF('Khách hàng'!A65="","",'Khách hàng'!A65)</f>
        <v/>
      </c>
      <c r="B65" s="35">
        <f>IF($A65="","",'Khách hàng'!B65)</f>
        <v/>
      </c>
      <c r="C65" s="41">
        <f>IF($A65="","",COUNTIFS('Báo giá'!$C$4:$C$203,$A65))</f>
        <v/>
      </c>
      <c r="D65" s="41">
        <f>IF($A65="","",SUMIFS('Báo giá'!$H$4:$H$203,'Báo giá'!$C$4:$C$203,$A65))</f>
        <v/>
      </c>
      <c r="E65" s="41">
        <f>IF($A65="","",SUMIFS('Báo giá'!$H$4:$H$203,'Báo giá'!$C$4:$C$203,$A65,'Báo giá'!$J$4:$J$203,"Thắng"))</f>
        <v/>
      </c>
      <c r="F65" s="42">
        <f>IFERROR($E65/$D65,"")</f>
        <v/>
      </c>
      <c r="G65" s="41">
        <f>IF($A65="","",SUMIFS('Hợp đồng'!$H$4:$H$203,'Hợp đồng'!$D$4:$D$203,$A65))</f>
        <v/>
      </c>
      <c r="H65" s="41">
        <f>IF($A65="","",SUMIFS('Công nợ'!$D$4:$D$203,'Công nợ'!$B$4:$B$203,$B65))</f>
        <v/>
      </c>
      <c r="I65" s="41">
        <f>IF($A65="","",SUMIFS('Công nợ'!$E$4:$E$203,'Công nợ'!$B$4:$B$203,$B65))</f>
        <v/>
      </c>
      <c r="J65" s="41">
        <f>IF($A65="","",SUMIFS('Công nợ'!$E$4:$E$203,'Công nợ'!$B$4:$B$203,$B65,'Công nợ'!$G$4:$G$203,"&gt;0"))</f>
        <v/>
      </c>
      <c r="K65" s="41">
        <f>IF($A65="","",'Khách hàng'!F65)</f>
        <v/>
      </c>
      <c r="L65" s="35">
        <f>IF($A65="","",IF($K65=0,"Chưa đặt hạn mức",IF($I65&gt;$K65,"VƯỢT HẠN MỨC","Trong hạn mức")))</f>
        <v/>
      </c>
    </row>
    <row r="66" ht="15" customHeight="1" s="30">
      <c r="A66" s="35">
        <f>IF('Khách hàng'!A66="","",'Khách hàng'!A66)</f>
        <v/>
      </c>
      <c r="B66" s="35">
        <f>IF($A66="","",'Khách hàng'!B66)</f>
        <v/>
      </c>
      <c r="C66" s="41">
        <f>IF($A66="","",COUNTIFS('Báo giá'!$C$4:$C$203,$A66))</f>
        <v/>
      </c>
      <c r="D66" s="41">
        <f>IF($A66="","",SUMIFS('Báo giá'!$H$4:$H$203,'Báo giá'!$C$4:$C$203,$A66))</f>
        <v/>
      </c>
      <c r="E66" s="41">
        <f>IF($A66="","",SUMIFS('Báo giá'!$H$4:$H$203,'Báo giá'!$C$4:$C$203,$A66,'Báo giá'!$J$4:$J$203,"Thắng"))</f>
        <v/>
      </c>
      <c r="F66" s="42">
        <f>IFERROR($E66/$D66,"")</f>
        <v/>
      </c>
      <c r="G66" s="41">
        <f>IF($A66="","",SUMIFS('Hợp đồng'!$H$4:$H$203,'Hợp đồng'!$D$4:$D$203,$A66))</f>
        <v/>
      </c>
      <c r="H66" s="41">
        <f>IF($A66="","",SUMIFS('Công nợ'!$D$4:$D$203,'Công nợ'!$B$4:$B$203,$B66))</f>
        <v/>
      </c>
      <c r="I66" s="41">
        <f>IF($A66="","",SUMIFS('Công nợ'!$E$4:$E$203,'Công nợ'!$B$4:$B$203,$B66))</f>
        <v/>
      </c>
      <c r="J66" s="41">
        <f>IF($A66="","",SUMIFS('Công nợ'!$E$4:$E$203,'Công nợ'!$B$4:$B$203,$B66,'Công nợ'!$G$4:$G$203,"&gt;0"))</f>
        <v/>
      </c>
      <c r="K66" s="41">
        <f>IF($A66="","",'Khách hàng'!F66)</f>
        <v/>
      </c>
      <c r="L66" s="35">
        <f>IF($A66="","",IF($K66=0,"Chưa đặt hạn mức",IF($I66&gt;$K66,"VƯỢT HẠN MỨC","Trong hạn mức")))</f>
        <v/>
      </c>
    </row>
    <row r="67" ht="15" customHeight="1" s="30">
      <c r="A67" s="35">
        <f>IF('Khách hàng'!A67="","",'Khách hàng'!A67)</f>
        <v/>
      </c>
      <c r="B67" s="35">
        <f>IF($A67="","",'Khách hàng'!B67)</f>
        <v/>
      </c>
      <c r="C67" s="41">
        <f>IF($A67="","",COUNTIFS('Báo giá'!$C$4:$C$203,$A67))</f>
        <v/>
      </c>
      <c r="D67" s="41">
        <f>IF($A67="","",SUMIFS('Báo giá'!$H$4:$H$203,'Báo giá'!$C$4:$C$203,$A67))</f>
        <v/>
      </c>
      <c r="E67" s="41">
        <f>IF($A67="","",SUMIFS('Báo giá'!$H$4:$H$203,'Báo giá'!$C$4:$C$203,$A67,'Báo giá'!$J$4:$J$203,"Thắng"))</f>
        <v/>
      </c>
      <c r="F67" s="42">
        <f>IFERROR($E67/$D67,"")</f>
        <v/>
      </c>
      <c r="G67" s="41">
        <f>IF($A67="","",SUMIFS('Hợp đồng'!$H$4:$H$203,'Hợp đồng'!$D$4:$D$203,$A67))</f>
        <v/>
      </c>
      <c r="H67" s="41">
        <f>IF($A67="","",SUMIFS('Công nợ'!$D$4:$D$203,'Công nợ'!$B$4:$B$203,$B67))</f>
        <v/>
      </c>
      <c r="I67" s="41">
        <f>IF($A67="","",SUMIFS('Công nợ'!$E$4:$E$203,'Công nợ'!$B$4:$B$203,$B67))</f>
        <v/>
      </c>
      <c r="J67" s="41">
        <f>IF($A67="","",SUMIFS('Công nợ'!$E$4:$E$203,'Công nợ'!$B$4:$B$203,$B67,'Công nợ'!$G$4:$G$203,"&gt;0"))</f>
        <v/>
      </c>
      <c r="K67" s="41">
        <f>IF($A67="","",'Khách hàng'!F67)</f>
        <v/>
      </c>
      <c r="L67" s="35">
        <f>IF($A67="","",IF($K67=0,"Chưa đặt hạn mức",IF($I67&gt;$K67,"VƯỢT HẠN MỨC","Trong hạn mức")))</f>
        <v/>
      </c>
    </row>
    <row r="68" ht="15" customHeight="1" s="30">
      <c r="A68" s="35">
        <f>IF('Khách hàng'!A68="","",'Khách hàng'!A68)</f>
        <v/>
      </c>
      <c r="B68" s="35">
        <f>IF($A68="","",'Khách hàng'!B68)</f>
        <v/>
      </c>
      <c r="C68" s="41">
        <f>IF($A68="","",COUNTIFS('Báo giá'!$C$4:$C$203,$A68))</f>
        <v/>
      </c>
      <c r="D68" s="41">
        <f>IF($A68="","",SUMIFS('Báo giá'!$H$4:$H$203,'Báo giá'!$C$4:$C$203,$A68))</f>
        <v/>
      </c>
      <c r="E68" s="41">
        <f>IF($A68="","",SUMIFS('Báo giá'!$H$4:$H$203,'Báo giá'!$C$4:$C$203,$A68,'Báo giá'!$J$4:$J$203,"Thắng"))</f>
        <v/>
      </c>
      <c r="F68" s="42">
        <f>IFERROR($E68/$D68,"")</f>
        <v/>
      </c>
      <c r="G68" s="41">
        <f>IF($A68="","",SUMIFS('Hợp đồng'!$H$4:$H$203,'Hợp đồng'!$D$4:$D$203,$A68))</f>
        <v/>
      </c>
      <c r="H68" s="41">
        <f>IF($A68="","",SUMIFS('Công nợ'!$D$4:$D$203,'Công nợ'!$B$4:$B$203,$B68))</f>
        <v/>
      </c>
      <c r="I68" s="41">
        <f>IF($A68="","",SUMIFS('Công nợ'!$E$4:$E$203,'Công nợ'!$B$4:$B$203,$B68))</f>
        <v/>
      </c>
      <c r="J68" s="41">
        <f>IF($A68="","",SUMIFS('Công nợ'!$E$4:$E$203,'Công nợ'!$B$4:$B$203,$B68,'Công nợ'!$G$4:$G$203,"&gt;0"))</f>
        <v/>
      </c>
      <c r="K68" s="41">
        <f>IF($A68="","",'Khách hàng'!F68)</f>
        <v/>
      </c>
      <c r="L68" s="35">
        <f>IF($A68="","",IF($K68=0,"Chưa đặt hạn mức",IF($I68&gt;$K68,"VƯỢT HẠN MỨC","Trong hạn mức")))</f>
        <v/>
      </c>
    </row>
    <row r="69" ht="15" customHeight="1" s="30">
      <c r="A69" s="35">
        <f>IF('Khách hàng'!A69="","",'Khách hàng'!A69)</f>
        <v/>
      </c>
      <c r="B69" s="35">
        <f>IF($A69="","",'Khách hàng'!B69)</f>
        <v/>
      </c>
      <c r="C69" s="41">
        <f>IF($A69="","",COUNTIFS('Báo giá'!$C$4:$C$203,$A69))</f>
        <v/>
      </c>
      <c r="D69" s="41">
        <f>IF($A69="","",SUMIFS('Báo giá'!$H$4:$H$203,'Báo giá'!$C$4:$C$203,$A69))</f>
        <v/>
      </c>
      <c r="E69" s="41">
        <f>IF($A69="","",SUMIFS('Báo giá'!$H$4:$H$203,'Báo giá'!$C$4:$C$203,$A69,'Báo giá'!$J$4:$J$203,"Thắng"))</f>
        <v/>
      </c>
      <c r="F69" s="42">
        <f>IFERROR($E69/$D69,"")</f>
        <v/>
      </c>
      <c r="G69" s="41">
        <f>IF($A69="","",SUMIFS('Hợp đồng'!$H$4:$H$203,'Hợp đồng'!$D$4:$D$203,$A69))</f>
        <v/>
      </c>
      <c r="H69" s="41">
        <f>IF($A69="","",SUMIFS('Công nợ'!$D$4:$D$203,'Công nợ'!$B$4:$B$203,$B69))</f>
        <v/>
      </c>
      <c r="I69" s="41">
        <f>IF($A69="","",SUMIFS('Công nợ'!$E$4:$E$203,'Công nợ'!$B$4:$B$203,$B69))</f>
        <v/>
      </c>
      <c r="J69" s="41">
        <f>IF($A69="","",SUMIFS('Công nợ'!$E$4:$E$203,'Công nợ'!$B$4:$B$203,$B69,'Công nợ'!$G$4:$G$203,"&gt;0"))</f>
        <v/>
      </c>
      <c r="K69" s="41">
        <f>IF($A69="","",'Khách hàng'!F69)</f>
        <v/>
      </c>
      <c r="L69" s="35">
        <f>IF($A69="","",IF($K69=0,"Chưa đặt hạn mức",IF($I69&gt;$K69,"VƯỢT HẠN MỨC","Trong hạn mức")))</f>
        <v/>
      </c>
    </row>
    <row r="70" ht="15" customHeight="1" s="30">
      <c r="A70" s="35">
        <f>IF('Khách hàng'!A70="","",'Khách hàng'!A70)</f>
        <v/>
      </c>
      <c r="B70" s="35">
        <f>IF($A70="","",'Khách hàng'!B70)</f>
        <v/>
      </c>
      <c r="C70" s="41">
        <f>IF($A70="","",COUNTIFS('Báo giá'!$C$4:$C$203,$A70))</f>
        <v/>
      </c>
      <c r="D70" s="41">
        <f>IF($A70="","",SUMIFS('Báo giá'!$H$4:$H$203,'Báo giá'!$C$4:$C$203,$A70))</f>
        <v/>
      </c>
      <c r="E70" s="41">
        <f>IF($A70="","",SUMIFS('Báo giá'!$H$4:$H$203,'Báo giá'!$C$4:$C$203,$A70,'Báo giá'!$J$4:$J$203,"Thắng"))</f>
        <v/>
      </c>
      <c r="F70" s="42">
        <f>IFERROR($E70/$D70,"")</f>
        <v/>
      </c>
      <c r="G70" s="41">
        <f>IF($A70="","",SUMIFS('Hợp đồng'!$H$4:$H$203,'Hợp đồng'!$D$4:$D$203,$A70))</f>
        <v/>
      </c>
      <c r="H70" s="41">
        <f>IF($A70="","",SUMIFS('Công nợ'!$D$4:$D$203,'Công nợ'!$B$4:$B$203,$B70))</f>
        <v/>
      </c>
      <c r="I70" s="41">
        <f>IF($A70="","",SUMIFS('Công nợ'!$E$4:$E$203,'Công nợ'!$B$4:$B$203,$B70))</f>
        <v/>
      </c>
      <c r="J70" s="41">
        <f>IF($A70="","",SUMIFS('Công nợ'!$E$4:$E$203,'Công nợ'!$B$4:$B$203,$B70,'Công nợ'!$G$4:$G$203,"&gt;0"))</f>
        <v/>
      </c>
      <c r="K70" s="41">
        <f>IF($A70="","",'Khách hàng'!F70)</f>
        <v/>
      </c>
      <c r="L70" s="35">
        <f>IF($A70="","",IF($K70=0,"Chưa đặt hạn mức",IF($I70&gt;$K70,"VƯỢT HẠN MỨC","Trong hạn mức")))</f>
        <v/>
      </c>
    </row>
    <row r="71" ht="15" customHeight="1" s="30">
      <c r="A71" s="35">
        <f>IF('Khách hàng'!A71="","",'Khách hàng'!A71)</f>
        <v/>
      </c>
      <c r="B71" s="35">
        <f>IF($A71="","",'Khách hàng'!B71)</f>
        <v/>
      </c>
      <c r="C71" s="41">
        <f>IF($A71="","",COUNTIFS('Báo giá'!$C$4:$C$203,$A71))</f>
        <v/>
      </c>
      <c r="D71" s="41">
        <f>IF($A71="","",SUMIFS('Báo giá'!$H$4:$H$203,'Báo giá'!$C$4:$C$203,$A71))</f>
        <v/>
      </c>
      <c r="E71" s="41">
        <f>IF($A71="","",SUMIFS('Báo giá'!$H$4:$H$203,'Báo giá'!$C$4:$C$203,$A71,'Báo giá'!$J$4:$J$203,"Thắng"))</f>
        <v/>
      </c>
      <c r="F71" s="42">
        <f>IFERROR($E71/$D71,"")</f>
        <v/>
      </c>
      <c r="G71" s="41">
        <f>IF($A71="","",SUMIFS('Hợp đồng'!$H$4:$H$203,'Hợp đồng'!$D$4:$D$203,$A71))</f>
        <v/>
      </c>
      <c r="H71" s="41">
        <f>IF($A71="","",SUMIFS('Công nợ'!$D$4:$D$203,'Công nợ'!$B$4:$B$203,$B71))</f>
        <v/>
      </c>
      <c r="I71" s="41">
        <f>IF($A71="","",SUMIFS('Công nợ'!$E$4:$E$203,'Công nợ'!$B$4:$B$203,$B71))</f>
        <v/>
      </c>
      <c r="J71" s="41">
        <f>IF($A71="","",SUMIFS('Công nợ'!$E$4:$E$203,'Công nợ'!$B$4:$B$203,$B71,'Công nợ'!$G$4:$G$203,"&gt;0"))</f>
        <v/>
      </c>
      <c r="K71" s="41">
        <f>IF($A71="","",'Khách hàng'!F71)</f>
        <v/>
      </c>
      <c r="L71" s="35">
        <f>IF($A71="","",IF($K71=0,"Chưa đặt hạn mức",IF($I71&gt;$K71,"VƯỢT HẠN MỨC","Trong hạn mức")))</f>
        <v/>
      </c>
    </row>
    <row r="72" ht="15" customHeight="1" s="30">
      <c r="A72" s="35">
        <f>IF('Khách hàng'!A72="","",'Khách hàng'!A72)</f>
        <v/>
      </c>
      <c r="B72" s="35">
        <f>IF($A72="","",'Khách hàng'!B72)</f>
        <v/>
      </c>
      <c r="C72" s="41">
        <f>IF($A72="","",COUNTIFS('Báo giá'!$C$4:$C$203,$A72))</f>
        <v/>
      </c>
      <c r="D72" s="41">
        <f>IF($A72="","",SUMIFS('Báo giá'!$H$4:$H$203,'Báo giá'!$C$4:$C$203,$A72))</f>
        <v/>
      </c>
      <c r="E72" s="41">
        <f>IF($A72="","",SUMIFS('Báo giá'!$H$4:$H$203,'Báo giá'!$C$4:$C$203,$A72,'Báo giá'!$J$4:$J$203,"Thắng"))</f>
        <v/>
      </c>
      <c r="F72" s="42">
        <f>IFERROR($E72/$D72,"")</f>
        <v/>
      </c>
      <c r="G72" s="41">
        <f>IF($A72="","",SUMIFS('Hợp đồng'!$H$4:$H$203,'Hợp đồng'!$D$4:$D$203,$A72))</f>
        <v/>
      </c>
      <c r="H72" s="41">
        <f>IF($A72="","",SUMIFS('Công nợ'!$D$4:$D$203,'Công nợ'!$B$4:$B$203,$B72))</f>
        <v/>
      </c>
      <c r="I72" s="41">
        <f>IF($A72="","",SUMIFS('Công nợ'!$E$4:$E$203,'Công nợ'!$B$4:$B$203,$B72))</f>
        <v/>
      </c>
      <c r="J72" s="41">
        <f>IF($A72="","",SUMIFS('Công nợ'!$E$4:$E$203,'Công nợ'!$B$4:$B$203,$B72,'Công nợ'!$G$4:$G$203,"&gt;0"))</f>
        <v/>
      </c>
      <c r="K72" s="41">
        <f>IF($A72="","",'Khách hàng'!F72)</f>
        <v/>
      </c>
      <c r="L72" s="35">
        <f>IF($A72="","",IF($K72=0,"Chưa đặt hạn mức",IF($I72&gt;$K72,"VƯỢT HẠN MỨC","Trong hạn mức")))</f>
        <v/>
      </c>
    </row>
    <row r="73" ht="15" customHeight="1" s="30">
      <c r="A73" s="35">
        <f>IF('Khách hàng'!A73="","",'Khách hàng'!A73)</f>
        <v/>
      </c>
      <c r="B73" s="35">
        <f>IF($A73="","",'Khách hàng'!B73)</f>
        <v/>
      </c>
      <c r="C73" s="41">
        <f>IF($A73="","",COUNTIFS('Báo giá'!$C$4:$C$203,$A73))</f>
        <v/>
      </c>
      <c r="D73" s="41">
        <f>IF($A73="","",SUMIFS('Báo giá'!$H$4:$H$203,'Báo giá'!$C$4:$C$203,$A73))</f>
        <v/>
      </c>
      <c r="E73" s="41">
        <f>IF($A73="","",SUMIFS('Báo giá'!$H$4:$H$203,'Báo giá'!$C$4:$C$203,$A73,'Báo giá'!$J$4:$J$203,"Thắng"))</f>
        <v/>
      </c>
      <c r="F73" s="42">
        <f>IFERROR($E73/$D73,"")</f>
        <v/>
      </c>
      <c r="G73" s="41">
        <f>IF($A73="","",SUMIFS('Hợp đồng'!$H$4:$H$203,'Hợp đồng'!$D$4:$D$203,$A73))</f>
        <v/>
      </c>
      <c r="H73" s="41">
        <f>IF($A73="","",SUMIFS('Công nợ'!$D$4:$D$203,'Công nợ'!$B$4:$B$203,$B73))</f>
        <v/>
      </c>
      <c r="I73" s="41">
        <f>IF($A73="","",SUMIFS('Công nợ'!$E$4:$E$203,'Công nợ'!$B$4:$B$203,$B73))</f>
        <v/>
      </c>
      <c r="J73" s="41">
        <f>IF($A73="","",SUMIFS('Công nợ'!$E$4:$E$203,'Công nợ'!$B$4:$B$203,$B73,'Công nợ'!$G$4:$G$203,"&gt;0"))</f>
        <v/>
      </c>
      <c r="K73" s="41">
        <f>IF($A73="","",'Khách hàng'!F73)</f>
        <v/>
      </c>
      <c r="L73" s="35">
        <f>IF($A73="","",IF($K73=0,"Chưa đặt hạn mức",IF($I73&gt;$K73,"VƯỢT HẠN MỨC","Trong hạn mức")))</f>
        <v/>
      </c>
    </row>
    <row r="74" ht="15" customHeight="1" s="30">
      <c r="A74" s="35">
        <f>IF('Khách hàng'!A74="","",'Khách hàng'!A74)</f>
        <v/>
      </c>
      <c r="B74" s="35">
        <f>IF($A74="","",'Khách hàng'!B74)</f>
        <v/>
      </c>
      <c r="C74" s="41">
        <f>IF($A74="","",COUNTIFS('Báo giá'!$C$4:$C$203,$A74))</f>
        <v/>
      </c>
      <c r="D74" s="41">
        <f>IF($A74="","",SUMIFS('Báo giá'!$H$4:$H$203,'Báo giá'!$C$4:$C$203,$A74))</f>
        <v/>
      </c>
      <c r="E74" s="41">
        <f>IF($A74="","",SUMIFS('Báo giá'!$H$4:$H$203,'Báo giá'!$C$4:$C$203,$A74,'Báo giá'!$J$4:$J$203,"Thắng"))</f>
        <v/>
      </c>
      <c r="F74" s="42">
        <f>IFERROR($E74/$D74,"")</f>
        <v/>
      </c>
      <c r="G74" s="41">
        <f>IF($A74="","",SUMIFS('Hợp đồng'!$H$4:$H$203,'Hợp đồng'!$D$4:$D$203,$A74))</f>
        <v/>
      </c>
      <c r="H74" s="41">
        <f>IF($A74="","",SUMIFS('Công nợ'!$D$4:$D$203,'Công nợ'!$B$4:$B$203,$B74))</f>
        <v/>
      </c>
      <c r="I74" s="41">
        <f>IF($A74="","",SUMIFS('Công nợ'!$E$4:$E$203,'Công nợ'!$B$4:$B$203,$B74))</f>
        <v/>
      </c>
      <c r="J74" s="41">
        <f>IF($A74="","",SUMIFS('Công nợ'!$E$4:$E$203,'Công nợ'!$B$4:$B$203,$B74,'Công nợ'!$G$4:$G$203,"&gt;0"))</f>
        <v/>
      </c>
      <c r="K74" s="41">
        <f>IF($A74="","",'Khách hàng'!F74)</f>
        <v/>
      </c>
      <c r="L74" s="35">
        <f>IF($A74="","",IF($K74=0,"Chưa đặt hạn mức",IF($I74&gt;$K74,"VƯỢT HẠN MỨC","Trong hạn mức")))</f>
        <v/>
      </c>
    </row>
    <row r="75" ht="15" customHeight="1" s="30">
      <c r="A75" s="35">
        <f>IF('Khách hàng'!A75="","",'Khách hàng'!A75)</f>
        <v/>
      </c>
      <c r="B75" s="35">
        <f>IF($A75="","",'Khách hàng'!B75)</f>
        <v/>
      </c>
      <c r="C75" s="41">
        <f>IF($A75="","",COUNTIFS('Báo giá'!$C$4:$C$203,$A75))</f>
        <v/>
      </c>
      <c r="D75" s="41">
        <f>IF($A75="","",SUMIFS('Báo giá'!$H$4:$H$203,'Báo giá'!$C$4:$C$203,$A75))</f>
        <v/>
      </c>
      <c r="E75" s="41">
        <f>IF($A75="","",SUMIFS('Báo giá'!$H$4:$H$203,'Báo giá'!$C$4:$C$203,$A75,'Báo giá'!$J$4:$J$203,"Thắng"))</f>
        <v/>
      </c>
      <c r="F75" s="42">
        <f>IFERROR($E75/$D75,"")</f>
        <v/>
      </c>
      <c r="G75" s="41">
        <f>IF($A75="","",SUMIFS('Hợp đồng'!$H$4:$H$203,'Hợp đồng'!$D$4:$D$203,$A75))</f>
        <v/>
      </c>
      <c r="H75" s="41">
        <f>IF($A75="","",SUMIFS('Công nợ'!$D$4:$D$203,'Công nợ'!$B$4:$B$203,$B75))</f>
        <v/>
      </c>
      <c r="I75" s="41">
        <f>IF($A75="","",SUMIFS('Công nợ'!$E$4:$E$203,'Công nợ'!$B$4:$B$203,$B75))</f>
        <v/>
      </c>
      <c r="J75" s="41">
        <f>IF($A75="","",SUMIFS('Công nợ'!$E$4:$E$203,'Công nợ'!$B$4:$B$203,$B75,'Công nợ'!$G$4:$G$203,"&gt;0"))</f>
        <v/>
      </c>
      <c r="K75" s="41">
        <f>IF($A75="","",'Khách hàng'!F75)</f>
        <v/>
      </c>
      <c r="L75" s="35">
        <f>IF($A75="","",IF($K75=0,"Chưa đặt hạn mức",IF($I75&gt;$K75,"VƯỢT HẠN MỨC","Trong hạn mức")))</f>
        <v/>
      </c>
    </row>
    <row r="76" ht="15" customHeight="1" s="30">
      <c r="A76" s="35">
        <f>IF('Khách hàng'!A76="","",'Khách hàng'!A76)</f>
        <v/>
      </c>
      <c r="B76" s="35">
        <f>IF($A76="","",'Khách hàng'!B76)</f>
        <v/>
      </c>
      <c r="C76" s="41">
        <f>IF($A76="","",COUNTIFS('Báo giá'!$C$4:$C$203,$A76))</f>
        <v/>
      </c>
      <c r="D76" s="41">
        <f>IF($A76="","",SUMIFS('Báo giá'!$H$4:$H$203,'Báo giá'!$C$4:$C$203,$A76))</f>
        <v/>
      </c>
      <c r="E76" s="41">
        <f>IF($A76="","",SUMIFS('Báo giá'!$H$4:$H$203,'Báo giá'!$C$4:$C$203,$A76,'Báo giá'!$J$4:$J$203,"Thắng"))</f>
        <v/>
      </c>
      <c r="F76" s="42">
        <f>IFERROR($E76/$D76,"")</f>
        <v/>
      </c>
      <c r="G76" s="41">
        <f>IF($A76="","",SUMIFS('Hợp đồng'!$H$4:$H$203,'Hợp đồng'!$D$4:$D$203,$A76))</f>
        <v/>
      </c>
      <c r="H76" s="41">
        <f>IF($A76="","",SUMIFS('Công nợ'!$D$4:$D$203,'Công nợ'!$B$4:$B$203,$B76))</f>
        <v/>
      </c>
      <c r="I76" s="41">
        <f>IF($A76="","",SUMIFS('Công nợ'!$E$4:$E$203,'Công nợ'!$B$4:$B$203,$B76))</f>
        <v/>
      </c>
      <c r="J76" s="41">
        <f>IF($A76="","",SUMIFS('Công nợ'!$E$4:$E$203,'Công nợ'!$B$4:$B$203,$B76,'Công nợ'!$G$4:$G$203,"&gt;0"))</f>
        <v/>
      </c>
      <c r="K76" s="41">
        <f>IF($A76="","",'Khách hàng'!F76)</f>
        <v/>
      </c>
      <c r="L76" s="35">
        <f>IF($A76="","",IF($K76=0,"Chưa đặt hạn mức",IF($I76&gt;$K76,"VƯỢT HẠN MỨC","Trong hạn mức")))</f>
        <v/>
      </c>
    </row>
    <row r="77" ht="15" customHeight="1" s="30">
      <c r="A77" s="35">
        <f>IF('Khách hàng'!A77="","",'Khách hàng'!A77)</f>
        <v/>
      </c>
      <c r="B77" s="35">
        <f>IF($A77="","",'Khách hàng'!B77)</f>
        <v/>
      </c>
      <c r="C77" s="41">
        <f>IF($A77="","",COUNTIFS('Báo giá'!$C$4:$C$203,$A77))</f>
        <v/>
      </c>
      <c r="D77" s="41">
        <f>IF($A77="","",SUMIFS('Báo giá'!$H$4:$H$203,'Báo giá'!$C$4:$C$203,$A77))</f>
        <v/>
      </c>
      <c r="E77" s="41">
        <f>IF($A77="","",SUMIFS('Báo giá'!$H$4:$H$203,'Báo giá'!$C$4:$C$203,$A77,'Báo giá'!$J$4:$J$203,"Thắng"))</f>
        <v/>
      </c>
      <c r="F77" s="42">
        <f>IFERROR($E77/$D77,"")</f>
        <v/>
      </c>
      <c r="G77" s="41">
        <f>IF($A77="","",SUMIFS('Hợp đồng'!$H$4:$H$203,'Hợp đồng'!$D$4:$D$203,$A77))</f>
        <v/>
      </c>
      <c r="H77" s="41">
        <f>IF($A77="","",SUMIFS('Công nợ'!$D$4:$D$203,'Công nợ'!$B$4:$B$203,$B77))</f>
        <v/>
      </c>
      <c r="I77" s="41">
        <f>IF($A77="","",SUMIFS('Công nợ'!$E$4:$E$203,'Công nợ'!$B$4:$B$203,$B77))</f>
        <v/>
      </c>
      <c r="J77" s="41">
        <f>IF($A77="","",SUMIFS('Công nợ'!$E$4:$E$203,'Công nợ'!$B$4:$B$203,$B77,'Công nợ'!$G$4:$G$203,"&gt;0"))</f>
        <v/>
      </c>
      <c r="K77" s="41">
        <f>IF($A77="","",'Khách hàng'!F77)</f>
        <v/>
      </c>
      <c r="L77" s="35">
        <f>IF($A77="","",IF($K77=0,"Chưa đặt hạn mức",IF($I77&gt;$K77,"VƯỢT HẠN MỨC","Trong hạn mức")))</f>
        <v/>
      </c>
    </row>
    <row r="78" ht="15" customHeight="1" s="30">
      <c r="A78" s="35">
        <f>IF('Khách hàng'!A78="","",'Khách hàng'!A78)</f>
        <v/>
      </c>
      <c r="B78" s="35">
        <f>IF($A78="","",'Khách hàng'!B78)</f>
        <v/>
      </c>
      <c r="C78" s="41">
        <f>IF($A78="","",COUNTIFS('Báo giá'!$C$4:$C$203,$A78))</f>
        <v/>
      </c>
      <c r="D78" s="41">
        <f>IF($A78="","",SUMIFS('Báo giá'!$H$4:$H$203,'Báo giá'!$C$4:$C$203,$A78))</f>
        <v/>
      </c>
      <c r="E78" s="41">
        <f>IF($A78="","",SUMIFS('Báo giá'!$H$4:$H$203,'Báo giá'!$C$4:$C$203,$A78,'Báo giá'!$J$4:$J$203,"Thắng"))</f>
        <v/>
      </c>
      <c r="F78" s="42">
        <f>IFERROR($E78/$D78,"")</f>
        <v/>
      </c>
      <c r="G78" s="41">
        <f>IF($A78="","",SUMIFS('Hợp đồng'!$H$4:$H$203,'Hợp đồng'!$D$4:$D$203,$A78))</f>
        <v/>
      </c>
      <c r="H78" s="41">
        <f>IF($A78="","",SUMIFS('Công nợ'!$D$4:$D$203,'Công nợ'!$B$4:$B$203,$B78))</f>
        <v/>
      </c>
      <c r="I78" s="41">
        <f>IF($A78="","",SUMIFS('Công nợ'!$E$4:$E$203,'Công nợ'!$B$4:$B$203,$B78))</f>
        <v/>
      </c>
      <c r="J78" s="41">
        <f>IF($A78="","",SUMIFS('Công nợ'!$E$4:$E$203,'Công nợ'!$B$4:$B$203,$B78,'Công nợ'!$G$4:$G$203,"&gt;0"))</f>
        <v/>
      </c>
      <c r="K78" s="41">
        <f>IF($A78="","",'Khách hàng'!F78)</f>
        <v/>
      </c>
      <c r="L78" s="35">
        <f>IF($A78="","",IF($K78=0,"Chưa đặt hạn mức",IF($I78&gt;$K78,"VƯỢT HẠN MỨC","Trong hạn mức")))</f>
        <v/>
      </c>
    </row>
    <row r="79" ht="15" customHeight="1" s="30">
      <c r="A79" s="35">
        <f>IF('Khách hàng'!A79="","",'Khách hàng'!A79)</f>
        <v/>
      </c>
      <c r="B79" s="35">
        <f>IF($A79="","",'Khách hàng'!B79)</f>
        <v/>
      </c>
      <c r="C79" s="41">
        <f>IF($A79="","",COUNTIFS('Báo giá'!$C$4:$C$203,$A79))</f>
        <v/>
      </c>
      <c r="D79" s="41">
        <f>IF($A79="","",SUMIFS('Báo giá'!$H$4:$H$203,'Báo giá'!$C$4:$C$203,$A79))</f>
        <v/>
      </c>
      <c r="E79" s="41">
        <f>IF($A79="","",SUMIFS('Báo giá'!$H$4:$H$203,'Báo giá'!$C$4:$C$203,$A79,'Báo giá'!$J$4:$J$203,"Thắng"))</f>
        <v/>
      </c>
      <c r="F79" s="42">
        <f>IFERROR($E79/$D79,"")</f>
        <v/>
      </c>
      <c r="G79" s="41">
        <f>IF($A79="","",SUMIFS('Hợp đồng'!$H$4:$H$203,'Hợp đồng'!$D$4:$D$203,$A79))</f>
        <v/>
      </c>
      <c r="H79" s="41">
        <f>IF($A79="","",SUMIFS('Công nợ'!$D$4:$D$203,'Công nợ'!$B$4:$B$203,$B79))</f>
        <v/>
      </c>
      <c r="I79" s="41">
        <f>IF($A79="","",SUMIFS('Công nợ'!$E$4:$E$203,'Công nợ'!$B$4:$B$203,$B79))</f>
        <v/>
      </c>
      <c r="J79" s="41">
        <f>IF($A79="","",SUMIFS('Công nợ'!$E$4:$E$203,'Công nợ'!$B$4:$B$203,$B79,'Công nợ'!$G$4:$G$203,"&gt;0"))</f>
        <v/>
      </c>
      <c r="K79" s="41">
        <f>IF($A79="","",'Khách hàng'!F79)</f>
        <v/>
      </c>
      <c r="L79" s="35">
        <f>IF($A79="","",IF($K79=0,"Chưa đặt hạn mức",IF($I79&gt;$K79,"VƯỢT HẠN MỨC","Trong hạn mức")))</f>
        <v/>
      </c>
    </row>
    <row r="80" ht="15" customHeight="1" s="30">
      <c r="A80" s="35">
        <f>IF('Khách hàng'!A80="","",'Khách hàng'!A80)</f>
        <v/>
      </c>
      <c r="B80" s="35">
        <f>IF($A80="","",'Khách hàng'!B80)</f>
        <v/>
      </c>
      <c r="C80" s="41">
        <f>IF($A80="","",COUNTIFS('Báo giá'!$C$4:$C$203,$A80))</f>
        <v/>
      </c>
      <c r="D80" s="41">
        <f>IF($A80="","",SUMIFS('Báo giá'!$H$4:$H$203,'Báo giá'!$C$4:$C$203,$A80))</f>
        <v/>
      </c>
      <c r="E80" s="41">
        <f>IF($A80="","",SUMIFS('Báo giá'!$H$4:$H$203,'Báo giá'!$C$4:$C$203,$A80,'Báo giá'!$J$4:$J$203,"Thắng"))</f>
        <v/>
      </c>
      <c r="F80" s="42">
        <f>IFERROR($E80/$D80,"")</f>
        <v/>
      </c>
      <c r="G80" s="41">
        <f>IF($A80="","",SUMIFS('Hợp đồng'!$H$4:$H$203,'Hợp đồng'!$D$4:$D$203,$A80))</f>
        <v/>
      </c>
      <c r="H80" s="41">
        <f>IF($A80="","",SUMIFS('Công nợ'!$D$4:$D$203,'Công nợ'!$B$4:$B$203,$B80))</f>
        <v/>
      </c>
      <c r="I80" s="41">
        <f>IF($A80="","",SUMIFS('Công nợ'!$E$4:$E$203,'Công nợ'!$B$4:$B$203,$B80))</f>
        <v/>
      </c>
      <c r="J80" s="41">
        <f>IF($A80="","",SUMIFS('Công nợ'!$E$4:$E$203,'Công nợ'!$B$4:$B$203,$B80,'Công nợ'!$G$4:$G$203,"&gt;0"))</f>
        <v/>
      </c>
      <c r="K80" s="41">
        <f>IF($A80="","",'Khách hàng'!F80)</f>
        <v/>
      </c>
      <c r="L80" s="35">
        <f>IF($A80="","",IF($K80=0,"Chưa đặt hạn mức",IF($I80&gt;$K80,"VƯỢT HẠN MỨC","Trong hạn mức")))</f>
        <v/>
      </c>
    </row>
    <row r="81" ht="15" customHeight="1" s="30">
      <c r="A81" s="35">
        <f>IF('Khách hàng'!A81="","",'Khách hàng'!A81)</f>
        <v/>
      </c>
      <c r="B81" s="35">
        <f>IF($A81="","",'Khách hàng'!B81)</f>
        <v/>
      </c>
      <c r="C81" s="41">
        <f>IF($A81="","",COUNTIFS('Báo giá'!$C$4:$C$203,$A81))</f>
        <v/>
      </c>
      <c r="D81" s="41">
        <f>IF($A81="","",SUMIFS('Báo giá'!$H$4:$H$203,'Báo giá'!$C$4:$C$203,$A81))</f>
        <v/>
      </c>
      <c r="E81" s="41">
        <f>IF($A81="","",SUMIFS('Báo giá'!$H$4:$H$203,'Báo giá'!$C$4:$C$203,$A81,'Báo giá'!$J$4:$J$203,"Thắng"))</f>
        <v/>
      </c>
      <c r="F81" s="42">
        <f>IFERROR($E81/$D81,"")</f>
        <v/>
      </c>
      <c r="G81" s="41">
        <f>IF($A81="","",SUMIFS('Hợp đồng'!$H$4:$H$203,'Hợp đồng'!$D$4:$D$203,$A81))</f>
        <v/>
      </c>
      <c r="H81" s="41">
        <f>IF($A81="","",SUMIFS('Công nợ'!$D$4:$D$203,'Công nợ'!$B$4:$B$203,$B81))</f>
        <v/>
      </c>
      <c r="I81" s="41">
        <f>IF($A81="","",SUMIFS('Công nợ'!$E$4:$E$203,'Công nợ'!$B$4:$B$203,$B81))</f>
        <v/>
      </c>
      <c r="J81" s="41">
        <f>IF($A81="","",SUMIFS('Công nợ'!$E$4:$E$203,'Công nợ'!$B$4:$B$203,$B81,'Công nợ'!$G$4:$G$203,"&gt;0"))</f>
        <v/>
      </c>
      <c r="K81" s="41">
        <f>IF($A81="","",'Khách hàng'!F81)</f>
        <v/>
      </c>
      <c r="L81" s="35">
        <f>IF($A81="","",IF($K81=0,"Chưa đặt hạn mức",IF($I81&gt;$K81,"VƯỢT HẠN MỨC","Trong hạn mức")))</f>
        <v/>
      </c>
    </row>
    <row r="82" ht="15" customHeight="1" s="30">
      <c r="A82" s="35">
        <f>IF('Khách hàng'!A82="","",'Khách hàng'!A82)</f>
        <v/>
      </c>
      <c r="B82" s="35">
        <f>IF($A82="","",'Khách hàng'!B82)</f>
        <v/>
      </c>
      <c r="C82" s="41">
        <f>IF($A82="","",COUNTIFS('Báo giá'!$C$4:$C$203,$A82))</f>
        <v/>
      </c>
      <c r="D82" s="41">
        <f>IF($A82="","",SUMIFS('Báo giá'!$H$4:$H$203,'Báo giá'!$C$4:$C$203,$A82))</f>
        <v/>
      </c>
      <c r="E82" s="41">
        <f>IF($A82="","",SUMIFS('Báo giá'!$H$4:$H$203,'Báo giá'!$C$4:$C$203,$A82,'Báo giá'!$J$4:$J$203,"Thắng"))</f>
        <v/>
      </c>
      <c r="F82" s="42">
        <f>IFERROR($E82/$D82,"")</f>
        <v/>
      </c>
      <c r="G82" s="41">
        <f>IF($A82="","",SUMIFS('Hợp đồng'!$H$4:$H$203,'Hợp đồng'!$D$4:$D$203,$A82))</f>
        <v/>
      </c>
      <c r="H82" s="41">
        <f>IF($A82="","",SUMIFS('Công nợ'!$D$4:$D$203,'Công nợ'!$B$4:$B$203,$B82))</f>
        <v/>
      </c>
      <c r="I82" s="41">
        <f>IF($A82="","",SUMIFS('Công nợ'!$E$4:$E$203,'Công nợ'!$B$4:$B$203,$B82))</f>
        <v/>
      </c>
      <c r="J82" s="41">
        <f>IF($A82="","",SUMIFS('Công nợ'!$E$4:$E$203,'Công nợ'!$B$4:$B$203,$B82,'Công nợ'!$G$4:$G$203,"&gt;0"))</f>
        <v/>
      </c>
      <c r="K82" s="41">
        <f>IF($A82="","",'Khách hàng'!F82)</f>
        <v/>
      </c>
      <c r="L82" s="35">
        <f>IF($A82="","",IF($K82=0,"Chưa đặt hạn mức",IF($I82&gt;$K82,"VƯỢT HẠN MỨC","Trong hạn mức")))</f>
        <v/>
      </c>
    </row>
    <row r="83" ht="15" customHeight="1" s="30">
      <c r="A83" s="35">
        <f>IF('Khách hàng'!A83="","",'Khách hàng'!A83)</f>
        <v/>
      </c>
      <c r="B83" s="35">
        <f>IF($A83="","",'Khách hàng'!B83)</f>
        <v/>
      </c>
      <c r="C83" s="41">
        <f>IF($A83="","",COUNTIFS('Báo giá'!$C$4:$C$203,$A83))</f>
        <v/>
      </c>
      <c r="D83" s="41">
        <f>IF($A83="","",SUMIFS('Báo giá'!$H$4:$H$203,'Báo giá'!$C$4:$C$203,$A83))</f>
        <v/>
      </c>
      <c r="E83" s="41">
        <f>IF($A83="","",SUMIFS('Báo giá'!$H$4:$H$203,'Báo giá'!$C$4:$C$203,$A83,'Báo giá'!$J$4:$J$203,"Thắng"))</f>
        <v/>
      </c>
      <c r="F83" s="42">
        <f>IFERROR($E83/$D83,"")</f>
        <v/>
      </c>
      <c r="G83" s="41">
        <f>IF($A83="","",SUMIFS('Hợp đồng'!$H$4:$H$203,'Hợp đồng'!$D$4:$D$203,$A83))</f>
        <v/>
      </c>
      <c r="H83" s="41">
        <f>IF($A83="","",SUMIFS('Công nợ'!$D$4:$D$203,'Công nợ'!$B$4:$B$203,$B83))</f>
        <v/>
      </c>
      <c r="I83" s="41">
        <f>IF($A83="","",SUMIFS('Công nợ'!$E$4:$E$203,'Công nợ'!$B$4:$B$203,$B83))</f>
        <v/>
      </c>
      <c r="J83" s="41">
        <f>IF($A83="","",SUMIFS('Công nợ'!$E$4:$E$203,'Công nợ'!$B$4:$B$203,$B83,'Công nợ'!$G$4:$G$203,"&gt;0"))</f>
        <v/>
      </c>
      <c r="K83" s="41">
        <f>IF($A83="","",'Khách hàng'!F83)</f>
        <v/>
      </c>
      <c r="L83" s="35">
        <f>IF($A83="","",IF($K83=0,"Chưa đặt hạn mức",IF($I83&gt;$K83,"VƯỢT HẠN MỨC","Trong hạn mức")))</f>
        <v/>
      </c>
    </row>
    <row r="84" ht="15" customHeight="1" s="30">
      <c r="A84" s="35">
        <f>IF('Khách hàng'!A84="","",'Khách hàng'!A84)</f>
        <v/>
      </c>
      <c r="B84" s="35">
        <f>IF($A84="","",'Khách hàng'!B84)</f>
        <v/>
      </c>
      <c r="C84" s="41">
        <f>IF($A84="","",COUNTIFS('Báo giá'!$C$4:$C$203,$A84))</f>
        <v/>
      </c>
      <c r="D84" s="41">
        <f>IF($A84="","",SUMIFS('Báo giá'!$H$4:$H$203,'Báo giá'!$C$4:$C$203,$A84))</f>
        <v/>
      </c>
      <c r="E84" s="41">
        <f>IF($A84="","",SUMIFS('Báo giá'!$H$4:$H$203,'Báo giá'!$C$4:$C$203,$A84,'Báo giá'!$J$4:$J$203,"Thắng"))</f>
        <v/>
      </c>
      <c r="F84" s="42">
        <f>IFERROR($E84/$D84,"")</f>
        <v/>
      </c>
      <c r="G84" s="41">
        <f>IF($A84="","",SUMIFS('Hợp đồng'!$H$4:$H$203,'Hợp đồng'!$D$4:$D$203,$A84))</f>
        <v/>
      </c>
      <c r="H84" s="41">
        <f>IF($A84="","",SUMIFS('Công nợ'!$D$4:$D$203,'Công nợ'!$B$4:$B$203,$B84))</f>
        <v/>
      </c>
      <c r="I84" s="41">
        <f>IF($A84="","",SUMIFS('Công nợ'!$E$4:$E$203,'Công nợ'!$B$4:$B$203,$B84))</f>
        <v/>
      </c>
      <c r="J84" s="41">
        <f>IF($A84="","",SUMIFS('Công nợ'!$E$4:$E$203,'Công nợ'!$B$4:$B$203,$B84,'Công nợ'!$G$4:$G$203,"&gt;0"))</f>
        <v/>
      </c>
      <c r="K84" s="41">
        <f>IF($A84="","",'Khách hàng'!F84)</f>
        <v/>
      </c>
      <c r="L84" s="35">
        <f>IF($A84="","",IF($K84=0,"Chưa đặt hạn mức",IF($I84&gt;$K84,"VƯỢT HẠN MỨC","Trong hạn mức")))</f>
        <v/>
      </c>
    </row>
    <row r="85" ht="15" customHeight="1" s="30">
      <c r="A85" s="35">
        <f>IF('Khách hàng'!A85="","",'Khách hàng'!A85)</f>
        <v/>
      </c>
      <c r="B85" s="35">
        <f>IF($A85="","",'Khách hàng'!B85)</f>
        <v/>
      </c>
      <c r="C85" s="41">
        <f>IF($A85="","",COUNTIFS('Báo giá'!$C$4:$C$203,$A85))</f>
        <v/>
      </c>
      <c r="D85" s="41">
        <f>IF($A85="","",SUMIFS('Báo giá'!$H$4:$H$203,'Báo giá'!$C$4:$C$203,$A85))</f>
        <v/>
      </c>
      <c r="E85" s="41">
        <f>IF($A85="","",SUMIFS('Báo giá'!$H$4:$H$203,'Báo giá'!$C$4:$C$203,$A85,'Báo giá'!$J$4:$J$203,"Thắng"))</f>
        <v/>
      </c>
      <c r="F85" s="42">
        <f>IFERROR($E85/$D85,"")</f>
        <v/>
      </c>
      <c r="G85" s="41">
        <f>IF($A85="","",SUMIFS('Hợp đồng'!$H$4:$H$203,'Hợp đồng'!$D$4:$D$203,$A85))</f>
        <v/>
      </c>
      <c r="H85" s="41">
        <f>IF($A85="","",SUMIFS('Công nợ'!$D$4:$D$203,'Công nợ'!$B$4:$B$203,$B85))</f>
        <v/>
      </c>
      <c r="I85" s="41">
        <f>IF($A85="","",SUMIFS('Công nợ'!$E$4:$E$203,'Công nợ'!$B$4:$B$203,$B85))</f>
        <v/>
      </c>
      <c r="J85" s="41">
        <f>IF($A85="","",SUMIFS('Công nợ'!$E$4:$E$203,'Công nợ'!$B$4:$B$203,$B85,'Công nợ'!$G$4:$G$203,"&gt;0"))</f>
        <v/>
      </c>
      <c r="K85" s="41">
        <f>IF($A85="","",'Khách hàng'!F85)</f>
        <v/>
      </c>
      <c r="L85" s="35">
        <f>IF($A85="","",IF($K85=0,"Chưa đặt hạn mức",IF($I85&gt;$K85,"VƯỢT HẠN MỨC","Trong hạn mức")))</f>
        <v/>
      </c>
    </row>
    <row r="86" ht="15" customHeight="1" s="30">
      <c r="A86" s="35">
        <f>IF('Khách hàng'!A86="","",'Khách hàng'!A86)</f>
        <v/>
      </c>
      <c r="B86" s="35">
        <f>IF($A86="","",'Khách hàng'!B86)</f>
        <v/>
      </c>
      <c r="C86" s="41">
        <f>IF($A86="","",COUNTIFS('Báo giá'!$C$4:$C$203,$A86))</f>
        <v/>
      </c>
      <c r="D86" s="41">
        <f>IF($A86="","",SUMIFS('Báo giá'!$H$4:$H$203,'Báo giá'!$C$4:$C$203,$A86))</f>
        <v/>
      </c>
      <c r="E86" s="41">
        <f>IF($A86="","",SUMIFS('Báo giá'!$H$4:$H$203,'Báo giá'!$C$4:$C$203,$A86,'Báo giá'!$J$4:$J$203,"Thắng"))</f>
        <v/>
      </c>
      <c r="F86" s="42">
        <f>IFERROR($E86/$D86,"")</f>
        <v/>
      </c>
      <c r="G86" s="41">
        <f>IF($A86="","",SUMIFS('Hợp đồng'!$H$4:$H$203,'Hợp đồng'!$D$4:$D$203,$A86))</f>
        <v/>
      </c>
      <c r="H86" s="41">
        <f>IF($A86="","",SUMIFS('Công nợ'!$D$4:$D$203,'Công nợ'!$B$4:$B$203,$B86))</f>
        <v/>
      </c>
      <c r="I86" s="41">
        <f>IF($A86="","",SUMIFS('Công nợ'!$E$4:$E$203,'Công nợ'!$B$4:$B$203,$B86))</f>
        <v/>
      </c>
      <c r="J86" s="41">
        <f>IF($A86="","",SUMIFS('Công nợ'!$E$4:$E$203,'Công nợ'!$B$4:$B$203,$B86,'Công nợ'!$G$4:$G$203,"&gt;0"))</f>
        <v/>
      </c>
      <c r="K86" s="41">
        <f>IF($A86="","",'Khách hàng'!F86)</f>
        <v/>
      </c>
      <c r="L86" s="35">
        <f>IF($A86="","",IF($K86=0,"Chưa đặt hạn mức",IF($I86&gt;$K86,"VƯỢT HẠN MỨC","Trong hạn mức")))</f>
        <v/>
      </c>
    </row>
    <row r="87" ht="15" customHeight="1" s="30">
      <c r="A87" s="35">
        <f>IF('Khách hàng'!A87="","",'Khách hàng'!A87)</f>
        <v/>
      </c>
      <c r="B87" s="35">
        <f>IF($A87="","",'Khách hàng'!B87)</f>
        <v/>
      </c>
      <c r="C87" s="41">
        <f>IF($A87="","",COUNTIFS('Báo giá'!$C$4:$C$203,$A87))</f>
        <v/>
      </c>
      <c r="D87" s="41">
        <f>IF($A87="","",SUMIFS('Báo giá'!$H$4:$H$203,'Báo giá'!$C$4:$C$203,$A87))</f>
        <v/>
      </c>
      <c r="E87" s="41">
        <f>IF($A87="","",SUMIFS('Báo giá'!$H$4:$H$203,'Báo giá'!$C$4:$C$203,$A87,'Báo giá'!$J$4:$J$203,"Thắng"))</f>
        <v/>
      </c>
      <c r="F87" s="42">
        <f>IFERROR($E87/$D87,"")</f>
        <v/>
      </c>
      <c r="G87" s="41">
        <f>IF($A87="","",SUMIFS('Hợp đồng'!$H$4:$H$203,'Hợp đồng'!$D$4:$D$203,$A87))</f>
        <v/>
      </c>
      <c r="H87" s="41">
        <f>IF($A87="","",SUMIFS('Công nợ'!$D$4:$D$203,'Công nợ'!$B$4:$B$203,$B87))</f>
        <v/>
      </c>
      <c r="I87" s="41">
        <f>IF($A87="","",SUMIFS('Công nợ'!$E$4:$E$203,'Công nợ'!$B$4:$B$203,$B87))</f>
        <v/>
      </c>
      <c r="J87" s="41">
        <f>IF($A87="","",SUMIFS('Công nợ'!$E$4:$E$203,'Công nợ'!$B$4:$B$203,$B87,'Công nợ'!$G$4:$G$203,"&gt;0"))</f>
        <v/>
      </c>
      <c r="K87" s="41">
        <f>IF($A87="","",'Khách hàng'!F87)</f>
        <v/>
      </c>
      <c r="L87" s="35">
        <f>IF($A87="","",IF($K87=0,"Chưa đặt hạn mức",IF($I87&gt;$K87,"VƯỢT HẠN MỨC","Trong hạn mức")))</f>
        <v/>
      </c>
    </row>
    <row r="88" ht="15" customHeight="1" s="30">
      <c r="A88" s="35">
        <f>IF('Khách hàng'!A88="","",'Khách hàng'!A88)</f>
        <v/>
      </c>
      <c r="B88" s="35">
        <f>IF($A88="","",'Khách hàng'!B88)</f>
        <v/>
      </c>
      <c r="C88" s="41">
        <f>IF($A88="","",COUNTIFS('Báo giá'!$C$4:$C$203,$A88))</f>
        <v/>
      </c>
      <c r="D88" s="41">
        <f>IF($A88="","",SUMIFS('Báo giá'!$H$4:$H$203,'Báo giá'!$C$4:$C$203,$A88))</f>
        <v/>
      </c>
      <c r="E88" s="41">
        <f>IF($A88="","",SUMIFS('Báo giá'!$H$4:$H$203,'Báo giá'!$C$4:$C$203,$A88,'Báo giá'!$J$4:$J$203,"Thắng"))</f>
        <v/>
      </c>
      <c r="F88" s="42">
        <f>IFERROR($E88/$D88,"")</f>
        <v/>
      </c>
      <c r="G88" s="41">
        <f>IF($A88="","",SUMIFS('Hợp đồng'!$H$4:$H$203,'Hợp đồng'!$D$4:$D$203,$A88))</f>
        <v/>
      </c>
      <c r="H88" s="41">
        <f>IF($A88="","",SUMIFS('Công nợ'!$D$4:$D$203,'Công nợ'!$B$4:$B$203,$B88))</f>
        <v/>
      </c>
      <c r="I88" s="41">
        <f>IF($A88="","",SUMIFS('Công nợ'!$E$4:$E$203,'Công nợ'!$B$4:$B$203,$B88))</f>
        <v/>
      </c>
      <c r="J88" s="41">
        <f>IF($A88="","",SUMIFS('Công nợ'!$E$4:$E$203,'Công nợ'!$B$4:$B$203,$B88,'Công nợ'!$G$4:$G$203,"&gt;0"))</f>
        <v/>
      </c>
      <c r="K88" s="41">
        <f>IF($A88="","",'Khách hàng'!F88)</f>
        <v/>
      </c>
      <c r="L88" s="35">
        <f>IF($A88="","",IF($K88=0,"Chưa đặt hạn mức",IF($I88&gt;$K88,"VƯỢT HẠN MỨC","Trong hạn mức")))</f>
        <v/>
      </c>
    </row>
    <row r="89" ht="15" customHeight="1" s="30">
      <c r="A89" s="35">
        <f>IF('Khách hàng'!A89="","",'Khách hàng'!A89)</f>
        <v/>
      </c>
      <c r="B89" s="35">
        <f>IF($A89="","",'Khách hàng'!B89)</f>
        <v/>
      </c>
      <c r="C89" s="41">
        <f>IF($A89="","",COUNTIFS('Báo giá'!$C$4:$C$203,$A89))</f>
        <v/>
      </c>
      <c r="D89" s="41">
        <f>IF($A89="","",SUMIFS('Báo giá'!$H$4:$H$203,'Báo giá'!$C$4:$C$203,$A89))</f>
        <v/>
      </c>
      <c r="E89" s="41">
        <f>IF($A89="","",SUMIFS('Báo giá'!$H$4:$H$203,'Báo giá'!$C$4:$C$203,$A89,'Báo giá'!$J$4:$J$203,"Thắng"))</f>
        <v/>
      </c>
      <c r="F89" s="42">
        <f>IFERROR($E89/$D89,"")</f>
        <v/>
      </c>
      <c r="G89" s="41">
        <f>IF($A89="","",SUMIFS('Hợp đồng'!$H$4:$H$203,'Hợp đồng'!$D$4:$D$203,$A89))</f>
        <v/>
      </c>
      <c r="H89" s="41">
        <f>IF($A89="","",SUMIFS('Công nợ'!$D$4:$D$203,'Công nợ'!$B$4:$B$203,$B89))</f>
        <v/>
      </c>
      <c r="I89" s="41">
        <f>IF($A89="","",SUMIFS('Công nợ'!$E$4:$E$203,'Công nợ'!$B$4:$B$203,$B89))</f>
        <v/>
      </c>
      <c r="J89" s="41">
        <f>IF($A89="","",SUMIFS('Công nợ'!$E$4:$E$203,'Công nợ'!$B$4:$B$203,$B89,'Công nợ'!$G$4:$G$203,"&gt;0"))</f>
        <v/>
      </c>
      <c r="K89" s="41">
        <f>IF($A89="","",'Khách hàng'!F89)</f>
        <v/>
      </c>
      <c r="L89" s="35">
        <f>IF($A89="","",IF($K89=0,"Chưa đặt hạn mức",IF($I89&gt;$K89,"VƯỢT HẠN MỨC","Trong hạn mức")))</f>
        <v/>
      </c>
    </row>
    <row r="90" ht="15" customHeight="1" s="30">
      <c r="A90" s="35">
        <f>IF('Khách hàng'!A90="","",'Khách hàng'!A90)</f>
        <v/>
      </c>
      <c r="B90" s="35">
        <f>IF($A90="","",'Khách hàng'!B90)</f>
        <v/>
      </c>
      <c r="C90" s="41">
        <f>IF($A90="","",COUNTIFS('Báo giá'!$C$4:$C$203,$A90))</f>
        <v/>
      </c>
      <c r="D90" s="41">
        <f>IF($A90="","",SUMIFS('Báo giá'!$H$4:$H$203,'Báo giá'!$C$4:$C$203,$A90))</f>
        <v/>
      </c>
      <c r="E90" s="41">
        <f>IF($A90="","",SUMIFS('Báo giá'!$H$4:$H$203,'Báo giá'!$C$4:$C$203,$A90,'Báo giá'!$J$4:$J$203,"Thắng"))</f>
        <v/>
      </c>
      <c r="F90" s="42">
        <f>IFERROR($E90/$D90,"")</f>
        <v/>
      </c>
      <c r="G90" s="41">
        <f>IF($A90="","",SUMIFS('Hợp đồng'!$H$4:$H$203,'Hợp đồng'!$D$4:$D$203,$A90))</f>
        <v/>
      </c>
      <c r="H90" s="41">
        <f>IF($A90="","",SUMIFS('Công nợ'!$D$4:$D$203,'Công nợ'!$B$4:$B$203,$B90))</f>
        <v/>
      </c>
      <c r="I90" s="41">
        <f>IF($A90="","",SUMIFS('Công nợ'!$E$4:$E$203,'Công nợ'!$B$4:$B$203,$B90))</f>
        <v/>
      </c>
      <c r="J90" s="41">
        <f>IF($A90="","",SUMIFS('Công nợ'!$E$4:$E$203,'Công nợ'!$B$4:$B$203,$B90,'Công nợ'!$G$4:$G$203,"&gt;0"))</f>
        <v/>
      </c>
      <c r="K90" s="41">
        <f>IF($A90="","",'Khách hàng'!F90)</f>
        <v/>
      </c>
      <c r="L90" s="35">
        <f>IF($A90="","",IF($K90=0,"Chưa đặt hạn mức",IF($I90&gt;$K90,"VƯỢT HẠN MỨC","Trong hạn mức")))</f>
        <v/>
      </c>
    </row>
    <row r="91" ht="15" customHeight="1" s="30">
      <c r="A91" s="35">
        <f>IF('Khách hàng'!A91="","",'Khách hàng'!A91)</f>
        <v/>
      </c>
      <c r="B91" s="35">
        <f>IF($A91="","",'Khách hàng'!B91)</f>
        <v/>
      </c>
      <c r="C91" s="41">
        <f>IF($A91="","",COUNTIFS('Báo giá'!$C$4:$C$203,$A91))</f>
        <v/>
      </c>
      <c r="D91" s="41">
        <f>IF($A91="","",SUMIFS('Báo giá'!$H$4:$H$203,'Báo giá'!$C$4:$C$203,$A91))</f>
        <v/>
      </c>
      <c r="E91" s="41">
        <f>IF($A91="","",SUMIFS('Báo giá'!$H$4:$H$203,'Báo giá'!$C$4:$C$203,$A91,'Báo giá'!$J$4:$J$203,"Thắng"))</f>
        <v/>
      </c>
      <c r="F91" s="42">
        <f>IFERROR($E91/$D91,"")</f>
        <v/>
      </c>
      <c r="G91" s="41">
        <f>IF($A91="","",SUMIFS('Hợp đồng'!$H$4:$H$203,'Hợp đồng'!$D$4:$D$203,$A91))</f>
        <v/>
      </c>
      <c r="H91" s="41">
        <f>IF($A91="","",SUMIFS('Công nợ'!$D$4:$D$203,'Công nợ'!$B$4:$B$203,$B91))</f>
        <v/>
      </c>
      <c r="I91" s="41">
        <f>IF($A91="","",SUMIFS('Công nợ'!$E$4:$E$203,'Công nợ'!$B$4:$B$203,$B91))</f>
        <v/>
      </c>
      <c r="J91" s="41">
        <f>IF($A91="","",SUMIFS('Công nợ'!$E$4:$E$203,'Công nợ'!$B$4:$B$203,$B91,'Công nợ'!$G$4:$G$203,"&gt;0"))</f>
        <v/>
      </c>
      <c r="K91" s="41">
        <f>IF($A91="","",'Khách hàng'!F91)</f>
        <v/>
      </c>
      <c r="L91" s="35">
        <f>IF($A91="","",IF($K91=0,"Chưa đặt hạn mức",IF($I91&gt;$K91,"VƯỢT HẠN MỨC","Trong hạn mức")))</f>
        <v/>
      </c>
    </row>
    <row r="92" ht="15" customHeight="1" s="30">
      <c r="A92" s="35">
        <f>IF('Khách hàng'!A92="","",'Khách hàng'!A92)</f>
        <v/>
      </c>
      <c r="B92" s="35">
        <f>IF($A92="","",'Khách hàng'!B92)</f>
        <v/>
      </c>
      <c r="C92" s="41">
        <f>IF($A92="","",COUNTIFS('Báo giá'!$C$4:$C$203,$A92))</f>
        <v/>
      </c>
      <c r="D92" s="41">
        <f>IF($A92="","",SUMIFS('Báo giá'!$H$4:$H$203,'Báo giá'!$C$4:$C$203,$A92))</f>
        <v/>
      </c>
      <c r="E92" s="41">
        <f>IF($A92="","",SUMIFS('Báo giá'!$H$4:$H$203,'Báo giá'!$C$4:$C$203,$A92,'Báo giá'!$J$4:$J$203,"Thắng"))</f>
        <v/>
      </c>
      <c r="F92" s="42">
        <f>IFERROR($E92/$D92,"")</f>
        <v/>
      </c>
      <c r="G92" s="41">
        <f>IF($A92="","",SUMIFS('Hợp đồng'!$H$4:$H$203,'Hợp đồng'!$D$4:$D$203,$A92))</f>
        <v/>
      </c>
      <c r="H92" s="41">
        <f>IF($A92="","",SUMIFS('Công nợ'!$D$4:$D$203,'Công nợ'!$B$4:$B$203,$B92))</f>
        <v/>
      </c>
      <c r="I92" s="41">
        <f>IF($A92="","",SUMIFS('Công nợ'!$E$4:$E$203,'Công nợ'!$B$4:$B$203,$B92))</f>
        <v/>
      </c>
      <c r="J92" s="41">
        <f>IF($A92="","",SUMIFS('Công nợ'!$E$4:$E$203,'Công nợ'!$B$4:$B$203,$B92,'Công nợ'!$G$4:$G$203,"&gt;0"))</f>
        <v/>
      </c>
      <c r="K92" s="41">
        <f>IF($A92="","",'Khách hàng'!F92)</f>
        <v/>
      </c>
      <c r="L92" s="35">
        <f>IF($A92="","",IF($K92=0,"Chưa đặt hạn mức",IF($I92&gt;$K92,"VƯỢT HẠN MỨC","Trong hạn mức")))</f>
        <v/>
      </c>
    </row>
    <row r="93" ht="15" customHeight="1" s="30">
      <c r="A93" s="35">
        <f>IF('Khách hàng'!A93="","",'Khách hàng'!A93)</f>
        <v/>
      </c>
      <c r="B93" s="35">
        <f>IF($A93="","",'Khách hàng'!B93)</f>
        <v/>
      </c>
      <c r="C93" s="41">
        <f>IF($A93="","",COUNTIFS('Báo giá'!$C$4:$C$203,$A93))</f>
        <v/>
      </c>
      <c r="D93" s="41">
        <f>IF($A93="","",SUMIFS('Báo giá'!$H$4:$H$203,'Báo giá'!$C$4:$C$203,$A93))</f>
        <v/>
      </c>
      <c r="E93" s="41">
        <f>IF($A93="","",SUMIFS('Báo giá'!$H$4:$H$203,'Báo giá'!$C$4:$C$203,$A93,'Báo giá'!$J$4:$J$203,"Thắng"))</f>
        <v/>
      </c>
      <c r="F93" s="42">
        <f>IFERROR($E93/$D93,"")</f>
        <v/>
      </c>
      <c r="G93" s="41">
        <f>IF($A93="","",SUMIFS('Hợp đồng'!$H$4:$H$203,'Hợp đồng'!$D$4:$D$203,$A93))</f>
        <v/>
      </c>
      <c r="H93" s="41">
        <f>IF($A93="","",SUMIFS('Công nợ'!$D$4:$D$203,'Công nợ'!$B$4:$B$203,$B93))</f>
        <v/>
      </c>
      <c r="I93" s="41">
        <f>IF($A93="","",SUMIFS('Công nợ'!$E$4:$E$203,'Công nợ'!$B$4:$B$203,$B93))</f>
        <v/>
      </c>
      <c r="J93" s="41">
        <f>IF($A93="","",SUMIFS('Công nợ'!$E$4:$E$203,'Công nợ'!$B$4:$B$203,$B93,'Công nợ'!$G$4:$G$203,"&gt;0"))</f>
        <v/>
      </c>
      <c r="K93" s="41">
        <f>IF($A93="","",'Khách hàng'!F93)</f>
        <v/>
      </c>
      <c r="L93" s="35">
        <f>IF($A93="","",IF($K93=0,"Chưa đặt hạn mức",IF($I93&gt;$K93,"VƯỢT HẠN MỨC","Trong hạn mức")))</f>
        <v/>
      </c>
    </row>
    <row r="94" ht="15" customHeight="1" s="30">
      <c r="A94" s="35">
        <f>IF('Khách hàng'!A94="","",'Khách hàng'!A94)</f>
        <v/>
      </c>
      <c r="B94" s="35">
        <f>IF($A94="","",'Khách hàng'!B94)</f>
        <v/>
      </c>
      <c r="C94" s="41">
        <f>IF($A94="","",COUNTIFS('Báo giá'!$C$4:$C$203,$A94))</f>
        <v/>
      </c>
      <c r="D94" s="41">
        <f>IF($A94="","",SUMIFS('Báo giá'!$H$4:$H$203,'Báo giá'!$C$4:$C$203,$A94))</f>
        <v/>
      </c>
      <c r="E94" s="41">
        <f>IF($A94="","",SUMIFS('Báo giá'!$H$4:$H$203,'Báo giá'!$C$4:$C$203,$A94,'Báo giá'!$J$4:$J$203,"Thắng"))</f>
        <v/>
      </c>
      <c r="F94" s="42">
        <f>IFERROR($E94/$D94,"")</f>
        <v/>
      </c>
      <c r="G94" s="41">
        <f>IF($A94="","",SUMIFS('Hợp đồng'!$H$4:$H$203,'Hợp đồng'!$D$4:$D$203,$A94))</f>
        <v/>
      </c>
      <c r="H94" s="41">
        <f>IF($A94="","",SUMIFS('Công nợ'!$D$4:$D$203,'Công nợ'!$B$4:$B$203,$B94))</f>
        <v/>
      </c>
      <c r="I94" s="41">
        <f>IF($A94="","",SUMIFS('Công nợ'!$E$4:$E$203,'Công nợ'!$B$4:$B$203,$B94))</f>
        <v/>
      </c>
      <c r="J94" s="41">
        <f>IF($A94="","",SUMIFS('Công nợ'!$E$4:$E$203,'Công nợ'!$B$4:$B$203,$B94,'Công nợ'!$G$4:$G$203,"&gt;0"))</f>
        <v/>
      </c>
      <c r="K94" s="41">
        <f>IF($A94="","",'Khách hàng'!F94)</f>
        <v/>
      </c>
      <c r="L94" s="35">
        <f>IF($A94="","",IF($K94=0,"Chưa đặt hạn mức",IF($I94&gt;$K94,"VƯỢT HẠN MỨC","Trong hạn mức")))</f>
        <v/>
      </c>
    </row>
    <row r="95" ht="15" customHeight="1" s="30">
      <c r="A95" s="35">
        <f>IF('Khách hàng'!A95="","",'Khách hàng'!A95)</f>
        <v/>
      </c>
      <c r="B95" s="35">
        <f>IF($A95="","",'Khách hàng'!B95)</f>
        <v/>
      </c>
      <c r="C95" s="41">
        <f>IF($A95="","",COUNTIFS('Báo giá'!$C$4:$C$203,$A95))</f>
        <v/>
      </c>
      <c r="D95" s="41">
        <f>IF($A95="","",SUMIFS('Báo giá'!$H$4:$H$203,'Báo giá'!$C$4:$C$203,$A95))</f>
        <v/>
      </c>
      <c r="E95" s="41">
        <f>IF($A95="","",SUMIFS('Báo giá'!$H$4:$H$203,'Báo giá'!$C$4:$C$203,$A95,'Báo giá'!$J$4:$J$203,"Thắng"))</f>
        <v/>
      </c>
      <c r="F95" s="42">
        <f>IFERROR($E95/$D95,"")</f>
        <v/>
      </c>
      <c r="G95" s="41">
        <f>IF($A95="","",SUMIFS('Hợp đồng'!$H$4:$H$203,'Hợp đồng'!$D$4:$D$203,$A95))</f>
        <v/>
      </c>
      <c r="H95" s="41">
        <f>IF($A95="","",SUMIFS('Công nợ'!$D$4:$D$203,'Công nợ'!$B$4:$B$203,$B95))</f>
        <v/>
      </c>
      <c r="I95" s="41">
        <f>IF($A95="","",SUMIFS('Công nợ'!$E$4:$E$203,'Công nợ'!$B$4:$B$203,$B95))</f>
        <v/>
      </c>
      <c r="J95" s="41">
        <f>IF($A95="","",SUMIFS('Công nợ'!$E$4:$E$203,'Công nợ'!$B$4:$B$203,$B95,'Công nợ'!$G$4:$G$203,"&gt;0"))</f>
        <v/>
      </c>
      <c r="K95" s="41">
        <f>IF($A95="","",'Khách hàng'!F95)</f>
        <v/>
      </c>
      <c r="L95" s="35">
        <f>IF($A95="","",IF($K95=0,"Chưa đặt hạn mức",IF($I95&gt;$K95,"VƯỢT HẠN MỨC","Trong hạn mức")))</f>
        <v/>
      </c>
    </row>
    <row r="96" ht="15" customHeight="1" s="30">
      <c r="A96" s="35">
        <f>IF('Khách hàng'!A96="","",'Khách hàng'!A96)</f>
        <v/>
      </c>
      <c r="B96" s="35">
        <f>IF($A96="","",'Khách hàng'!B96)</f>
        <v/>
      </c>
      <c r="C96" s="41">
        <f>IF($A96="","",COUNTIFS('Báo giá'!$C$4:$C$203,$A96))</f>
        <v/>
      </c>
      <c r="D96" s="41">
        <f>IF($A96="","",SUMIFS('Báo giá'!$H$4:$H$203,'Báo giá'!$C$4:$C$203,$A96))</f>
        <v/>
      </c>
      <c r="E96" s="41">
        <f>IF($A96="","",SUMIFS('Báo giá'!$H$4:$H$203,'Báo giá'!$C$4:$C$203,$A96,'Báo giá'!$J$4:$J$203,"Thắng"))</f>
        <v/>
      </c>
      <c r="F96" s="42">
        <f>IFERROR($E96/$D96,"")</f>
        <v/>
      </c>
      <c r="G96" s="41">
        <f>IF($A96="","",SUMIFS('Hợp đồng'!$H$4:$H$203,'Hợp đồng'!$D$4:$D$203,$A96))</f>
        <v/>
      </c>
      <c r="H96" s="41">
        <f>IF($A96="","",SUMIFS('Công nợ'!$D$4:$D$203,'Công nợ'!$B$4:$B$203,$B96))</f>
        <v/>
      </c>
      <c r="I96" s="41">
        <f>IF($A96="","",SUMIFS('Công nợ'!$E$4:$E$203,'Công nợ'!$B$4:$B$203,$B96))</f>
        <v/>
      </c>
      <c r="J96" s="41">
        <f>IF($A96="","",SUMIFS('Công nợ'!$E$4:$E$203,'Công nợ'!$B$4:$B$203,$B96,'Công nợ'!$G$4:$G$203,"&gt;0"))</f>
        <v/>
      </c>
      <c r="K96" s="41">
        <f>IF($A96="","",'Khách hàng'!F96)</f>
        <v/>
      </c>
      <c r="L96" s="35">
        <f>IF($A96="","",IF($K96=0,"Chưa đặt hạn mức",IF($I96&gt;$K96,"VƯỢT HẠN MỨC","Trong hạn mức")))</f>
        <v/>
      </c>
    </row>
    <row r="97" ht="15" customHeight="1" s="30">
      <c r="A97" s="35">
        <f>IF('Khách hàng'!A97="","",'Khách hàng'!A97)</f>
        <v/>
      </c>
      <c r="B97" s="35">
        <f>IF($A97="","",'Khách hàng'!B97)</f>
        <v/>
      </c>
      <c r="C97" s="41">
        <f>IF($A97="","",COUNTIFS('Báo giá'!$C$4:$C$203,$A97))</f>
        <v/>
      </c>
      <c r="D97" s="41">
        <f>IF($A97="","",SUMIFS('Báo giá'!$H$4:$H$203,'Báo giá'!$C$4:$C$203,$A97))</f>
        <v/>
      </c>
      <c r="E97" s="41">
        <f>IF($A97="","",SUMIFS('Báo giá'!$H$4:$H$203,'Báo giá'!$C$4:$C$203,$A97,'Báo giá'!$J$4:$J$203,"Thắng"))</f>
        <v/>
      </c>
      <c r="F97" s="42">
        <f>IFERROR($E97/$D97,"")</f>
        <v/>
      </c>
      <c r="G97" s="41">
        <f>IF($A97="","",SUMIFS('Hợp đồng'!$H$4:$H$203,'Hợp đồng'!$D$4:$D$203,$A97))</f>
        <v/>
      </c>
      <c r="H97" s="41">
        <f>IF($A97="","",SUMIFS('Công nợ'!$D$4:$D$203,'Công nợ'!$B$4:$B$203,$B97))</f>
        <v/>
      </c>
      <c r="I97" s="41">
        <f>IF($A97="","",SUMIFS('Công nợ'!$E$4:$E$203,'Công nợ'!$B$4:$B$203,$B97))</f>
        <v/>
      </c>
      <c r="J97" s="41">
        <f>IF($A97="","",SUMIFS('Công nợ'!$E$4:$E$203,'Công nợ'!$B$4:$B$203,$B97,'Công nợ'!$G$4:$G$203,"&gt;0"))</f>
        <v/>
      </c>
      <c r="K97" s="41">
        <f>IF($A97="","",'Khách hàng'!F97)</f>
        <v/>
      </c>
      <c r="L97" s="35">
        <f>IF($A97="","",IF($K97=0,"Chưa đặt hạn mức",IF($I97&gt;$K97,"VƯỢT HẠN MỨC","Trong hạn mức")))</f>
        <v/>
      </c>
    </row>
    <row r="98" ht="15" customHeight="1" s="30">
      <c r="A98" s="35">
        <f>IF('Khách hàng'!A98="","",'Khách hàng'!A98)</f>
        <v/>
      </c>
      <c r="B98" s="35">
        <f>IF($A98="","",'Khách hàng'!B98)</f>
        <v/>
      </c>
      <c r="C98" s="41">
        <f>IF($A98="","",COUNTIFS('Báo giá'!$C$4:$C$203,$A98))</f>
        <v/>
      </c>
      <c r="D98" s="41">
        <f>IF($A98="","",SUMIFS('Báo giá'!$H$4:$H$203,'Báo giá'!$C$4:$C$203,$A98))</f>
        <v/>
      </c>
      <c r="E98" s="41">
        <f>IF($A98="","",SUMIFS('Báo giá'!$H$4:$H$203,'Báo giá'!$C$4:$C$203,$A98,'Báo giá'!$J$4:$J$203,"Thắng"))</f>
        <v/>
      </c>
      <c r="F98" s="42">
        <f>IFERROR($E98/$D98,"")</f>
        <v/>
      </c>
      <c r="G98" s="41">
        <f>IF($A98="","",SUMIFS('Hợp đồng'!$H$4:$H$203,'Hợp đồng'!$D$4:$D$203,$A98))</f>
        <v/>
      </c>
      <c r="H98" s="41">
        <f>IF($A98="","",SUMIFS('Công nợ'!$D$4:$D$203,'Công nợ'!$B$4:$B$203,$B98))</f>
        <v/>
      </c>
      <c r="I98" s="41">
        <f>IF($A98="","",SUMIFS('Công nợ'!$E$4:$E$203,'Công nợ'!$B$4:$B$203,$B98))</f>
        <v/>
      </c>
      <c r="J98" s="41">
        <f>IF($A98="","",SUMIFS('Công nợ'!$E$4:$E$203,'Công nợ'!$B$4:$B$203,$B98,'Công nợ'!$G$4:$G$203,"&gt;0"))</f>
        <v/>
      </c>
      <c r="K98" s="41">
        <f>IF($A98="","",'Khách hàng'!F98)</f>
        <v/>
      </c>
      <c r="L98" s="35">
        <f>IF($A98="","",IF($K98=0,"Chưa đặt hạn mức",IF($I98&gt;$K98,"VƯỢT HẠN MỨC","Trong hạn mức")))</f>
        <v/>
      </c>
    </row>
    <row r="99" ht="15" customHeight="1" s="30">
      <c r="A99" s="35">
        <f>IF('Khách hàng'!A99="","",'Khách hàng'!A99)</f>
        <v/>
      </c>
      <c r="B99" s="35">
        <f>IF($A99="","",'Khách hàng'!B99)</f>
        <v/>
      </c>
      <c r="C99" s="41">
        <f>IF($A99="","",COUNTIFS('Báo giá'!$C$4:$C$203,$A99))</f>
        <v/>
      </c>
      <c r="D99" s="41">
        <f>IF($A99="","",SUMIFS('Báo giá'!$H$4:$H$203,'Báo giá'!$C$4:$C$203,$A99))</f>
        <v/>
      </c>
      <c r="E99" s="41">
        <f>IF($A99="","",SUMIFS('Báo giá'!$H$4:$H$203,'Báo giá'!$C$4:$C$203,$A99,'Báo giá'!$J$4:$J$203,"Thắng"))</f>
        <v/>
      </c>
      <c r="F99" s="42">
        <f>IFERROR($E99/$D99,"")</f>
        <v/>
      </c>
      <c r="G99" s="41">
        <f>IF($A99="","",SUMIFS('Hợp đồng'!$H$4:$H$203,'Hợp đồng'!$D$4:$D$203,$A99))</f>
        <v/>
      </c>
      <c r="H99" s="41">
        <f>IF($A99="","",SUMIFS('Công nợ'!$D$4:$D$203,'Công nợ'!$B$4:$B$203,$B99))</f>
        <v/>
      </c>
      <c r="I99" s="41">
        <f>IF($A99="","",SUMIFS('Công nợ'!$E$4:$E$203,'Công nợ'!$B$4:$B$203,$B99))</f>
        <v/>
      </c>
      <c r="J99" s="41">
        <f>IF($A99="","",SUMIFS('Công nợ'!$E$4:$E$203,'Công nợ'!$B$4:$B$203,$B99,'Công nợ'!$G$4:$G$203,"&gt;0"))</f>
        <v/>
      </c>
      <c r="K99" s="41">
        <f>IF($A99="","",'Khách hàng'!F99)</f>
        <v/>
      </c>
      <c r="L99" s="35">
        <f>IF($A99="","",IF($K99=0,"Chưa đặt hạn mức",IF($I99&gt;$K99,"VƯỢT HẠN MỨC","Trong hạn mức")))</f>
        <v/>
      </c>
    </row>
    <row r="100" ht="15" customHeight="1" s="30">
      <c r="A100" s="35">
        <f>IF('Khách hàng'!A100="","",'Khách hàng'!A100)</f>
        <v/>
      </c>
      <c r="B100" s="35">
        <f>IF($A100="","",'Khách hàng'!B100)</f>
        <v/>
      </c>
      <c r="C100" s="41">
        <f>IF($A100="","",COUNTIFS('Báo giá'!$C$4:$C$203,$A100))</f>
        <v/>
      </c>
      <c r="D100" s="41">
        <f>IF($A100="","",SUMIFS('Báo giá'!$H$4:$H$203,'Báo giá'!$C$4:$C$203,$A100))</f>
        <v/>
      </c>
      <c r="E100" s="41">
        <f>IF($A100="","",SUMIFS('Báo giá'!$H$4:$H$203,'Báo giá'!$C$4:$C$203,$A100,'Báo giá'!$J$4:$J$203,"Thắng"))</f>
        <v/>
      </c>
      <c r="F100" s="42">
        <f>IFERROR($E100/$D100,"")</f>
        <v/>
      </c>
      <c r="G100" s="41">
        <f>IF($A100="","",SUMIFS('Hợp đồng'!$H$4:$H$203,'Hợp đồng'!$D$4:$D$203,$A100))</f>
        <v/>
      </c>
      <c r="H100" s="41">
        <f>IF($A100="","",SUMIFS('Công nợ'!$D$4:$D$203,'Công nợ'!$B$4:$B$203,$B100))</f>
        <v/>
      </c>
      <c r="I100" s="41">
        <f>IF($A100="","",SUMIFS('Công nợ'!$E$4:$E$203,'Công nợ'!$B$4:$B$203,$B100))</f>
        <v/>
      </c>
      <c r="J100" s="41">
        <f>IF($A100="","",SUMIFS('Công nợ'!$E$4:$E$203,'Công nợ'!$B$4:$B$203,$B100,'Công nợ'!$G$4:$G$203,"&gt;0"))</f>
        <v/>
      </c>
      <c r="K100" s="41">
        <f>IF($A100="","",'Khách hàng'!F100)</f>
        <v/>
      </c>
      <c r="L100" s="35">
        <f>IF($A100="","",IF($K100=0,"Chưa đặt hạn mức",IF($I100&gt;$K100,"VƯỢT HẠN MỨC","Trong hạn mức")))</f>
        <v/>
      </c>
    </row>
    <row r="101" ht="15" customHeight="1" s="30">
      <c r="A101" s="35">
        <f>IF('Khách hàng'!A101="","",'Khách hàng'!A101)</f>
        <v/>
      </c>
      <c r="B101" s="35">
        <f>IF($A101="","",'Khách hàng'!B101)</f>
        <v/>
      </c>
      <c r="C101" s="41">
        <f>IF($A101="","",COUNTIFS('Báo giá'!$C$4:$C$203,$A101))</f>
        <v/>
      </c>
      <c r="D101" s="41">
        <f>IF($A101="","",SUMIFS('Báo giá'!$H$4:$H$203,'Báo giá'!$C$4:$C$203,$A101))</f>
        <v/>
      </c>
      <c r="E101" s="41">
        <f>IF($A101="","",SUMIFS('Báo giá'!$H$4:$H$203,'Báo giá'!$C$4:$C$203,$A101,'Báo giá'!$J$4:$J$203,"Thắng"))</f>
        <v/>
      </c>
      <c r="F101" s="42">
        <f>IFERROR($E101/$D101,"")</f>
        <v/>
      </c>
      <c r="G101" s="41">
        <f>IF($A101="","",SUMIFS('Hợp đồng'!$H$4:$H$203,'Hợp đồng'!$D$4:$D$203,$A101))</f>
        <v/>
      </c>
      <c r="H101" s="41">
        <f>IF($A101="","",SUMIFS('Công nợ'!$D$4:$D$203,'Công nợ'!$B$4:$B$203,$B101))</f>
        <v/>
      </c>
      <c r="I101" s="41">
        <f>IF($A101="","",SUMIFS('Công nợ'!$E$4:$E$203,'Công nợ'!$B$4:$B$203,$B101))</f>
        <v/>
      </c>
      <c r="J101" s="41">
        <f>IF($A101="","",SUMIFS('Công nợ'!$E$4:$E$203,'Công nợ'!$B$4:$B$203,$B101,'Công nợ'!$G$4:$G$203,"&gt;0"))</f>
        <v/>
      </c>
      <c r="K101" s="41">
        <f>IF($A101="","",'Khách hàng'!F101)</f>
        <v/>
      </c>
      <c r="L101" s="35">
        <f>IF($A101="","",IF($K101=0,"Chưa đặt hạn mức",IF($I101&gt;$K101,"VƯỢT HẠN MỨC","Trong hạn mức")))</f>
        <v/>
      </c>
    </row>
    <row r="102" ht="15" customHeight="1" s="30">
      <c r="A102" s="35">
        <f>IF('Khách hàng'!A102="","",'Khách hàng'!A102)</f>
        <v/>
      </c>
      <c r="B102" s="35">
        <f>IF($A102="","",'Khách hàng'!B102)</f>
        <v/>
      </c>
      <c r="C102" s="41">
        <f>IF($A102="","",COUNTIFS('Báo giá'!$C$4:$C$203,$A102))</f>
        <v/>
      </c>
      <c r="D102" s="41">
        <f>IF($A102="","",SUMIFS('Báo giá'!$H$4:$H$203,'Báo giá'!$C$4:$C$203,$A102))</f>
        <v/>
      </c>
      <c r="E102" s="41">
        <f>IF($A102="","",SUMIFS('Báo giá'!$H$4:$H$203,'Báo giá'!$C$4:$C$203,$A102,'Báo giá'!$J$4:$J$203,"Thắng"))</f>
        <v/>
      </c>
      <c r="F102" s="42">
        <f>IFERROR($E102/$D102,"")</f>
        <v/>
      </c>
      <c r="G102" s="41">
        <f>IF($A102="","",SUMIFS('Hợp đồng'!$H$4:$H$203,'Hợp đồng'!$D$4:$D$203,$A102))</f>
        <v/>
      </c>
      <c r="H102" s="41">
        <f>IF($A102="","",SUMIFS('Công nợ'!$D$4:$D$203,'Công nợ'!$B$4:$B$203,$B102))</f>
        <v/>
      </c>
      <c r="I102" s="41">
        <f>IF($A102="","",SUMIFS('Công nợ'!$E$4:$E$203,'Công nợ'!$B$4:$B$203,$B102))</f>
        <v/>
      </c>
      <c r="J102" s="41">
        <f>IF($A102="","",SUMIFS('Công nợ'!$E$4:$E$203,'Công nợ'!$B$4:$B$203,$B102,'Công nợ'!$G$4:$G$203,"&gt;0"))</f>
        <v/>
      </c>
      <c r="K102" s="41">
        <f>IF($A102="","",'Khách hàng'!F102)</f>
        <v/>
      </c>
      <c r="L102" s="35">
        <f>IF($A102="","",IF($K102=0,"Chưa đặt hạn mức",IF($I102&gt;$K102,"VƯỢT HẠN MỨC","Trong hạn mức")))</f>
        <v/>
      </c>
    </row>
    <row r="103" ht="15" customHeight="1" s="30">
      <c r="A103" s="35">
        <f>IF('Khách hàng'!A103="","",'Khách hàng'!A103)</f>
        <v/>
      </c>
      <c r="B103" s="35">
        <f>IF($A103="","",'Khách hàng'!B103)</f>
        <v/>
      </c>
      <c r="C103" s="41">
        <f>IF($A103="","",COUNTIFS('Báo giá'!$C$4:$C$203,$A103))</f>
        <v/>
      </c>
      <c r="D103" s="41">
        <f>IF($A103="","",SUMIFS('Báo giá'!$H$4:$H$203,'Báo giá'!$C$4:$C$203,$A103))</f>
        <v/>
      </c>
      <c r="E103" s="41">
        <f>IF($A103="","",SUMIFS('Báo giá'!$H$4:$H$203,'Báo giá'!$C$4:$C$203,$A103,'Báo giá'!$J$4:$J$203,"Thắng"))</f>
        <v/>
      </c>
      <c r="F103" s="42">
        <f>IFERROR($E103/$D103,"")</f>
        <v/>
      </c>
      <c r="G103" s="41">
        <f>IF($A103="","",SUMIFS('Hợp đồng'!$H$4:$H$203,'Hợp đồng'!$D$4:$D$203,$A103))</f>
        <v/>
      </c>
      <c r="H103" s="41">
        <f>IF($A103="","",SUMIFS('Công nợ'!$D$4:$D$203,'Công nợ'!$B$4:$B$203,$B103))</f>
        <v/>
      </c>
      <c r="I103" s="41">
        <f>IF($A103="","",SUMIFS('Công nợ'!$E$4:$E$203,'Công nợ'!$B$4:$B$203,$B103))</f>
        <v/>
      </c>
      <c r="J103" s="41">
        <f>IF($A103="","",SUMIFS('Công nợ'!$E$4:$E$203,'Công nợ'!$B$4:$B$203,$B103,'Công nợ'!$G$4:$G$203,"&gt;0"))</f>
        <v/>
      </c>
      <c r="K103" s="41">
        <f>IF($A103="","",'Khách hàng'!F103)</f>
        <v/>
      </c>
      <c r="L103" s="35">
        <f>IF($A103="","",IF($K103=0,"Chưa đặt hạn mức",IF($I103&gt;$K103,"VƯỢT HẠN MỨC","Trong hạn mức")))</f>
        <v/>
      </c>
    </row>
    <row r="104" ht="15" customHeight="1" s="30">
      <c r="A104" s="63" t="inlineStr">
        <is>
          <t>TỔNG CỘNG</t>
        </is>
      </c>
      <c r="B104" s="63" t="n"/>
      <c r="C104" s="64">
        <f>SUM(C4:C103)</f>
        <v/>
      </c>
      <c r="D104" s="64">
        <f>SUM(D4:D103)</f>
        <v/>
      </c>
      <c r="E104" s="64">
        <f>SUM(E4:E103)</f>
        <v/>
      </c>
      <c r="F104" s="65">
        <f>IFERROR($E104/$D104,0)</f>
        <v/>
      </c>
      <c r="G104" s="64">
        <f>SUM(G4:G103)</f>
        <v/>
      </c>
      <c r="H104" s="64">
        <f>SUM(H4:H103)</f>
        <v/>
      </c>
      <c r="I104" s="64">
        <f>SUM(I4:I103)</f>
        <v/>
      </c>
      <c r="J104" s="64">
        <f>SUM(J4:J103)</f>
        <v/>
      </c>
      <c r="K104" s="64">
        <f>SUM(K4:K103)</f>
        <v/>
      </c>
      <c r="L104" s="63" t="n"/>
    </row>
  </sheetData>
  <conditionalFormatting sqref="L4:L103">
    <cfRule type="expression" rank="0" priority="2" equalAverage="0" aboveAverage="0" dxfId="5" text="" percent="0" bottom="0">
      <formula>$L4="VƯỢT HẠN MỨC"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2026-07-31T06:28:30Z</dcterms:created>
  <dcterms:modified xsi:type="dcterms:W3CDTF">2026-08-03T03:30:32Z</dcterms:modified>
  <cp:revision>0</cp:revision>
</cp:coreProperties>
</file>