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Hướng dẫn" sheetId="2" state="visible" r:id="rId4"/>
    <sheet name="Dự án" sheetId="3" state="visible" r:id="rId5"/>
    <sheet name="Nhà cung cấp" sheetId="4" state="visible" r:id="rId6"/>
    <sheet name="Check giá" sheetId="5" state="visible" r:id="rId7"/>
    <sheet name="Báo giá" sheetId="6" state="visible" r:id="rId8"/>
    <sheet name="PR" sheetId="7" state="visible" r:id="rId9"/>
    <sheet name="PO" sheetId="8" state="visible" r:id="rId10"/>
    <sheet name="Thanh toán" sheetId="9" state="visible" r:id="rId11"/>
    <sheet name="Công nợ" sheetId="10" state="visible" r:id="rId12"/>
    <sheet name="Báo cáo tháng" sheetId="11" state="visible" r:id="rId13"/>
    <sheet name="Thống kê NCC" sheetId="12" state="visible" r:id="rId14"/>
    <sheet name="Thống kê dự án" sheetId="13" state="visible" r:id="rId15"/>
  </sheets>
  <definedNames>
    <definedName function="false" hidden="true" localSheetId="5" name="_xlnm._FilterDatabase" vbProcedure="false">'Báo giá'!$A$3:$V$203</definedName>
    <definedName function="false" hidden="true" localSheetId="4" name="_xlnm._FilterDatabase" vbProcedure="false">'Check giá'!$A$3:$U$203</definedName>
    <definedName function="false" hidden="true" localSheetId="9" name="_xlnm._FilterDatabase" vbProcedure="false">'Công nợ'!$A$3:$M$203</definedName>
    <definedName function="false" hidden="true" localSheetId="2" name="_xlnm._FilterDatabase" vbProcedure="false">'Dự án'!$A$3:$I$203</definedName>
    <definedName function="false" hidden="true" localSheetId="3" name="_xlnm._FilterDatabase" vbProcedure="false">'Nhà cung cấp'!$A$3:$K$203</definedName>
    <definedName function="false" hidden="true" localSheetId="7" name="_xlnm._FilterDatabase" vbProcedure="false">PO!$A$3:$AB$203</definedName>
    <definedName function="false" hidden="true" localSheetId="6" name="_xlnm._FilterDatabase" vbProcedure="false">PR!$A$3:$Q$203</definedName>
    <definedName function="false" hidden="true" localSheetId="8" name="_xlnm._FilterDatabase" vbProcedure="false">'Thanh toán'!$A$3:$N$203</definedName>
    <definedName function="false" hidden="true" localSheetId="12" name="_xlnm._FilterDatabase" vbProcedure="false">'Thống kê dự án'!$A$3:$U$203</definedName>
    <definedName function="false" hidden="true" localSheetId="11" name="_xlnm._FilterDatabase" vbProcedure="false">'Thống kê NCC'!$A$3:$R$203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<sst xmlns="http://schemas.openxmlformats.org/spreadsheetml/2006/main" count="440" uniqueCount="344">
  <si>
    <t xml:space="preserve">THNG – BÁO CÁO MUA HÀNG THEO DỰ ÁN</t>
  </si>
  <si>
    <t xml:space="preserve">Tổng quan &amp; KPI – tự động tổng hợp từ các sheet chi tiết</t>
  </si>
  <si>
    <t xml:space="preserve">THAM SỐ (ô vàng – nhập tay)</t>
  </si>
  <si>
    <t xml:space="preserve">Tên đơn vị</t>
  </si>
  <si>
    <t xml:space="preserve">THNG</t>
  </si>
  <si>
    <t xml:space="preserve">Người lập báo cáo</t>
  </si>
  <si>
    <t xml:space="preserve">Phòng Mua hàng</t>
  </si>
  <si>
    <t xml:space="preserve">Năm báo cáo</t>
  </si>
  <si>
    <t xml:space="preserve">Điều khiển sheet "Báo cáo tháng"</t>
  </si>
  <si>
    <t xml:space="preserve">Ngưỡng tỷ lệ hàng lỗi cho phép</t>
  </si>
  <si>
    <t xml:space="preserve">Tỷ lệ lỗi &lt;= ngưỡng =&gt; "Đạt"</t>
  </si>
  <si>
    <t xml:space="preserve">Ngày cập nhật</t>
  </si>
  <si>
    <t xml:space="preserve">Tự động theo ngày mở file</t>
  </si>
  <si>
    <t xml:space="preserve">A. TIẾP NHẬN &amp; XỬ LÝ YÊU CẦU CHECK GIÁ  (quy trình 1)</t>
  </si>
  <si>
    <t xml:space="preserve">Số yêu cầu check giá đã tiếp nhận</t>
  </si>
  <si>
    <t xml:space="preserve">Số YC đã trả giá</t>
  </si>
  <si>
    <t xml:space="preserve">Số YC đang xử lý</t>
  </si>
  <si>
    <t xml:space="preserve">Số YC quá hạn chưa trả giá</t>
  </si>
  <si>
    <t xml:space="preserve">Tỷ lệ trả giá đúng hạn (SLA)</t>
  </si>
  <si>
    <t xml:space="preserve">Thời gian xử lý bình quân (ngày)</t>
  </si>
  <si>
    <t xml:space="preserve">Số NCC báo giá bình quân / yêu cầu</t>
  </si>
  <si>
    <t xml:space="preserve">Tổng dự toán các yêu cầu check giá</t>
  </si>
  <si>
    <t xml:space="preserve">Tổng giá chốt sau khi hỏi giá</t>
  </si>
  <si>
    <t xml:space="preserve">Chênh lệch giá chốt so dự toán</t>
  </si>
  <si>
    <t xml:space="preserve">Âm = chốt thấp hơn dự toán</t>
  </si>
  <si>
    <t xml:space="preserve">B. PR – PO – HỢP ĐỒNG  (quy trình 2)</t>
  </si>
  <si>
    <t xml:space="preserve">Số đề nghị mua hàng (PR)</t>
  </si>
  <si>
    <t xml:space="preserve">Số PR đã duyệt</t>
  </si>
  <si>
    <t xml:space="preserve">Tổng giá trị dự toán PR</t>
  </si>
  <si>
    <t xml:space="preserve">Số PO đã phát hành</t>
  </si>
  <si>
    <t xml:space="preserve">Tổng giá trị PO phát hành</t>
  </si>
  <si>
    <t xml:space="preserve">Dự toán của các PR đã ra PO</t>
  </si>
  <si>
    <t xml:space="preserve">Tiết kiệm được sau đàm phán</t>
  </si>
  <si>
    <t xml:space="preserve">Dự toán PR – giá trị PO thực tế</t>
  </si>
  <si>
    <t xml:space="preserve">Tỷ lệ tiết kiệm</t>
  </si>
  <si>
    <t xml:space="preserve">C. TIẾN ĐỘ GIAO HÀNG &amp; CHẤT LƯỢNG  (quy trình 2)</t>
  </si>
  <si>
    <t xml:space="preserve">Số PO đã đến hạn giao</t>
  </si>
  <si>
    <t xml:space="preserve">Số PO giao đúng hạn</t>
  </si>
  <si>
    <t xml:space="preserve">Số PO giao trễ (đã nhận nhưng trễ)</t>
  </si>
  <si>
    <t xml:space="preserve">Số PO trễ hạn (quá hạn, chưa giao)</t>
  </si>
  <si>
    <t xml:space="preserve">Tỷ lệ giao đúng hạn của NCC</t>
  </si>
  <si>
    <t xml:space="preserve">Trên số PO đã đến hạn giao</t>
  </si>
  <si>
    <t xml:space="preserve">Số PO đã kiểm tra chất lượng</t>
  </si>
  <si>
    <t xml:space="preserve">Số PO đạt chất lượng</t>
  </si>
  <si>
    <t xml:space="preserve">Tỷ lệ hàng đạt chất lượng</t>
  </si>
  <si>
    <t xml:space="preserve">Tỷ lệ hàng lỗi bình quân</t>
  </si>
  <si>
    <t xml:space="preserve">D. THANH TOÁN &amp; CÔNG NỢ PHẢI TRẢ  (quy trình 3)</t>
  </si>
  <si>
    <t xml:space="preserve">Tổng giá trị PO</t>
  </si>
  <si>
    <t xml:space="preserve">Đã thanh toán</t>
  </si>
  <si>
    <t xml:space="preserve">Còn phải trả</t>
  </si>
  <si>
    <t xml:space="preserve">Trong đó: nợ quá hạn</t>
  </si>
  <si>
    <t xml:space="preserve">Tỷ lệ nợ quá hạn / còn phải trả</t>
  </si>
  <si>
    <t xml:space="preserve">E. TUỔI NỢ QUÁ HẠN (AGING)  (quy trình 3)</t>
  </si>
  <si>
    <t xml:space="preserve">Quá hạn 1-30 ngày</t>
  </si>
  <si>
    <t xml:space="preserve">Quá hạn 31-60 ngày</t>
  </si>
  <si>
    <t xml:space="preserve">Quá hạn 61-90 ngày</t>
  </si>
  <si>
    <t xml:space="preserve">Quá hạn &gt;90 ngày</t>
  </si>
  <si>
    <t xml:space="preserve">Tổng nợ quá hạn</t>
  </si>
  <si>
    <t xml:space="preserve">Nợ còn trong hạn</t>
  </si>
  <si>
    <t xml:space="preserve">F. DỰ ÁN</t>
  </si>
  <si>
    <t xml:space="preserve">Số dự án trong danh mục</t>
  </si>
  <si>
    <t xml:space="preserve">Số dự án đang thực hiện</t>
  </si>
  <si>
    <t xml:space="preserve">Tổng ngân sách mua hàng của dự án</t>
  </si>
  <si>
    <t xml:space="preserve">Giá trị PO đã phát hành</t>
  </si>
  <si>
    <t xml:space="preserve">Tỷ lệ sử dụng ngân sách</t>
  </si>
  <si>
    <t xml:space="preserve">Ngân sách mua hàng còn lại</t>
  </si>
  <si>
    <t xml:space="preserve">Lưu ý: các dòng dữ liệu ví dụ ở tất cả các sheet cần XOÁ TRƯỚC KHI DÙNG THẬT.</t>
  </si>
  <si>
    <t xml:space="preserve">HƯỚNG DẪN SỬ DỤNG – BÁO CÁO MUA HÀNG THEO DỰ ÁN (THNG)</t>
  </si>
  <si>
    <t xml:space="preserve">I. QUY ƯỚC MÀU SẮC</t>
  </si>
  <si>
    <t xml:space="preserve">Chữ XANH DƯƠNG</t>
  </si>
  <si>
    <t xml:space="preserve">Ô nhập tay – người dùng gõ dữ liệu vào.</t>
  </si>
  <si>
    <t xml:space="preserve">Chữ ĐEN</t>
  </si>
  <si>
    <t xml:space="preserve">Ô công thức – KHÔNG gõ đè, sẽ đứt chuỗi liên kết dữ liệu.</t>
  </si>
  <si>
    <t xml:space="preserve">Ô nền VÀNG</t>
  </si>
  <si>
    <t xml:space="preserve">Tham số điều chỉnh (sheet "Tổng quan" ô C5:C8).</t>
  </si>
  <si>
    <t xml:space="preserve">Dòng tô ĐỎ</t>
  </si>
  <si>
    <t xml:space="preserve">Cảnh báo tự động: trả giá trễ, giao trễ / trễ hạn, chất lượng không đạt, nợ quá hạn, vượt ngân sách dự án.</t>
  </si>
  <si>
    <t xml:space="preserve">Dòng tô XANH LÁ</t>
  </si>
  <si>
    <t xml:space="preserve">Báo giá của NCC được chọn; PO đã thanh toán đủ.</t>
  </si>
  <si>
    <t xml:space="preserve">Màu thẻ sheet</t>
  </si>
  <si>
    <t xml:space="preserve">Xanh nhạt = quy trình 1 (check giá) · Xanh đậm = quy trình 2 (PO/HĐ/tiến độ/chất lượng) · Xanh lá = quy trình 3 (thanh toán/công nợ) · Cam = danh mục · Đỏ = báo cáo.</t>
  </si>
  <si>
    <t xml:space="preserve">II. QUY TRÌNH 1 – TIẾP NHẬN &amp; XỬ LÝ YÊU CẦU CHECK GIÁ</t>
  </si>
  <si>
    <t xml:space="preserve">Sheet "Dự án"</t>
  </si>
  <si>
    <t xml:space="preserve">Khai báo danh mục dự án trước tiên: mã dự án, chủ đầu tư, PM, ngân sách mua hàng, trạng thái.</t>
  </si>
  <si>
    <t xml:space="preserve">Sheet "Check giá"</t>
  </si>
  <si>
    <t xml:space="preserve">Phòng Dự án/Đấu thầu gửi yêu cầu check giá → nhập Mã YC, Ngày nhận, Mã dự án (tự kéo tên dự án), hạng mục, số lượng, đơn giá dự toán, HẠN TRẢ GIÁ. Khi trả giá xong nhập Ngày trả giá thực tế → tự tính số ngày xử lý và đánh giá SLA: Đúng hạn / Trả trễ / Quá hạn chưa trả / Đang xử lý.</t>
  </si>
  <si>
    <t xml:space="preserve">Sheet "Báo giá"</t>
  </si>
  <si>
    <t xml:space="preserve">Mỗi dòng = 1 báo giá của 1 NCC cho 1 Mã YC. Nhập Mã YC + Mã NCC → tự kéo dự án, hạng mục, số lượng, dự toán, tên NCC, điều khoản TT. Nhập đơn giá → tự tính thành tiền, giá thấp nhất của YC, chênh lệch so giá thấp nhất và so dự toán. Đánh "x" ở cột NCC được chọn.</t>
  </si>
  <si>
    <t xml:space="preserve">Kết quả trả về</t>
  </si>
  <si>
    <t xml:space="preserve">Sheet "Check giá" tự lấy đơn giá chốt / giá trị chốt từ dòng báo giá được chọn, tự đếm số NCC đã báo giá và tự báo đã lập PR hay chưa.</t>
  </si>
  <si>
    <t xml:space="preserve">III. QUY TRÌNH 2 – PO, HỢP ĐỒNG, TIẾN ĐỘ &amp; CHẤT LƯỢNG</t>
  </si>
  <si>
    <t xml:space="preserve">Sheet "PR"</t>
  </si>
  <si>
    <t xml:space="preserve">Khi dự án trúng thầu/duyệt mua: nhập Mã PR + Mã YC → tự kéo dự án, bộ phận, hạng mục, ĐVT và đơn giá chốt từ bước check giá. Nhập số lượng và đơn giá dự toán → ra giá trị dự toán. Cập nhật trạng thái duyệt.</t>
  </si>
  <si>
    <t xml:space="preserve">Sheet "PO"</t>
  </si>
  <si>
    <t xml:space="preserve">Nhập Mã PO + Mã PR + Mã NCC → tự kéo dự án, hạng mục, bộ phận, dự toán PR, tên NCC, điều khoản TT. Nhập số lượng/đơn giá → giá trị PO và tiết kiệm đàm phán. Nhập số hợp đồng, ngày ký HĐ.</t>
  </si>
  <si>
    <t xml:space="preserve">Theo dõi tiến độ</t>
  </si>
  <si>
    <t xml:space="preserve">Nhập Ngày giao cam kết và Ngày nhận thực tế → tự đánh giá: chưa nhận &amp; chưa tới hạn = "Chưa đến hạn"; chưa nhận &amp; đã quá hạn = "Trễ hạn"; nhận &lt;= cam kết = "Đúng hạn"; nhận &gt; cam kết = "Giao trễ". Số ngày trễ tự tính.</t>
  </si>
  <si>
    <t xml:space="preserve">Theo dõi chất lượng</t>
  </si>
  <si>
    <t xml:space="preserve">Nhập SL nhận thực tế và SL hàng lỗi → tỷ lệ hàng lỗi tự tính; so với ngưỡng ở ô vàng "Tổng quan"!C8 để chấm "Đạt" / "Không đạt". Nhập thêm SL trả lại NCC.</t>
  </si>
  <si>
    <t xml:space="preserve">IV. QUY TRÌNH 3 – THEO DÕI TÌNH TRẠNG THANH TOÁN</t>
  </si>
  <si>
    <t xml:space="preserve">Hạn thanh toán</t>
  </si>
  <si>
    <t xml:space="preserve">Tự tính tại sheet "PO" = Ngày nhận thực tế + Điều khoản thanh toán (số ngày) của NCC.</t>
  </si>
  <si>
    <t xml:space="preserve">Sheet "Thanh toán"</t>
  </si>
  <si>
    <t xml:space="preserve">Sổ chi tiền. Một PO chi nhiều đợt = nhiều dòng. Nhập Mã PO → tự kéo dự án, NCC, giá trị PO; luỹ kế đã trả và số còn phải trả của PO tự tính.</t>
  </si>
  <si>
    <t xml:space="preserve">Sheet "Công nợ"</t>
  </si>
  <si>
    <t xml:space="preserve">100% công thức, không nhập tay. Tự tổng hợp theo từng dòng PO: đã trả, còn phải trả, số ngày quá hạn, nhóm tuổi nợ (Trong hạn / 1-30 / 31-60 / 61-90 / &gt;90), trạng thái.</t>
  </si>
  <si>
    <t xml:space="preserve">V. BÁO CÁO</t>
  </si>
  <si>
    <t xml:space="preserve">Tổng quan</t>
  </si>
  <si>
    <t xml:space="preserve">KPI toàn bộ, chia đúng 3 nhóm quy trình + phần dự án.</t>
  </si>
  <si>
    <t xml:space="preserve">Báo cáo tháng</t>
  </si>
  <si>
    <t xml:space="preserve">12 tháng của năm tại ô vàng "Tổng quan"!C7: yêu cầu check giá, SLA trả giá, giá trị PR, giá trị PO, tiết kiệm, giao đúng hạn, chất lượng, tiền đã chi.</t>
  </si>
  <si>
    <t xml:space="preserve">Thống kê NCC</t>
  </si>
  <si>
    <t xml:space="preserve">Giá trị mua, tỷ lệ trúng thầu, giao đúng hạn, tỷ lệ hàng lỗi, công nợ và nợ quá hạn theo từng NCC.</t>
  </si>
  <si>
    <t xml:space="preserve">Thống kê dự án</t>
  </si>
  <si>
    <t xml:space="preserve">Ngân sách, giá trị YC/PR/PO, tiết kiệm, % sử dụng ngân sách, giao hàng, đã trả – còn nợ – nợ quá hạn theo từng dự án.</t>
  </si>
  <si>
    <t xml:space="preserve">VI. QUY ƯỚC MÃ &amp; ĐỊNH DẠNG</t>
  </si>
  <si>
    <t xml:space="preserve">Mã dự án</t>
  </si>
  <si>
    <t xml:space="preserve">DA-YYYY-nn.</t>
  </si>
  <si>
    <t xml:space="preserve">Mã yêu cầu check giá</t>
  </si>
  <si>
    <t xml:space="preserve">YC-YYYY-nnn.</t>
  </si>
  <si>
    <t xml:space="preserve">Mã báo giá / PR / PO / phiếu chi</t>
  </si>
  <si>
    <t xml:space="preserve">BG-YYYY-nnn · PR-YYYY-nnn · PO-YYYY-nnn · PC-YYYY-nnn.</t>
  </si>
  <si>
    <t xml:space="preserve">Nguyên tắc nối chuỗi</t>
  </si>
  <si>
    <t xml:space="preserve">Mã ở bước sau phải trùng khớp tuyệt đối mã bước trước (không thừa dấu cách) thì công thức mới kéo được dữ liệu.</t>
  </si>
  <si>
    <t xml:space="preserve">Định dạng</t>
  </si>
  <si>
    <t xml:space="preserve">Font Arial · tiền #,##0 · tỷ lệ dạng % (lưu dạng phân số) · ngày dd/mm/yyyy.</t>
  </si>
  <si>
    <t xml:space="preserve">VII. LƯU Ý</t>
  </si>
  <si>
    <t xml:space="preserve">Số dòng</t>
  </si>
  <si>
    <t xml:space="preserve">Công thức kéo sẵn 200 dòng (dòng 4 → 203) mỗi sheet. Cần thêm thì copy dòng cuối kéo xuống.</t>
  </si>
  <si>
    <t xml:space="preserve">Dữ liệu ví dụ</t>
  </si>
  <si>
    <t xml:space="preserve">Chuỗi mẫu: DA-2026-01 → YC-2026-001 → BG-2026-001/002/003 → PR-2026-001 → PO-2026-001 → PC-2026-001/002. YC-2026-002 là ví dụ yêu cầu quá hạn chưa trả giá. XOÁ TRƯỚC KHI DÙNG THẬT.</t>
  </si>
  <si>
    <t xml:space="preserve">Ví dụ ô nhập tay</t>
  </si>
  <si>
    <t xml:space="preserve">Ví dụ ô công thức</t>
  </si>
  <si>
    <t xml:space="preserve">DANH MỤC DỰ ÁN</t>
  </si>
  <si>
    <t xml:space="preserve">Khai báo trước tiên. Mã dự án là khoá liên kết cho toàn bộ chuỗi mua hàng.</t>
  </si>
  <si>
    <t xml:space="preserve">Tên dự án</t>
  </si>
  <si>
    <t xml:space="preserve">Khách hàng / Chủ đầu tư</t>
  </si>
  <si>
    <t xml:space="preserve">Quản lý dự án (PM)</t>
  </si>
  <si>
    <t xml:space="preserve">Ngày bắt đầu</t>
  </si>
  <si>
    <t xml:space="preserve">Ngày kết thúc dự kiến</t>
  </si>
  <si>
    <t xml:space="preserve">Ngân sách mua hàng</t>
  </si>
  <si>
    <t xml:space="preserve">Trạng thái dự án</t>
  </si>
  <si>
    <t xml:space="preserve">Ghi chú</t>
  </si>
  <si>
    <t xml:space="preserve">DA-2026-01</t>
  </si>
  <si>
    <t xml:space="preserve">Nhà máy Bao bì Tân Uyên – Giai đoạn 2</t>
  </si>
  <si>
    <t xml:space="preserve">Công ty CP Bao bì Tân Uyên</t>
  </si>
  <si>
    <t xml:space="preserve">Phạm Minh Đức</t>
  </si>
  <si>
    <t xml:space="preserve">Đang thực hiện</t>
  </si>
  <si>
    <t xml:space="preserve">VÍ DỤ MẪU – XOÁ TRƯỚC KHI DÙNG THẬT</t>
  </si>
  <si>
    <t xml:space="preserve">DA-2026-02</t>
  </si>
  <si>
    <t xml:space="preserve">Kho lạnh Long An</t>
  </si>
  <si>
    <t xml:space="preserve">Công ty TNHH Thực phẩm Long An</t>
  </si>
  <si>
    <t xml:space="preserve">Vũ Thị Hà</t>
  </si>
  <si>
    <t xml:space="preserve">Đang chào giá</t>
  </si>
  <si>
    <t xml:space="preserve">DANH MỤC NHÀ CUNG CẤP</t>
  </si>
  <si>
    <t xml:space="preserve">Toàn bộ nhập tay. Mã NCC duy nhất – khoá liên kết cho báo giá, PO, thanh toán.</t>
  </si>
  <si>
    <t xml:space="preserve">Mã NCC</t>
  </si>
  <si>
    <t xml:space="preserve">Tên nhà cung cấp</t>
  </si>
  <si>
    <t xml:space="preserve">Người liên hệ</t>
  </si>
  <si>
    <t xml:space="preserve">Điện thoại</t>
  </si>
  <si>
    <t xml:space="preserve">Email</t>
  </si>
  <si>
    <t xml:space="preserve">Địa chỉ</t>
  </si>
  <si>
    <t xml:space="preserve">Điều khoản TT (ngày)</t>
  </si>
  <si>
    <t xml:space="preserve">Đánh giá NCC</t>
  </si>
  <si>
    <t xml:space="preserve">Nhóm hàng cung cấp</t>
  </si>
  <si>
    <t xml:space="preserve">Mã số thuế</t>
  </si>
  <si>
    <t xml:space="preserve">NCC001</t>
  </si>
  <si>
    <t xml:space="preserve">Công ty TNHH Thép Việt An</t>
  </si>
  <si>
    <t xml:space="preserve">Nguyễn Văn Bình</t>
  </si>
  <si>
    <t xml:space="preserve">0901234567</t>
  </si>
  <si>
    <t xml:space="preserve">binh.nv@vietan.com.vn</t>
  </si>
  <si>
    <t xml:space="preserve">12 Lê Lợi, Q.1, TP.HCM</t>
  </si>
  <si>
    <t xml:space="preserve">A</t>
  </si>
  <si>
    <t xml:space="preserve">Thép tấm, thép hình</t>
  </si>
  <si>
    <t xml:space="preserve">0301234567</t>
  </si>
  <si>
    <t xml:space="preserve">NCC002</t>
  </si>
  <si>
    <t xml:space="preserve">Công ty CP Vật tư Hoàng Long</t>
  </si>
  <si>
    <t xml:space="preserve">Trần Thị Mai</t>
  </si>
  <si>
    <t xml:space="preserve">0912345678</t>
  </si>
  <si>
    <t xml:space="preserve">mai.tt@hoanglong.vn</t>
  </si>
  <si>
    <t xml:space="preserve">45 Nguyễn Trãi, Thanh Xuân, Hà Nội</t>
  </si>
  <si>
    <t xml:space="preserve">B</t>
  </si>
  <si>
    <t xml:space="preserve">Thép tấm, vật tư phụ</t>
  </si>
  <si>
    <t xml:space="preserve">0102345678</t>
  </si>
  <si>
    <t xml:space="preserve">NCC003</t>
  </si>
  <si>
    <t xml:space="preserve">Công ty TNHH TM Đại Phát</t>
  </si>
  <si>
    <t xml:space="preserve">Lê Quốc Huy</t>
  </si>
  <si>
    <t xml:space="preserve">0923456789</t>
  </si>
  <si>
    <t xml:space="preserve">huy.lq@daiphat.vn</t>
  </si>
  <si>
    <t xml:space="preserve">88 Trần Phú, Hải Châu, Đà Nẵng</t>
  </si>
  <si>
    <t xml:space="preserve">Thép tấm, inox</t>
  </si>
  <si>
    <t xml:space="preserve">0401234567</t>
  </si>
  <si>
    <t xml:space="preserve">QUY TRÌNH 1 – TIẾP NHẬN &amp; XỬ LÝ YÊU CẦU CHECK GIÁ</t>
  </si>
  <si>
    <t xml:space="preserve">Nhập Mã dự án → tự kéo tên dự án. Nhập Hạn trả giá và Ngày trả giá thực tế → tự tính số ngày xử lý và đánh giá SLA. Đơn giá/giá trị chốt tự lấy từ báo giá được chọn.</t>
  </si>
  <si>
    <t xml:space="preserve">Mã YC</t>
  </si>
  <si>
    <t xml:space="preserve">Ngày nhận yêu cầu</t>
  </si>
  <si>
    <t xml:space="preserve">Người / Bộ phận yêu cầu</t>
  </si>
  <si>
    <t xml:space="preserve">Hạng mục cần check giá</t>
  </si>
  <si>
    <t xml:space="preserve">ĐVT</t>
  </si>
  <si>
    <t xml:space="preserve">Số lượng</t>
  </si>
  <si>
    <t xml:space="preserve">Đơn giá dự toán</t>
  </si>
  <si>
    <t xml:space="preserve">Giá trị dự toán</t>
  </si>
  <si>
    <t xml:space="preserve">Hạn trả giá</t>
  </si>
  <si>
    <t xml:space="preserve">Ngày trả giá thực tế</t>
  </si>
  <si>
    <t xml:space="preserve">Số ngày xử lý</t>
  </si>
  <si>
    <t xml:space="preserve">Trạng thái xử lý</t>
  </si>
  <si>
    <t xml:space="preserve">Đánh giá SLA</t>
  </si>
  <si>
    <t xml:space="preserve">Số NCC đã báo giá</t>
  </si>
  <si>
    <t xml:space="preserve">Đơn giá chốt</t>
  </si>
  <si>
    <t xml:space="preserve">Giá trị chốt</t>
  </si>
  <si>
    <t xml:space="preserve">Chênh lệch so dự toán</t>
  </si>
  <si>
    <t xml:space="preserve">Tình trạng lập PR</t>
  </si>
  <si>
    <t xml:space="preserve">YC-2026-001</t>
  </si>
  <si>
    <t xml:space="preserve">Phòng Dự án – Trần Văn Nam</t>
  </si>
  <si>
    <t xml:space="preserve">Thép tấm SS400 dày 10mm (1500x6000)</t>
  </si>
  <si>
    <t xml:space="preserve">Tấm</t>
  </si>
  <si>
    <t xml:space="preserve">Đã trả giá</t>
  </si>
  <si>
    <t xml:space="preserve">YC-2026-002</t>
  </si>
  <si>
    <t xml:space="preserve">Phòng Đấu thầu – Lê Thu Hằng</t>
  </si>
  <si>
    <t xml:space="preserve">Panel cách nhiệt PU 100mm</t>
  </si>
  <si>
    <t xml:space="preserve">m2</t>
  </si>
  <si>
    <t xml:space="preserve">Đang hỏi giá</t>
  </si>
  <si>
    <t xml:space="preserve">QUY TRÌNH 1 – SO SÁNH BÁO GIÁ NHÀ CUNG CẤP</t>
  </si>
  <si>
    <t xml:space="preserve">Mỗi dòng = 1 báo giá của 1 NCC cho 1 Mã YC. Nhập Mã YC + Mã NCC → tự kéo dự án, hạng mục, số lượng, dự toán, tên NCC, điều khoản TT.</t>
  </si>
  <si>
    <t xml:space="preserve">Mã báo giá</t>
  </si>
  <si>
    <t xml:space="preserve">Ngày báo giá</t>
  </si>
  <si>
    <t xml:space="preserve">Hạng mục (từ YC)</t>
  </si>
  <si>
    <t xml:space="preserve">Số lượng (từ YC)</t>
  </si>
  <si>
    <t xml:space="preserve">Giá trị dự toán (từ YC)</t>
  </si>
  <si>
    <t xml:space="preserve">Tên NCC</t>
  </si>
  <si>
    <t xml:space="preserve">Đơn giá báo giá</t>
  </si>
  <si>
    <t xml:space="preserve">Thành tiền</t>
  </si>
  <si>
    <t xml:space="preserve">Thời gian giao (ngày)</t>
  </si>
  <si>
    <t xml:space="preserve">Hiệu lực báo giá</t>
  </si>
  <si>
    <t xml:space="preserve">Giá thấp nhất của YC</t>
  </si>
  <si>
    <t xml:space="preserve">Chênh lệch so giá thấp nhất</t>
  </si>
  <si>
    <t xml:space="preserve">% chênh so dự toán</t>
  </si>
  <si>
    <t xml:space="preserve">NCC được chọn (x)</t>
  </si>
  <si>
    <t xml:space="preserve">Mã PR phát sinh</t>
  </si>
  <si>
    <t xml:space="preserve">BG-2026-001</t>
  </si>
  <si>
    <t xml:space="preserve">x</t>
  </si>
  <si>
    <t xml:space="preserve">BG-2026-002</t>
  </si>
  <si>
    <t xml:space="preserve">BG-2026-003</t>
  </si>
  <si>
    <t xml:space="preserve">QUY TRÌNH 2 – ĐỀ NGHỊ MUA HÀNG (PR)</t>
  </si>
  <si>
    <t xml:space="preserve">Nhập Mã YC → tự kéo dự án, bộ phận, hạng mục, ĐVT và đơn giá chốt từ bước check giá.</t>
  </si>
  <si>
    <t xml:space="preserve">Mã PR</t>
  </si>
  <si>
    <t xml:space="preserve">Ngày đề nghị</t>
  </si>
  <si>
    <t xml:space="preserve">Bộ phận yêu cầu</t>
  </si>
  <si>
    <t xml:space="preserve">Hạng mục / Mô tả</t>
  </si>
  <si>
    <t xml:space="preserve">Đơn giá chốt từ check giá</t>
  </si>
  <si>
    <t xml:space="preserve">Ngày cần hàng</t>
  </si>
  <si>
    <t xml:space="preserve">Trạng thái duyệt</t>
  </si>
  <si>
    <t xml:space="preserve">Người duyệt</t>
  </si>
  <si>
    <t xml:space="preserve">Ngày duyệt</t>
  </si>
  <si>
    <t xml:space="preserve">PR-2026-001</t>
  </si>
  <si>
    <t xml:space="preserve">Đã duyệt</t>
  </si>
  <si>
    <t xml:space="preserve">Giám đốc Dự án</t>
  </si>
  <si>
    <t xml:space="preserve">QUY TRÌNH 2 – PO MUA HÀNG / HỢP ĐỒNG – TIẾN ĐỘ &amp; CHẤT LƯỢNG</t>
  </si>
  <si>
    <t xml:space="preserve">Nhập Mã PR + Mã NCC → tự kéo dự án, hạng mục, bộ phận, dự toán, tên NCC, điều khoản TT. Nhập ngày cam kết/ngày nhận → tự đánh giá tiến độ; nhập SL nhận/SL lỗi → tự chấm chất lượng; hạn TT = ngày nhận + điều khoản NCC.</t>
  </si>
  <si>
    <t xml:space="preserve">Mã PO</t>
  </si>
  <si>
    <t xml:space="preserve">Ngày PO</t>
  </si>
  <si>
    <t xml:space="preserve">Hạng mục (từ PR)</t>
  </si>
  <si>
    <t xml:space="preserve">Số lượng đặt</t>
  </si>
  <si>
    <t xml:space="preserve">Đơn giá PO</t>
  </si>
  <si>
    <t xml:space="preserve">Giá trị PO</t>
  </si>
  <si>
    <t xml:space="preserve">Dự toán PR</t>
  </si>
  <si>
    <t xml:space="preserve">Tiết kiệm đàm phán</t>
  </si>
  <si>
    <t xml:space="preserve">Số hợp đồng</t>
  </si>
  <si>
    <t xml:space="preserve">Ngày ký hợp đồng</t>
  </si>
  <si>
    <t xml:space="preserve">Ngày giao cam kết</t>
  </si>
  <si>
    <t xml:space="preserve">Ngày nhận thực tế</t>
  </si>
  <si>
    <t xml:space="preserve">Đánh giá giao hàng</t>
  </si>
  <si>
    <t xml:space="preserve">Số ngày trễ</t>
  </si>
  <si>
    <t xml:space="preserve">SL nhận thực tế</t>
  </si>
  <si>
    <t xml:space="preserve">SL hàng lỗi</t>
  </si>
  <si>
    <t xml:space="preserve">Tỷ lệ hàng lỗi</t>
  </si>
  <si>
    <t xml:space="preserve">SL trả lại NCC</t>
  </si>
  <si>
    <t xml:space="preserve">Kết quả kiểm tra CL</t>
  </si>
  <si>
    <t xml:space="preserve">PO-2026-001</t>
  </si>
  <si>
    <t xml:space="preserve">05/2026/HĐMB-THNG</t>
  </si>
  <si>
    <t xml:space="preserve">QUY TRÌNH 3 – THANH TOÁN NHÀ CUNG CẤP (SỔ CHI TIỀN)</t>
  </si>
  <si>
    <t xml:space="preserve">Một PO chi nhiều đợt = nhiều dòng. Nhập Mã PO → tự kéo dự án, NCC, giá trị PO; luỹ kế và còn phải trả tự tính.</t>
  </si>
  <si>
    <t xml:space="preserve">Mã phiếu chi</t>
  </si>
  <si>
    <t xml:space="preserve">Ngày thanh toán</t>
  </si>
  <si>
    <t xml:space="preserve">Số tiền thanh toán</t>
  </si>
  <si>
    <t xml:space="preserve">Đợt thanh toán</t>
  </si>
  <si>
    <t xml:space="preserve">Luỹ kế đã trả cho PO</t>
  </si>
  <si>
    <t xml:space="preserve">Còn phải trả của PO</t>
  </si>
  <si>
    <t xml:space="preserve">Hình thức</t>
  </si>
  <si>
    <t xml:space="preserve">Số chứng từ NH</t>
  </si>
  <si>
    <t xml:space="preserve">Nội dung / Ghi chú</t>
  </si>
  <si>
    <t xml:space="preserve">PC-2026-001</t>
  </si>
  <si>
    <t xml:space="preserve">Chuyển khoản</t>
  </si>
  <si>
    <t xml:space="preserve">UNC 0125</t>
  </si>
  <si>
    <t xml:space="preserve">Tạm ứng đợt 1 – VÍ DỤ MẪU, XOÁ TRƯỚC KHI DÙNG THẬT</t>
  </si>
  <si>
    <t xml:space="preserve">PC-2026-002</t>
  </si>
  <si>
    <t xml:space="preserve">UNC 0198</t>
  </si>
  <si>
    <t xml:space="preserve">Thanh toán đợt 2 – VÍ DỤ MẪU, XOÁ TRƯỚC KHI DÙNG THẬT</t>
  </si>
  <si>
    <t xml:space="preserve">QUY TRÌNH 3 – CÔNG NỢ PHẢI TRẢ NHÀ CUNG CẤP</t>
  </si>
  <si>
    <t xml:space="preserve">Sheet 100% công thức – KHÔNG nhập tay. Tự tổng hợp theo từng dòng PO và số tiền đã chi.</t>
  </si>
  <si>
    <t xml:space="preserve">Ngày nhận hàng</t>
  </si>
  <si>
    <t xml:space="preserve">Số ngày quá hạn</t>
  </si>
  <si>
    <t xml:space="preserve">Nhóm tuổi nợ</t>
  </si>
  <si>
    <t xml:space="preserve">Trạng thái</t>
  </si>
  <si>
    <t xml:space="preserve">BÁO CÁO MUA HÀNG THEO THÁNG</t>
  </si>
  <si>
    <t xml:space="preserve">Sheet 100% công thức. Đổi năm tại ô vàng "Tổng quan"!C7 để cả bảng tự cập nhật.</t>
  </si>
  <si>
    <t xml:space="preserve">Tháng</t>
  </si>
  <si>
    <t xml:space="preserve">Từ ngày</t>
  </si>
  <si>
    <t xml:space="preserve">Đến ngày</t>
  </si>
  <si>
    <t xml:space="preserve">Số YC check giá nhận</t>
  </si>
  <si>
    <t xml:space="preserve">Số YC trả đúng hạn</t>
  </si>
  <si>
    <t xml:space="preserve">Tỷ lệ trả giá đúng hạn</t>
  </si>
  <si>
    <t xml:space="preserve">Giá trị dự toán YC</t>
  </si>
  <si>
    <t xml:space="preserve">Số PR</t>
  </si>
  <si>
    <t xml:space="preserve">Giá trị PR (dự toán)</t>
  </si>
  <si>
    <t xml:space="preserve">Số PO</t>
  </si>
  <si>
    <t xml:space="preserve">Giá trị PO phát hành</t>
  </si>
  <si>
    <t xml:space="preserve">Số PO đến hạn giao</t>
  </si>
  <si>
    <t xml:space="preserve">Tỷ lệ giao đúng hạn</t>
  </si>
  <si>
    <t xml:space="preserve">Số lô đã kiểm tra CL</t>
  </si>
  <si>
    <t xml:space="preserve">Số lô đạt chất lượng</t>
  </si>
  <si>
    <t xml:space="preserve">Tỷ lệ đạt chất lượng</t>
  </si>
  <si>
    <t xml:space="preserve">Tiền đã chi cho NCC</t>
  </si>
  <si>
    <t xml:space="preserve">TỔNG</t>
  </si>
  <si>
    <t xml:space="preserve">THỐNG KÊ THEO NHÀ CUNG CẤP</t>
  </si>
  <si>
    <t xml:space="preserve">Sheet 100% công thức – tự tổng hợp theo danh mục "Nhà cung cấp".</t>
  </si>
  <si>
    <t xml:space="preserve">Đánh giá</t>
  </si>
  <si>
    <t xml:space="preserve">Số báo giá tham gia</t>
  </si>
  <si>
    <t xml:space="preserve">Số báo giá trúng</t>
  </si>
  <si>
    <t xml:space="preserve">Tỷ lệ trúng thầu</t>
  </si>
  <si>
    <t xml:space="preserve">Giá trị mua (PO)</t>
  </si>
  <si>
    <t xml:space="preserve">Tiết kiệm mang lại</t>
  </si>
  <si>
    <t xml:space="preserve">SL nhận</t>
  </si>
  <si>
    <t xml:space="preserve">Công nợ còn phải trả</t>
  </si>
  <si>
    <t xml:space="preserve">Trong đó nợ quá hạn</t>
  </si>
  <si>
    <t xml:space="preserve">THỐNG KÊ THEO DỰ ÁN</t>
  </si>
  <si>
    <t xml:space="preserve">Sheet 100% công thức – tự tổng hợp theo danh mục "Dự án".</t>
  </si>
  <si>
    <t xml:space="preserve">Chủ đầu tư</t>
  </si>
  <si>
    <t xml:space="preserve">Số YC check giá</t>
  </si>
  <si>
    <t xml:space="preserve">Số YC chưa trả giá</t>
  </si>
  <si>
    <t xml:space="preserve">Giá trị dự toán PR</t>
  </si>
  <si>
    <t xml:space="preserve">% sử dụng ngân sách</t>
  </si>
  <si>
    <t xml:space="preserve">Ngân sách còn lại</t>
  </si>
  <si>
    <t xml:space="preserve">Nợ quá hạn</t>
  </si>
</sst>
</file>

<file path=xl/styles.xml><?xml version="1.0" encoding="utf-8"?>
<styleSheet xmlns="http://schemas.openxmlformats.org/spreadsheetml/2006/main">
  <numFmts count="6">
    <numFmt numFmtId="164" formatCode="General"/>
    <numFmt numFmtId="165" formatCode="0"/>
    <numFmt numFmtId="166" formatCode="0.0%"/>
    <numFmt numFmtId="167" formatCode="dd/mm/yyyy"/>
    <numFmt numFmtId="168" formatCode="#,##0"/>
    <numFmt numFmtId="169" formatCode="0.0"/>
  </numFmts>
  <fonts count="19">
    <font>
      <sz val="11"/>
      <color theme="1"/>
      <name val="Calibri"/>
      <family val="2"/>
      <charset val="1"/>
    </font>
    <font>
      <sz val="10"/>
      <name val="Arial"/>
      <family val="0"/>
    </font>
    <font>
      <sz val="10"/>
      <name val="Arial"/>
      <family val="0"/>
    </font>
    <font>
      <sz val="10"/>
      <name val="Arial"/>
      <family val="0"/>
    </font>
    <font>
      <b val="true"/>
      <sz val="18"/>
      <color rgb="FF1F4E79"/>
      <name val="Arial"/>
      <family val="0"/>
      <charset val="1"/>
    </font>
    <font>
      <i val="true"/>
      <sz val="10"/>
      <color rgb="FF808080"/>
      <name val="Arial"/>
      <family val="0"/>
      <charset val="1"/>
    </font>
    <font>
      <b val="true"/>
      <sz val="11"/>
      <color rgb="FFFFFFFF"/>
      <name val="Arial"/>
      <family val="0"/>
      <charset val="1"/>
    </font>
    <font>
      <sz val="10"/>
      <name val="Arial"/>
      <family val="0"/>
      <charset val="1"/>
    </font>
    <font>
      <b val="true"/>
      <sz val="10"/>
      <color rgb="FF0000FF"/>
      <name val="Arial"/>
      <family val="0"/>
      <charset val="1"/>
    </font>
    <font>
      <i val="true"/>
      <sz val="9"/>
      <color rgb="FF808080"/>
      <name val="Arial"/>
      <family val="0"/>
      <charset val="1"/>
    </font>
    <font>
      <b val="true"/>
      <sz val="10"/>
      <color rgb="FF000000"/>
      <name val="Arial"/>
      <family val="0"/>
      <charset val="1"/>
    </font>
    <font>
      <b val="true"/>
      <sz val="10"/>
      <color rgb="FFC00000"/>
      <name val="Arial"/>
      <family val="0"/>
      <charset val="1"/>
    </font>
    <font>
      <b val="true"/>
      <i val="true"/>
      <sz val="9"/>
      <color rgb="FFC00000"/>
      <name val="Arial"/>
      <family val="0"/>
      <charset val="1"/>
    </font>
    <font>
      <b val="true"/>
      <sz val="16"/>
      <color rgb="FF1F4E79"/>
      <name val="Arial"/>
      <family val="0"/>
      <charset val="1"/>
    </font>
    <font>
      <b val="true"/>
      <sz val="10"/>
      <name val="Arial"/>
      <family val="0"/>
      <charset val="1"/>
    </font>
    <font>
      <sz val="10"/>
      <color rgb="FF0000FF"/>
      <name val="Arial"/>
      <family val="0"/>
      <charset val="1"/>
    </font>
    <font>
      <sz val="10"/>
      <color rgb="FF000000"/>
      <name val="Arial"/>
      <family val="0"/>
      <charset val="1"/>
    </font>
    <font>
      <b val="true"/>
      <sz val="14"/>
      <color rgb="FF1F4E79"/>
      <name val="Arial"/>
      <family val="0"/>
      <charset val="1"/>
    </font>
    <font>
      <b val="true"/>
      <sz val="10"/>
      <color rgb="FFFFFFFF"/>
      <name val="Arial"/>
      <family val="0"/>
      <charset val="1"/>
    </font>
  </fonts>
  <fills count="8">
    <fill>
      <patternFill patternType="none"/>
    </fill>
    <fill>
      <patternFill patternType="gray125"/>
    </fill>
    <fill>
      <patternFill patternType="solid">
        <fgColor rgb="FF1F4E79"/>
        <bgColor rgb="FF003366"/>
      </patternFill>
    </fill>
    <fill>
      <patternFill patternType="solid">
        <fgColor rgb="FFFFFF00"/>
        <bgColor rgb="FFFFFF00"/>
      </patternFill>
    </fill>
    <fill>
      <patternFill patternType="solid">
        <fgColor rgb="FF2E75B6"/>
        <bgColor rgb="FF0066CC"/>
      </patternFill>
    </fill>
    <fill>
      <patternFill patternType="solid">
        <fgColor rgb="FF375623"/>
        <bgColor rgb="FF333300"/>
      </patternFill>
    </fill>
    <fill>
      <patternFill patternType="solid">
        <fgColor rgb="FFED7D31"/>
        <bgColor rgb="FFFF808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right" vertical="bottom" textRotation="0" wrapText="false" indent="0" shrinkToFit="false"/>
      <protection locked="true" hidden="false"/>
    </xf>
    <xf numFmtId="165" fontId="8" fillId="3"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right" vertical="bottom" textRotation="0" wrapText="false" indent="0" shrinkToFit="false"/>
      <protection locked="true" hidden="false"/>
    </xf>
    <xf numFmtId="167" fontId="10" fillId="0"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bottom" textRotation="0" wrapText="false" indent="0" shrinkToFit="false"/>
      <protection locked="true" hidden="false"/>
    </xf>
    <xf numFmtId="168" fontId="11" fillId="0" borderId="1" xfId="0" applyFont="true" applyBorder="true" applyAlignment="true" applyProtection="false">
      <alignment horizontal="right" vertical="bottom" textRotation="0" wrapText="fals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69" fontId="10" fillId="0" borderId="1" xfId="0" applyFont="true" applyBorder="true" applyAlignment="true" applyProtection="false">
      <alignment horizontal="right"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right"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false" indent="0" shrinkToFit="false"/>
      <protection locked="true" hidden="false"/>
    </xf>
    <xf numFmtId="167" fontId="15" fillId="0" borderId="1" xfId="0" applyFont="true" applyBorder="true" applyAlignment="true" applyProtection="false">
      <alignment horizontal="general" vertical="center" textRotation="0" wrapText="false" indent="0" shrinkToFit="false"/>
      <protection locked="true" hidden="false"/>
    </xf>
    <xf numFmtId="168" fontId="15" fillId="0"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8" fontId="16" fillId="0" borderId="1" xfId="0" applyFont="true" applyBorder="true" applyAlignment="true" applyProtection="false">
      <alignment horizontal="general" vertical="center" textRotation="0" wrapText="false" indent="0" shrinkToFit="false"/>
      <protection locked="true" hidden="false"/>
    </xf>
    <xf numFmtId="166" fontId="16" fillId="0" borderId="1" xfId="0" applyFont="true" applyBorder="true" applyAlignment="true" applyProtection="false">
      <alignment horizontal="general" vertical="center"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7" fontId="16" fillId="0" borderId="1" xfId="0" applyFont="true" applyBorder="true" applyAlignment="true" applyProtection="false">
      <alignment horizontal="general" vertical="center" textRotation="0" wrapText="fals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false" applyProtection="false">
      <alignment horizontal="general" vertical="bottom" textRotation="0" wrapText="false" indent="0" shrinkToFit="false"/>
      <protection locked="true" hidden="false"/>
    </xf>
    <xf numFmtId="168" fontId="16" fillId="0" borderId="1" xfId="0" applyFont="true" applyBorder="tru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7" fontId="10" fillId="7" borderId="1" xfId="0" applyFont="true" applyBorder="true" applyAlignment="false" applyProtection="false">
      <alignment horizontal="general" vertical="bottom" textRotation="0" wrapText="false" indent="0" shrinkToFit="false"/>
      <protection locked="true" hidden="false"/>
    </xf>
    <xf numFmtId="168" fontId="10" fillId="7" borderId="1" xfId="0" applyFont="true" applyBorder="true" applyAlignment="false" applyProtection="false">
      <alignment horizontal="general" vertical="bottom" textRotation="0" wrapText="false" indent="0" shrinkToFit="false"/>
      <protection locked="true" hidden="false"/>
    </xf>
    <xf numFmtId="166" fontId="10" fillId="7"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ED7D31"/>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2E75B6"/>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0000"/>
          <bgColor rgb="FF000000"/>
        </patternFill>
      </fill>
    </dxf>
    <dxf>
      <fill>
        <patternFill>
          <bgColor rgb="FFFFC7CE"/>
        </patternFill>
      </fill>
    </dxf>
    <dxf>
      <fill>
        <patternFill>
          <bgColor rgb="FFC6EFCE"/>
        </patternFill>
      </fill>
    </dxf>
    <dxf>
      <font>
        <name val="Arial"/>
        <charset val="1"/>
        <family val="0"/>
        <b val="1"/>
        <color rgb="FF006100"/>
      </font>
    </dxf>
    <dxf>
      <fill>
        <patternFill patternType="solid">
          <fgColor rgb="FF1F4E79"/>
          <bgColor rgb="FF000000"/>
        </patternFill>
      </fill>
    </dxf>
    <dxf>
      <font>
        <name val="Arial"/>
        <charset val="1"/>
        <family val="0"/>
        <i val="1"/>
        <color rgb="FF808080"/>
      </font>
    </dxf>
    <dxf>
      <font>
        <name val="Arial"/>
        <charset val="1"/>
        <family val="0"/>
        <b val="1"/>
        <color rgb="FFC00000"/>
      </font>
    </dxf>
    <dxf>
      <fill>
        <patternFill patternType="solid">
          <fgColor rgb="FF375623"/>
          <bgColor rgb="FF000000"/>
        </patternFill>
      </fill>
    </dxf>
    <dxf>
      <font>
        <name val="Arial"/>
        <charset val="1"/>
        <family val="0"/>
        <b val="1"/>
        <color rgb="FFC00000"/>
      </font>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2E75B6"/>
      <rgbColor rgb="FF33CCCC"/>
      <rgbColor rgb="FF99CC00"/>
      <rgbColor rgb="FFFFCC00"/>
      <rgbColor rgb="FFFF9900"/>
      <rgbColor rgb="FFED7D31"/>
      <rgbColor rgb="FF666699"/>
      <rgbColor rgb="FF969696"/>
      <rgbColor rgb="FF003366"/>
      <rgbColor rgb="FF339966"/>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D6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4"/>
    <col collapsed="false" customWidth="true" hidden="false" outlineLevel="0" max="3" min="3" style="0" width="22"/>
    <col collapsed="false" customWidth="true" hidden="false" outlineLevel="0" max="4" min="4" style="0" width="58"/>
  </cols>
  <sheetData>
    <row r="1" customFormat="false" ht="22.0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row>
    <row r="5" customFormat="false" ht="15" hidden="false" customHeight="false" outlineLevel="0" collapsed="false">
      <c r="B5" s="5" t="s">
        <v>3</v>
      </c>
      <c r="C5" s="6" t="s">
        <v>4</v>
      </c>
    </row>
    <row r="6" customFormat="false" ht="15" hidden="false" customHeight="false" outlineLevel="0" collapsed="false">
      <c r="B6" s="5" t="s">
        <v>5</v>
      </c>
      <c r="C6" s="6" t="s">
        <v>6</v>
      </c>
    </row>
    <row r="7" customFormat="false" ht="15" hidden="false" customHeight="false" outlineLevel="0" collapsed="false">
      <c r="B7" s="5" t="s">
        <v>7</v>
      </c>
      <c r="C7" s="7" t="n">
        <v>2026</v>
      </c>
      <c r="D7" s="8" t="s">
        <v>8</v>
      </c>
    </row>
    <row r="8" customFormat="false" ht="15" hidden="false" customHeight="false" outlineLevel="0" collapsed="false">
      <c r="B8" s="5" t="s">
        <v>9</v>
      </c>
      <c r="C8" s="9" t="n">
        <v>0.02</v>
      </c>
      <c r="D8" s="8" t="s">
        <v>10</v>
      </c>
    </row>
    <row r="9" customFormat="false" ht="15" hidden="false" customHeight="false" outlineLevel="0" collapsed="false">
      <c r="B9" s="5" t="s">
        <v>11</v>
      </c>
      <c r="C9" s="10" t="n">
        <f aca="true">TODAY()</f>
        <v>46234</v>
      </c>
      <c r="D9" s="8" t="s">
        <v>12</v>
      </c>
    </row>
    <row r="11" customFormat="false" ht="15" hidden="false" customHeight="false" outlineLevel="0" collapsed="false">
      <c r="B11" s="11" t="s">
        <v>13</v>
      </c>
      <c r="C11" s="12"/>
    </row>
    <row r="12" customFormat="false" ht="15" hidden="false" customHeight="false" outlineLevel="0" collapsed="false">
      <c r="B12" s="5" t="s">
        <v>14</v>
      </c>
      <c r="C12" s="13" t="n">
        <f aca="false">COUNTIF('Check giá'!$A$4:$A$203,"?*")</f>
        <v>2</v>
      </c>
    </row>
    <row r="13" customFormat="false" ht="15" hidden="false" customHeight="false" outlineLevel="0" collapsed="false">
      <c r="B13" s="5" t="s">
        <v>15</v>
      </c>
      <c r="C13" s="13" t="n">
        <f aca="false">COUNTIF('Check giá'!$N$4:$N$203,"Đã trả giá")</f>
        <v>1</v>
      </c>
    </row>
    <row r="14" customFormat="false" ht="15" hidden="false" customHeight="false" outlineLevel="0" collapsed="false">
      <c r="B14" s="5" t="s">
        <v>16</v>
      </c>
      <c r="C14" s="13" t="n">
        <f aca="false">COUNTIF('Check giá'!$O$4:$O$203,"Đang xử lý")</f>
        <v>0</v>
      </c>
    </row>
    <row r="15" customFormat="false" ht="15" hidden="false" customHeight="false" outlineLevel="0" collapsed="false">
      <c r="B15" s="5" t="s">
        <v>17</v>
      </c>
      <c r="C15" s="14" t="n">
        <f aca="false">COUNTIF('Check giá'!$O$4:$O$203,"Quá hạn chưa trả")</f>
        <v>1</v>
      </c>
    </row>
    <row r="16" customFormat="false" ht="15" hidden="false" customHeight="false" outlineLevel="0" collapsed="false">
      <c r="B16" s="5" t="s">
        <v>18</v>
      </c>
      <c r="C16" s="15" t="n">
        <f aca="false">IFERROR(COUNTIF('Check giá'!$O$4:$O$203,"Đúng hạn")/(COUNTIF('Check giá'!$O$4:$O$203,"Đúng hạn")+COUNTIF('Check giá'!$O$4:$O$203,"Trả trễ")),"")</f>
        <v>1</v>
      </c>
    </row>
    <row r="17" customFormat="false" ht="15" hidden="false" customHeight="false" outlineLevel="0" collapsed="false">
      <c r="B17" s="5" t="s">
        <v>19</v>
      </c>
      <c r="C17" s="16" t="n">
        <f aca="false">IFERROR(AVERAGEIFS('Check giá'!$M$4:$M$203,'Check giá'!$M$4:$M$203,"&gt;=0"),"")</f>
        <v>5</v>
      </c>
    </row>
    <row r="18" customFormat="false" ht="15" hidden="false" customHeight="false" outlineLevel="0" collapsed="false">
      <c r="B18" s="5" t="s">
        <v>20</v>
      </c>
      <c r="C18" s="16" t="n">
        <f aca="false">IFERROR(AVERAGEIFS('Check giá'!$P$4:$P$203,'Check giá'!$A$4:$A$203,"?*"),"")</f>
        <v>1.5</v>
      </c>
    </row>
    <row r="19" customFormat="false" ht="15" hidden="false" customHeight="false" outlineLevel="0" collapsed="false">
      <c r="B19" s="5" t="s">
        <v>21</v>
      </c>
      <c r="C19" s="13" t="n">
        <f aca="false">SUM('Check giá'!$J$4:$J$203)</f>
        <v>1366000000</v>
      </c>
    </row>
    <row r="20" customFormat="false" ht="15" hidden="false" customHeight="false" outlineLevel="0" collapsed="false">
      <c r="B20" s="5" t="s">
        <v>22</v>
      </c>
      <c r="C20" s="13" t="n">
        <f aca="false">SUM('Check giá'!$R$4:$R$203)</f>
        <v>236000000</v>
      </c>
    </row>
    <row r="21" customFormat="false" ht="15" hidden="false" customHeight="false" outlineLevel="0" collapsed="false">
      <c r="B21" s="5" t="s">
        <v>23</v>
      </c>
      <c r="C21" s="13" t="n">
        <f aca="false">SUM('Check giá'!$S$4:$S$203)</f>
        <v>-14000000</v>
      </c>
      <c r="D21" s="8" t="s">
        <v>24</v>
      </c>
    </row>
    <row r="23" customFormat="false" ht="15" hidden="false" customHeight="false" outlineLevel="0" collapsed="false">
      <c r="B23" s="3" t="s">
        <v>25</v>
      </c>
      <c r="C23" s="4"/>
    </row>
    <row r="24" customFormat="false" ht="15" hidden="false" customHeight="false" outlineLevel="0" collapsed="false">
      <c r="B24" s="5" t="s">
        <v>26</v>
      </c>
      <c r="C24" s="13" t="n">
        <f aca="false">COUNTIF(PR!$A$4:$A$203,"?*")</f>
        <v>1</v>
      </c>
    </row>
    <row r="25" customFormat="false" ht="15" hidden="false" customHeight="false" outlineLevel="0" collapsed="false">
      <c r="B25" s="5" t="s">
        <v>27</v>
      </c>
      <c r="C25" s="13" t="n">
        <f aca="false">COUNTIF(PR!$N$4:$N$203,"Đã duyệt")</f>
        <v>1</v>
      </c>
    </row>
    <row r="26" customFormat="false" ht="15" hidden="false" customHeight="false" outlineLevel="0" collapsed="false">
      <c r="B26" s="5" t="s">
        <v>28</v>
      </c>
      <c r="C26" s="13" t="n">
        <f aca="false">SUM(PR!$L$4:$L$203)</f>
        <v>250000000</v>
      </c>
    </row>
    <row r="27" customFormat="false" ht="15" hidden="false" customHeight="false" outlineLevel="0" collapsed="false">
      <c r="B27" s="5" t="s">
        <v>29</v>
      </c>
      <c r="C27" s="13" t="n">
        <f aca="false">COUNTIF(PO!$A$4:$A$203,"?*")</f>
        <v>1</v>
      </c>
    </row>
    <row r="28" customFormat="false" ht="15" hidden="false" customHeight="false" outlineLevel="0" collapsed="false">
      <c r="B28" s="5" t="s">
        <v>30</v>
      </c>
      <c r="C28" s="13" t="n">
        <f aca="false">SUM(PO!$L$4:$L$203)</f>
        <v>236000000</v>
      </c>
    </row>
    <row r="29" customFormat="false" ht="15" hidden="false" customHeight="false" outlineLevel="0" collapsed="false">
      <c r="B29" s="5" t="s">
        <v>31</v>
      </c>
      <c r="C29" s="13" t="n">
        <f aca="false">SUM(PO!$M$4:$M$203)</f>
        <v>250000000</v>
      </c>
    </row>
    <row r="30" customFormat="false" ht="15" hidden="false" customHeight="false" outlineLevel="0" collapsed="false">
      <c r="B30" s="5" t="s">
        <v>32</v>
      </c>
      <c r="C30" s="13" t="n">
        <f aca="false">SUM(PO!$N$4:$N$203)</f>
        <v>14000000</v>
      </c>
      <c r="D30" s="8" t="s">
        <v>33</v>
      </c>
    </row>
    <row r="31" customFormat="false" ht="15" hidden="false" customHeight="false" outlineLevel="0" collapsed="false">
      <c r="B31" s="5" t="s">
        <v>34</v>
      </c>
      <c r="C31" s="15" t="n">
        <f aca="false">IFERROR($C$30/$C$29,"")</f>
        <v>0.056</v>
      </c>
    </row>
    <row r="33" customFormat="false" ht="15" hidden="false" customHeight="false" outlineLevel="0" collapsed="false">
      <c r="B33" s="3" t="s">
        <v>35</v>
      </c>
      <c r="C33" s="4"/>
    </row>
    <row r="34" customFormat="false" ht="15" hidden="false" customHeight="false" outlineLevel="0" collapsed="false">
      <c r="B34" s="5" t="s">
        <v>36</v>
      </c>
      <c r="C34" s="13" t="n">
        <f aca="false">COUNTIF(PO!$S$4:$S$203,"Đúng hạn")+COUNTIF(PO!$S$4:$S$203,"Giao trễ")+COUNTIF(PO!$S$4:$S$203,"Trễ hạn")</f>
        <v>1</v>
      </c>
    </row>
    <row r="35" customFormat="false" ht="15" hidden="false" customHeight="false" outlineLevel="0" collapsed="false">
      <c r="B35" s="5" t="s">
        <v>37</v>
      </c>
      <c r="C35" s="13" t="n">
        <f aca="false">COUNTIF(PO!$S$4:$S$203,"Đúng hạn")</f>
        <v>0</v>
      </c>
    </row>
    <row r="36" customFormat="false" ht="15" hidden="false" customHeight="false" outlineLevel="0" collapsed="false">
      <c r="B36" s="5" t="s">
        <v>38</v>
      </c>
      <c r="C36" s="14" t="n">
        <f aca="false">COUNTIF(PO!$S$4:$S$203,"Giao trễ")</f>
        <v>1</v>
      </c>
    </row>
    <row r="37" customFormat="false" ht="15" hidden="false" customHeight="false" outlineLevel="0" collapsed="false">
      <c r="B37" s="5" t="s">
        <v>39</v>
      </c>
      <c r="C37" s="14" t="n">
        <f aca="false">COUNTIF(PO!$S$4:$S$203,"Trễ hạn")</f>
        <v>0</v>
      </c>
    </row>
    <row r="38" customFormat="false" ht="15" hidden="false" customHeight="false" outlineLevel="0" collapsed="false">
      <c r="B38" s="5" t="s">
        <v>40</v>
      </c>
      <c r="C38" s="15" t="n">
        <f aca="false">IFERROR($C$35/$C$34,"")</f>
        <v>0</v>
      </c>
      <c r="D38" s="8" t="s">
        <v>41</v>
      </c>
    </row>
    <row r="39" customFormat="false" ht="15" hidden="false" customHeight="false" outlineLevel="0" collapsed="false">
      <c r="B39" s="5" t="s">
        <v>42</v>
      </c>
      <c r="C39" s="13" t="n">
        <f aca="false">COUNTIF(PO!$Y$4:$Y$203,"Đạt")+COUNTIF(PO!$Y$4:$Y$203,"Không đạt")</f>
        <v>1</v>
      </c>
    </row>
    <row r="40" customFormat="false" ht="15" hidden="false" customHeight="false" outlineLevel="0" collapsed="false">
      <c r="B40" s="5" t="s">
        <v>43</v>
      </c>
      <c r="C40" s="13" t="n">
        <f aca="false">COUNTIF(PO!$Y$4:$Y$203,"Đạt")</f>
        <v>1</v>
      </c>
    </row>
    <row r="41" customFormat="false" ht="15" hidden="false" customHeight="false" outlineLevel="0" collapsed="false">
      <c r="B41" s="5" t="s">
        <v>44</v>
      </c>
      <c r="C41" s="15" t="n">
        <f aca="false">IFERROR($C$40/$C$39,"")</f>
        <v>1</v>
      </c>
    </row>
    <row r="42" customFormat="false" ht="15" hidden="false" customHeight="false" outlineLevel="0" collapsed="false">
      <c r="B42" s="5" t="s">
        <v>45</v>
      </c>
      <c r="C42" s="15" t="n">
        <f aca="false">IFERROR(SUM(PO!$V$4:$V$203)/SUM(PO!$U$4:$U$203),"")</f>
        <v>0.015</v>
      </c>
    </row>
    <row r="44" customFormat="false" ht="15" hidden="false" customHeight="false" outlineLevel="0" collapsed="false">
      <c r="B44" s="17" t="s">
        <v>46</v>
      </c>
      <c r="C44" s="18"/>
    </row>
    <row r="45" customFormat="false" ht="15" hidden="false" customHeight="false" outlineLevel="0" collapsed="false">
      <c r="B45" s="5" t="s">
        <v>47</v>
      </c>
      <c r="C45" s="13" t="n">
        <f aca="false">$C$28</f>
        <v>236000000</v>
      </c>
    </row>
    <row r="46" customFormat="false" ht="15" hidden="false" customHeight="false" outlineLevel="0" collapsed="false">
      <c r="B46" s="5" t="s">
        <v>48</v>
      </c>
      <c r="C46" s="13" t="n">
        <f aca="false">SUM('Thanh toán'!$H$4:$H$203)</f>
        <v>180000000</v>
      </c>
    </row>
    <row r="47" customFormat="false" ht="15" hidden="false" customHeight="false" outlineLevel="0" collapsed="false">
      <c r="B47" s="5" t="s">
        <v>49</v>
      </c>
      <c r="C47" s="13" t="n">
        <f aca="false">SUM('Công nợ'!$I$4:$I$203)</f>
        <v>56000000</v>
      </c>
    </row>
    <row r="48" customFormat="false" ht="15" hidden="false" customHeight="false" outlineLevel="0" collapsed="false">
      <c r="B48" s="5" t="s">
        <v>50</v>
      </c>
      <c r="C48" s="14" t="n">
        <f aca="false">SUMIFS('Công nợ'!$I$4:$I$203,'Công nợ'!$K$4:$K$203,"&gt;0")</f>
        <v>56000000</v>
      </c>
    </row>
    <row r="49" customFormat="false" ht="15" hidden="false" customHeight="false" outlineLevel="0" collapsed="false">
      <c r="B49" s="5" t="s">
        <v>51</v>
      </c>
      <c r="C49" s="19" t="n">
        <f aca="false">IFERROR($C$48/$C$47,"")</f>
        <v>1</v>
      </c>
    </row>
    <row r="51" customFormat="false" ht="15" hidden="false" customHeight="false" outlineLevel="0" collapsed="false">
      <c r="B51" s="17" t="s">
        <v>52</v>
      </c>
      <c r="C51" s="18"/>
    </row>
    <row r="52" customFormat="false" ht="15" hidden="false" customHeight="false" outlineLevel="0" collapsed="false">
      <c r="B52" s="5" t="s">
        <v>53</v>
      </c>
      <c r="C52" s="13" t="n">
        <f aca="false">SUMIFS('Công nợ'!$I$4:$I$203,'Công nợ'!$K$4:$K$203,"&gt;=1",'Công nợ'!$K$4:$K$203,"&lt;=30")</f>
        <v>0</v>
      </c>
    </row>
    <row r="53" customFormat="false" ht="15" hidden="false" customHeight="false" outlineLevel="0" collapsed="false">
      <c r="B53" s="5" t="s">
        <v>54</v>
      </c>
      <c r="C53" s="13" t="n">
        <f aca="false">SUMIFS('Công nợ'!$I$4:$I$203,'Công nợ'!$K$4:$K$203,"&gt;=31",'Công nợ'!$K$4:$K$203,"&lt;=60")</f>
        <v>0</v>
      </c>
    </row>
    <row r="54" customFormat="false" ht="15" hidden="false" customHeight="false" outlineLevel="0" collapsed="false">
      <c r="B54" s="5" t="s">
        <v>55</v>
      </c>
      <c r="C54" s="13" t="n">
        <f aca="false">SUMIFS('Công nợ'!$I$4:$I$203,'Công nợ'!$K$4:$K$203,"&gt;=61",'Công nợ'!$K$4:$K$203,"&lt;=90")</f>
        <v>0</v>
      </c>
    </row>
    <row r="55" customFormat="false" ht="15" hidden="false" customHeight="false" outlineLevel="0" collapsed="false">
      <c r="B55" s="5" t="s">
        <v>56</v>
      </c>
      <c r="C55" s="13" t="n">
        <f aca="false">SUMIFS('Công nợ'!$I$4:$I$203,'Công nợ'!$K$4:$K$203,"&gt;90")</f>
        <v>56000000</v>
      </c>
    </row>
    <row r="56" customFormat="false" ht="15" hidden="false" customHeight="false" outlineLevel="0" collapsed="false">
      <c r="B56" s="5" t="s">
        <v>57</v>
      </c>
      <c r="C56" s="14" t="n">
        <f aca="false">SUM($C$52:$C$55)</f>
        <v>56000000</v>
      </c>
    </row>
    <row r="57" customFormat="false" ht="15" hidden="false" customHeight="false" outlineLevel="0" collapsed="false">
      <c r="B57" s="5" t="s">
        <v>58</v>
      </c>
      <c r="C57" s="13" t="n">
        <f aca="false">SUMIFS('Công nợ'!$I$4:$I$203,'Công nợ'!$L$4:$L$203,"Trong hạn")</f>
        <v>0</v>
      </c>
    </row>
    <row r="59" customFormat="false" ht="15" hidden="false" customHeight="false" outlineLevel="0" collapsed="false">
      <c r="B59" s="20" t="s">
        <v>59</v>
      </c>
      <c r="C59" s="21"/>
    </row>
    <row r="60" customFormat="false" ht="15" hidden="false" customHeight="false" outlineLevel="0" collapsed="false">
      <c r="B60" s="5" t="s">
        <v>60</v>
      </c>
      <c r="C60" s="13" t="n">
        <f aca="false">COUNTIF('Dự án'!$A$4:$A$203,"?*")</f>
        <v>2</v>
      </c>
    </row>
    <row r="61" customFormat="false" ht="15" hidden="false" customHeight="false" outlineLevel="0" collapsed="false">
      <c r="B61" s="5" t="s">
        <v>61</v>
      </c>
      <c r="C61" s="13" t="n">
        <f aca="false">COUNTIF('Dự án'!$H$4:$H$203,"Đang thực hiện")</f>
        <v>1</v>
      </c>
    </row>
    <row r="62" customFormat="false" ht="15" hidden="false" customHeight="false" outlineLevel="0" collapsed="false">
      <c r="B62" s="5" t="s">
        <v>62</v>
      </c>
      <c r="C62" s="13" t="n">
        <f aca="false">SUM('Dự án'!$G$4:$G$203)</f>
        <v>8200000000</v>
      </c>
    </row>
    <row r="63" customFormat="false" ht="15" hidden="false" customHeight="false" outlineLevel="0" collapsed="false">
      <c r="B63" s="5" t="s">
        <v>63</v>
      </c>
      <c r="C63" s="13" t="n">
        <f aca="false">$C$28</f>
        <v>236000000</v>
      </c>
    </row>
    <row r="64" customFormat="false" ht="15" hidden="false" customHeight="false" outlineLevel="0" collapsed="false">
      <c r="B64" s="5" t="s">
        <v>64</v>
      </c>
      <c r="C64" s="15" t="n">
        <f aca="false">IFERROR($C$63/$C$62,"")</f>
        <v>0.0287804878048781</v>
      </c>
    </row>
    <row r="65" customFormat="false" ht="15" hidden="false" customHeight="false" outlineLevel="0" collapsed="false">
      <c r="B65" s="5" t="s">
        <v>65</v>
      </c>
      <c r="C65" s="13" t="n">
        <f aca="false">$C$62-$C$63</f>
        <v>7964000000</v>
      </c>
    </row>
    <row r="67" customFormat="false" ht="15" hidden="false" customHeight="false" outlineLevel="0" collapsed="false">
      <c r="B67" s="22"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8"/>
  </cols>
  <sheetData>
    <row r="1" customFormat="false" ht="19.7" hidden="false" customHeight="false" outlineLevel="0" collapsed="false">
      <c r="B1" s="23" t="s">
        <v>67</v>
      </c>
    </row>
    <row r="3" customFormat="false" ht="15" hidden="false" customHeight="false" outlineLevel="0" collapsed="false">
      <c r="B3" s="24" t="s">
        <v>68</v>
      </c>
      <c r="C3" s="25"/>
    </row>
    <row r="4" customFormat="false" ht="15" hidden="false" customHeight="true" outlineLevel="0" collapsed="false">
      <c r="B4" s="26" t="s">
        <v>69</v>
      </c>
      <c r="C4" s="27" t="s">
        <v>70</v>
      </c>
    </row>
    <row r="5" customFormat="false" ht="15" hidden="false" customHeight="true" outlineLevel="0" collapsed="false">
      <c r="B5" s="26" t="s">
        <v>71</v>
      </c>
      <c r="C5" s="27" t="s">
        <v>72</v>
      </c>
    </row>
    <row r="6" customFormat="false" ht="15" hidden="false" customHeight="true" outlineLevel="0" collapsed="false">
      <c r="B6" s="26" t="s">
        <v>73</v>
      </c>
      <c r="C6" s="27" t="s">
        <v>74</v>
      </c>
    </row>
    <row r="7" customFormat="false" ht="15" hidden="false" customHeight="true" outlineLevel="0" collapsed="false">
      <c r="B7" s="26" t="s">
        <v>75</v>
      </c>
      <c r="C7" s="27" t="s">
        <v>76</v>
      </c>
    </row>
    <row r="8" customFormat="false" ht="15" hidden="false" customHeight="true" outlineLevel="0" collapsed="false">
      <c r="B8" s="26" t="s">
        <v>77</v>
      </c>
      <c r="C8" s="27" t="s">
        <v>78</v>
      </c>
    </row>
    <row r="9" customFormat="false" ht="27" hidden="false" customHeight="true" outlineLevel="0" collapsed="false">
      <c r="B9" s="26" t="s">
        <v>79</v>
      </c>
      <c r="C9" s="27" t="s">
        <v>80</v>
      </c>
    </row>
    <row r="11" customFormat="false" ht="15" hidden="false" customHeight="false" outlineLevel="0" collapsed="false">
      <c r="B11" s="24" t="s">
        <v>81</v>
      </c>
      <c r="C11" s="25"/>
    </row>
    <row r="12" customFormat="false" ht="15" hidden="false" customHeight="true" outlineLevel="0" collapsed="false">
      <c r="B12" s="26" t="s">
        <v>82</v>
      </c>
      <c r="C12" s="27" t="s">
        <v>83</v>
      </c>
    </row>
    <row r="13" customFormat="false" ht="39" hidden="false" customHeight="true" outlineLevel="0" collapsed="false">
      <c r="B13" s="26" t="s">
        <v>84</v>
      </c>
      <c r="C13" s="27" t="s">
        <v>85</v>
      </c>
    </row>
    <row r="14" customFormat="false" ht="39" hidden="false" customHeight="true" outlineLevel="0" collapsed="false">
      <c r="B14" s="26" t="s">
        <v>86</v>
      </c>
      <c r="C14" s="27" t="s">
        <v>87</v>
      </c>
    </row>
    <row r="15" customFormat="false" ht="27" hidden="false" customHeight="true" outlineLevel="0" collapsed="false">
      <c r="B15" s="26" t="s">
        <v>88</v>
      </c>
      <c r="C15" s="27" t="s">
        <v>89</v>
      </c>
    </row>
    <row r="17" customFormat="false" ht="15" hidden="false" customHeight="false" outlineLevel="0" collapsed="false">
      <c r="B17" s="24" t="s">
        <v>90</v>
      </c>
      <c r="C17" s="25"/>
    </row>
    <row r="18" customFormat="false" ht="27" hidden="false" customHeight="true" outlineLevel="0" collapsed="false">
      <c r="B18" s="26" t="s">
        <v>91</v>
      </c>
      <c r="C18" s="27" t="s">
        <v>92</v>
      </c>
    </row>
    <row r="19" customFormat="false" ht="27" hidden="false" customHeight="true" outlineLevel="0" collapsed="false">
      <c r="B19" s="26" t="s">
        <v>93</v>
      </c>
      <c r="C19" s="27" t="s">
        <v>94</v>
      </c>
    </row>
    <row r="20" customFormat="false" ht="39" hidden="false" customHeight="true" outlineLevel="0" collapsed="false">
      <c r="B20" s="26" t="s">
        <v>95</v>
      </c>
      <c r="C20" s="27" t="s">
        <v>96</v>
      </c>
    </row>
    <row r="21" customFormat="false" ht="27" hidden="false" customHeight="true" outlineLevel="0" collapsed="false">
      <c r="B21" s="26" t="s">
        <v>97</v>
      </c>
      <c r="C21" s="27" t="s">
        <v>98</v>
      </c>
    </row>
    <row r="23" customFormat="false" ht="15" hidden="false" customHeight="false" outlineLevel="0" collapsed="false">
      <c r="B23" s="24" t="s">
        <v>99</v>
      </c>
      <c r="C23" s="25"/>
    </row>
    <row r="24" customFormat="false" ht="15" hidden="false" customHeight="true" outlineLevel="0" collapsed="false">
      <c r="B24" s="26" t="s">
        <v>100</v>
      </c>
      <c r="C24" s="27" t="s">
        <v>101</v>
      </c>
    </row>
    <row r="25" customFormat="false" ht="27" hidden="false" customHeight="true" outlineLevel="0" collapsed="false">
      <c r="B25" s="26" t="s">
        <v>102</v>
      </c>
      <c r="C25" s="27" t="s">
        <v>103</v>
      </c>
    </row>
    <row r="26" customFormat="false" ht="27" hidden="false" customHeight="true" outlineLevel="0" collapsed="false">
      <c r="B26" s="26" t="s">
        <v>104</v>
      </c>
      <c r="C26" s="27" t="s">
        <v>105</v>
      </c>
    </row>
    <row r="28" customFormat="false" ht="15" hidden="false" customHeight="false" outlineLevel="0" collapsed="false">
      <c r="B28" s="24" t="s">
        <v>106</v>
      </c>
      <c r="C28" s="25"/>
    </row>
    <row r="29" customFormat="false" ht="15" hidden="false" customHeight="true" outlineLevel="0" collapsed="false">
      <c r="B29" s="26" t="s">
        <v>107</v>
      </c>
      <c r="C29" s="27" t="s">
        <v>108</v>
      </c>
    </row>
    <row r="30" customFormat="false" ht="27" hidden="false" customHeight="true" outlineLevel="0" collapsed="false">
      <c r="B30" s="26" t="s">
        <v>109</v>
      </c>
      <c r="C30" s="27" t="s">
        <v>110</v>
      </c>
    </row>
    <row r="31" customFormat="false" ht="15" hidden="false" customHeight="true" outlineLevel="0" collapsed="false">
      <c r="B31" s="26" t="s">
        <v>111</v>
      </c>
      <c r="C31" s="27" t="s">
        <v>112</v>
      </c>
    </row>
    <row r="32" customFormat="false" ht="27" hidden="false" customHeight="true" outlineLevel="0" collapsed="false">
      <c r="B32" s="26" t="s">
        <v>113</v>
      </c>
      <c r="C32" s="27" t="s">
        <v>114</v>
      </c>
    </row>
    <row r="34" customFormat="false" ht="15" hidden="false" customHeight="false" outlineLevel="0" collapsed="false">
      <c r="B34" s="24" t="s">
        <v>115</v>
      </c>
      <c r="C34" s="25"/>
    </row>
    <row r="35" customFormat="false" ht="15" hidden="false" customHeight="true" outlineLevel="0" collapsed="false">
      <c r="B35" s="26" t="s">
        <v>116</v>
      </c>
      <c r="C35" s="27" t="s">
        <v>117</v>
      </c>
    </row>
    <row r="36" customFormat="false" ht="15" hidden="false" customHeight="true" outlineLevel="0" collapsed="false">
      <c r="B36" s="26" t="s">
        <v>118</v>
      </c>
      <c r="C36" s="27" t="s">
        <v>119</v>
      </c>
    </row>
    <row r="37" customFormat="false" ht="15" hidden="false" customHeight="true" outlineLevel="0" collapsed="false">
      <c r="B37" s="26" t="s">
        <v>120</v>
      </c>
      <c r="C37" s="27" t="s">
        <v>121</v>
      </c>
    </row>
    <row r="38" customFormat="false" ht="27" hidden="false" customHeight="true" outlineLevel="0" collapsed="false">
      <c r="B38" s="26" t="s">
        <v>122</v>
      </c>
      <c r="C38" s="27" t="s">
        <v>123</v>
      </c>
    </row>
    <row r="39" customFormat="false" ht="15" hidden="false" customHeight="true" outlineLevel="0" collapsed="false">
      <c r="B39" s="26" t="s">
        <v>124</v>
      </c>
      <c r="C39" s="27" t="s">
        <v>125</v>
      </c>
    </row>
    <row r="41" customFormat="false" ht="15" hidden="false" customHeight="false" outlineLevel="0" collapsed="false">
      <c r="B41" s="24" t="s">
        <v>126</v>
      </c>
      <c r="C41" s="25"/>
    </row>
    <row r="42" customFormat="false" ht="15" hidden="false" customHeight="true" outlineLevel="0" collapsed="false">
      <c r="B42" s="26" t="s">
        <v>127</v>
      </c>
      <c r="C42" s="27" t="s">
        <v>128</v>
      </c>
    </row>
    <row r="43" customFormat="false" ht="27" hidden="false" customHeight="true" outlineLevel="0" collapsed="false">
      <c r="B43" s="26" t="s">
        <v>129</v>
      </c>
      <c r="C43" s="27" t="s">
        <v>130</v>
      </c>
    </row>
    <row r="45" customFormat="false" ht="15" hidden="false" customHeight="false" outlineLevel="0" collapsed="false">
      <c r="B45" s="28" t="s">
        <v>131</v>
      </c>
      <c r="C45" s="29"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3" min="3" style="0" width="32"/>
    <col collapsed="false" customWidth="true" hidden="false" outlineLevel="0" max="4" min="4" style="0" width="20"/>
    <col collapsed="false" customWidth="true" hidden="false" outlineLevel="0" max="6" min="5" style="0" width="13"/>
    <col collapsed="false" customWidth="true" hidden="false" outlineLevel="0" max="7" min="7" style="0" width="18"/>
    <col collapsed="false" customWidth="true" hidden="false" outlineLevel="0" max="8" min="8" style="0" width="16"/>
    <col collapsed="false" customWidth="true" hidden="false" outlineLevel="0" max="9" min="9" style="0" width="30"/>
  </cols>
  <sheetData>
    <row r="1" customFormat="false" ht="17.35" hidden="false" customHeight="false" outlineLevel="0" collapsed="false">
      <c r="A1" s="30" t="s">
        <v>133</v>
      </c>
    </row>
    <row r="2" customFormat="false" ht="15" hidden="false" customHeight="false" outlineLevel="0" collapsed="false">
      <c r="A2" s="8" t="s">
        <v>134</v>
      </c>
    </row>
    <row r="3" customFormat="false" ht="33.75" hidden="false" customHeight="true" outlineLevel="0" collapsed="false">
      <c r="A3" s="31" t="s">
        <v>116</v>
      </c>
      <c r="B3" s="31" t="s">
        <v>135</v>
      </c>
      <c r="C3" s="31" t="s">
        <v>136</v>
      </c>
      <c r="D3" s="31" t="s">
        <v>137</v>
      </c>
      <c r="E3" s="31" t="s">
        <v>138</v>
      </c>
      <c r="F3" s="31" t="s">
        <v>139</v>
      </c>
      <c r="G3" s="31" t="s">
        <v>140</v>
      </c>
      <c r="H3" s="31" t="s">
        <v>141</v>
      </c>
      <c r="I3" s="31" t="s">
        <v>142</v>
      </c>
    </row>
    <row r="4" customFormat="false" ht="15" hidden="false" customHeight="false" outlineLevel="0" collapsed="false">
      <c r="A4" s="32" t="s">
        <v>143</v>
      </c>
      <c r="B4" s="32" t="s">
        <v>144</v>
      </c>
      <c r="C4" s="32" t="s">
        <v>145</v>
      </c>
      <c r="D4" s="32" t="s">
        <v>146</v>
      </c>
      <c r="E4" s="33" t="n">
        <v>46024</v>
      </c>
      <c r="F4" s="33" t="n">
        <v>46295</v>
      </c>
      <c r="G4" s="34" t="n">
        <v>5000000000</v>
      </c>
      <c r="H4" s="32" t="s">
        <v>147</v>
      </c>
      <c r="I4" s="35" t="s">
        <v>148</v>
      </c>
    </row>
    <row r="5" customFormat="false" ht="15" hidden="false" customHeight="false" outlineLevel="0" collapsed="false">
      <c r="A5" s="32" t="s">
        <v>149</v>
      </c>
      <c r="B5" s="32" t="s">
        <v>150</v>
      </c>
      <c r="C5" s="32" t="s">
        <v>151</v>
      </c>
      <c r="D5" s="32" t="s">
        <v>152</v>
      </c>
      <c r="E5" s="33" t="n">
        <v>46027</v>
      </c>
      <c r="F5" s="33" t="n">
        <v>46387</v>
      </c>
      <c r="G5" s="34" t="n">
        <v>3200000000</v>
      </c>
      <c r="H5" s="32" t="s">
        <v>153</v>
      </c>
      <c r="I5" s="35" t="s">
        <v>148</v>
      </c>
    </row>
    <row r="6" customFormat="false" ht="15" hidden="false" customHeight="false" outlineLevel="0" collapsed="false">
      <c r="A6" s="32"/>
      <c r="B6" s="32"/>
      <c r="C6" s="32"/>
      <c r="D6" s="32"/>
      <c r="E6" s="33"/>
      <c r="F6" s="33"/>
      <c r="G6" s="34"/>
      <c r="H6" s="32"/>
      <c r="I6" s="32"/>
    </row>
    <row r="7" customFormat="false" ht="15" hidden="false" customHeight="false" outlineLevel="0" collapsed="false">
      <c r="A7" s="32"/>
      <c r="B7" s="32"/>
      <c r="C7" s="32"/>
      <c r="D7" s="32"/>
      <c r="E7" s="33"/>
      <c r="F7" s="33"/>
      <c r="G7" s="34"/>
      <c r="H7" s="32"/>
      <c r="I7" s="32"/>
    </row>
    <row r="8" customFormat="false" ht="15" hidden="false" customHeight="false" outlineLevel="0" collapsed="false">
      <c r="A8" s="32"/>
      <c r="B8" s="32"/>
      <c r="C8" s="32"/>
      <c r="D8" s="32"/>
      <c r="E8" s="33"/>
      <c r="F8" s="33"/>
      <c r="G8" s="34"/>
      <c r="H8" s="32"/>
      <c r="I8" s="32"/>
    </row>
    <row r="9" customFormat="false" ht="15" hidden="false" customHeight="false" outlineLevel="0" collapsed="false">
      <c r="A9" s="32"/>
      <c r="B9" s="32"/>
      <c r="C9" s="32"/>
      <c r="D9" s="32"/>
      <c r="E9" s="33"/>
      <c r="F9" s="33"/>
      <c r="G9" s="34"/>
      <c r="H9" s="32"/>
      <c r="I9" s="32"/>
    </row>
    <row r="10" customFormat="false" ht="15" hidden="false" customHeight="false" outlineLevel="0" collapsed="false">
      <c r="A10" s="32"/>
      <c r="B10" s="32"/>
      <c r="C10" s="32"/>
      <c r="D10" s="32"/>
      <c r="E10" s="33"/>
      <c r="F10" s="33"/>
      <c r="G10" s="34"/>
      <c r="H10" s="32"/>
      <c r="I10" s="32"/>
    </row>
    <row r="11" customFormat="false" ht="15" hidden="false" customHeight="false" outlineLevel="0" collapsed="false">
      <c r="A11" s="32"/>
      <c r="B11" s="32"/>
      <c r="C11" s="32"/>
      <c r="D11" s="32"/>
      <c r="E11" s="33"/>
      <c r="F11" s="33"/>
      <c r="G11" s="34"/>
      <c r="H11" s="32"/>
      <c r="I11" s="32"/>
    </row>
    <row r="12" customFormat="false" ht="15" hidden="false" customHeight="false" outlineLevel="0" collapsed="false">
      <c r="A12" s="32"/>
      <c r="B12" s="32"/>
      <c r="C12" s="32"/>
      <c r="D12" s="32"/>
      <c r="E12" s="33"/>
      <c r="F12" s="33"/>
      <c r="G12" s="34"/>
      <c r="H12" s="32"/>
      <c r="I12" s="32"/>
    </row>
    <row r="13" customFormat="false" ht="15" hidden="false" customHeight="false" outlineLevel="0" collapsed="false">
      <c r="A13" s="32"/>
      <c r="B13" s="32"/>
      <c r="C13" s="32"/>
      <c r="D13" s="32"/>
      <c r="E13" s="33"/>
      <c r="F13" s="33"/>
      <c r="G13" s="34"/>
      <c r="H13" s="32"/>
      <c r="I13" s="32"/>
    </row>
    <row r="14" customFormat="false" ht="15" hidden="false" customHeight="false" outlineLevel="0" collapsed="false">
      <c r="A14" s="32"/>
      <c r="B14" s="32"/>
      <c r="C14" s="32"/>
      <c r="D14" s="32"/>
      <c r="E14" s="33"/>
      <c r="F14" s="33"/>
      <c r="G14" s="34"/>
      <c r="H14" s="32"/>
      <c r="I14" s="32"/>
    </row>
    <row r="15" customFormat="false" ht="15" hidden="false" customHeight="false" outlineLevel="0" collapsed="false">
      <c r="A15" s="32"/>
      <c r="B15" s="32"/>
      <c r="C15" s="32"/>
      <c r="D15" s="32"/>
      <c r="E15" s="33"/>
      <c r="F15" s="33"/>
      <c r="G15" s="34"/>
      <c r="H15" s="32"/>
      <c r="I15" s="32"/>
    </row>
    <row r="16" customFormat="false" ht="15" hidden="false" customHeight="false" outlineLevel="0" collapsed="false">
      <c r="A16" s="32"/>
      <c r="B16" s="32"/>
      <c r="C16" s="32"/>
      <c r="D16" s="32"/>
      <c r="E16" s="33"/>
      <c r="F16" s="33"/>
      <c r="G16" s="34"/>
      <c r="H16" s="32"/>
      <c r="I16" s="32"/>
    </row>
    <row r="17" customFormat="false" ht="15" hidden="false" customHeight="false" outlineLevel="0" collapsed="false">
      <c r="A17" s="32"/>
      <c r="B17" s="32"/>
      <c r="C17" s="32"/>
      <c r="D17" s="32"/>
      <c r="E17" s="33"/>
      <c r="F17" s="33"/>
      <c r="G17" s="34"/>
      <c r="H17" s="32"/>
      <c r="I17" s="32"/>
    </row>
    <row r="18" customFormat="false" ht="15" hidden="false" customHeight="false" outlineLevel="0" collapsed="false">
      <c r="A18" s="32"/>
      <c r="B18" s="32"/>
      <c r="C18" s="32"/>
      <c r="D18" s="32"/>
      <c r="E18" s="33"/>
      <c r="F18" s="33"/>
      <c r="G18" s="34"/>
      <c r="H18" s="32"/>
      <c r="I18" s="32"/>
    </row>
    <row r="19" customFormat="false" ht="15" hidden="false" customHeight="false" outlineLevel="0" collapsed="false">
      <c r="A19" s="32"/>
      <c r="B19" s="32"/>
      <c r="C19" s="32"/>
      <c r="D19" s="32"/>
      <c r="E19" s="33"/>
      <c r="F19" s="33"/>
      <c r="G19" s="34"/>
      <c r="H19" s="32"/>
      <c r="I19" s="32"/>
    </row>
    <row r="20" customFormat="false" ht="15" hidden="false" customHeight="false" outlineLevel="0" collapsed="false">
      <c r="A20" s="32"/>
      <c r="B20" s="32"/>
      <c r="C20" s="32"/>
      <c r="D20" s="32"/>
      <c r="E20" s="33"/>
      <c r="F20" s="33"/>
      <c r="G20" s="34"/>
      <c r="H20" s="32"/>
      <c r="I20" s="32"/>
    </row>
    <row r="21" customFormat="false" ht="15" hidden="false" customHeight="false" outlineLevel="0" collapsed="false">
      <c r="A21" s="32"/>
      <c r="B21" s="32"/>
      <c r="C21" s="32"/>
      <c r="D21" s="32"/>
      <c r="E21" s="33"/>
      <c r="F21" s="33"/>
      <c r="G21" s="34"/>
      <c r="H21" s="32"/>
      <c r="I21" s="32"/>
    </row>
    <row r="22" customFormat="false" ht="15" hidden="false" customHeight="false" outlineLevel="0" collapsed="false">
      <c r="A22" s="32"/>
      <c r="B22" s="32"/>
      <c r="C22" s="32"/>
      <c r="D22" s="32"/>
      <c r="E22" s="33"/>
      <c r="F22" s="33"/>
      <c r="G22" s="34"/>
      <c r="H22" s="32"/>
      <c r="I22" s="32"/>
    </row>
    <row r="23" customFormat="false" ht="15" hidden="false" customHeight="false" outlineLevel="0" collapsed="false">
      <c r="A23" s="32"/>
      <c r="B23" s="32"/>
      <c r="C23" s="32"/>
      <c r="D23" s="32"/>
      <c r="E23" s="33"/>
      <c r="F23" s="33"/>
      <c r="G23" s="34"/>
      <c r="H23" s="32"/>
      <c r="I23" s="32"/>
    </row>
    <row r="24" customFormat="false" ht="15" hidden="false" customHeight="false" outlineLevel="0" collapsed="false">
      <c r="A24" s="32"/>
      <c r="B24" s="32"/>
      <c r="C24" s="32"/>
      <c r="D24" s="32"/>
      <c r="E24" s="33"/>
      <c r="F24" s="33"/>
      <c r="G24" s="34"/>
      <c r="H24" s="32"/>
      <c r="I24" s="32"/>
    </row>
    <row r="25" customFormat="false" ht="15" hidden="false" customHeight="false" outlineLevel="0" collapsed="false">
      <c r="A25" s="32"/>
      <c r="B25" s="32"/>
      <c r="C25" s="32"/>
      <c r="D25" s="32"/>
      <c r="E25" s="33"/>
      <c r="F25" s="33"/>
      <c r="G25" s="34"/>
      <c r="H25" s="32"/>
      <c r="I25" s="32"/>
    </row>
    <row r="26" customFormat="false" ht="15" hidden="false" customHeight="false" outlineLevel="0" collapsed="false">
      <c r="A26" s="32"/>
      <c r="B26" s="32"/>
      <c r="C26" s="32"/>
      <c r="D26" s="32"/>
      <c r="E26" s="33"/>
      <c r="F26" s="33"/>
      <c r="G26" s="34"/>
      <c r="H26" s="32"/>
      <c r="I26" s="32"/>
    </row>
    <row r="27" customFormat="false" ht="15" hidden="false" customHeight="false" outlineLevel="0" collapsed="false">
      <c r="A27" s="32"/>
      <c r="B27" s="32"/>
      <c r="C27" s="32"/>
      <c r="D27" s="32"/>
      <c r="E27" s="33"/>
      <c r="F27" s="33"/>
      <c r="G27" s="34"/>
      <c r="H27" s="32"/>
      <c r="I27" s="32"/>
    </row>
    <row r="28" customFormat="false" ht="15" hidden="false" customHeight="false" outlineLevel="0" collapsed="false">
      <c r="A28" s="32"/>
      <c r="B28" s="32"/>
      <c r="C28" s="32"/>
      <c r="D28" s="32"/>
      <c r="E28" s="33"/>
      <c r="F28" s="33"/>
      <c r="G28" s="34"/>
      <c r="H28" s="32"/>
      <c r="I28" s="32"/>
    </row>
    <row r="29" customFormat="false" ht="15" hidden="false" customHeight="false" outlineLevel="0" collapsed="false">
      <c r="A29" s="32"/>
      <c r="B29" s="32"/>
      <c r="C29" s="32"/>
      <c r="D29" s="32"/>
      <c r="E29" s="33"/>
      <c r="F29" s="33"/>
      <c r="G29" s="34"/>
      <c r="H29" s="32"/>
      <c r="I29" s="32"/>
    </row>
    <row r="30" customFormat="false" ht="15" hidden="false" customHeight="false" outlineLevel="0" collapsed="false">
      <c r="A30" s="32"/>
      <c r="B30" s="32"/>
      <c r="C30" s="32"/>
      <c r="D30" s="32"/>
      <c r="E30" s="33"/>
      <c r="F30" s="33"/>
      <c r="G30" s="34"/>
      <c r="H30" s="32"/>
      <c r="I30" s="32"/>
    </row>
    <row r="31" customFormat="false" ht="15" hidden="false" customHeight="false" outlineLevel="0" collapsed="false">
      <c r="A31" s="32"/>
      <c r="B31" s="32"/>
      <c r="C31" s="32"/>
      <c r="D31" s="32"/>
      <c r="E31" s="33"/>
      <c r="F31" s="33"/>
      <c r="G31" s="34"/>
      <c r="H31" s="32"/>
      <c r="I31" s="32"/>
    </row>
    <row r="32" customFormat="false" ht="15" hidden="false" customHeight="false" outlineLevel="0" collapsed="false">
      <c r="A32" s="32"/>
      <c r="B32" s="32"/>
      <c r="C32" s="32"/>
      <c r="D32" s="32"/>
      <c r="E32" s="33"/>
      <c r="F32" s="33"/>
      <c r="G32" s="34"/>
      <c r="H32" s="32"/>
      <c r="I32" s="32"/>
    </row>
    <row r="33" customFormat="false" ht="15" hidden="false" customHeight="false" outlineLevel="0" collapsed="false">
      <c r="A33" s="32"/>
      <c r="B33" s="32"/>
      <c r="C33" s="32"/>
      <c r="D33" s="32"/>
      <c r="E33" s="33"/>
      <c r="F33" s="33"/>
      <c r="G33" s="34"/>
      <c r="H33" s="32"/>
      <c r="I33" s="32"/>
    </row>
    <row r="34" customFormat="false" ht="15" hidden="false" customHeight="false" outlineLevel="0" collapsed="false">
      <c r="A34" s="32"/>
      <c r="B34" s="32"/>
      <c r="C34" s="32"/>
      <c r="D34" s="32"/>
      <c r="E34" s="33"/>
      <c r="F34" s="33"/>
      <c r="G34" s="34"/>
      <c r="H34" s="32"/>
      <c r="I34" s="32"/>
    </row>
    <row r="35" customFormat="false" ht="15" hidden="false" customHeight="false" outlineLevel="0" collapsed="false">
      <c r="A35" s="32"/>
      <c r="B35" s="32"/>
      <c r="C35" s="32"/>
      <c r="D35" s="32"/>
      <c r="E35" s="33"/>
      <c r="F35" s="33"/>
      <c r="G35" s="34"/>
      <c r="H35" s="32"/>
      <c r="I35" s="32"/>
    </row>
    <row r="36" customFormat="false" ht="15" hidden="false" customHeight="false" outlineLevel="0" collapsed="false">
      <c r="A36" s="32"/>
      <c r="B36" s="32"/>
      <c r="C36" s="32"/>
      <c r="D36" s="32"/>
      <c r="E36" s="33"/>
      <c r="F36" s="33"/>
      <c r="G36" s="34"/>
      <c r="H36" s="32"/>
      <c r="I36" s="32"/>
    </row>
    <row r="37" customFormat="false" ht="15" hidden="false" customHeight="false" outlineLevel="0" collapsed="false">
      <c r="A37" s="32"/>
      <c r="B37" s="32"/>
      <c r="C37" s="32"/>
      <c r="D37" s="32"/>
      <c r="E37" s="33"/>
      <c r="F37" s="33"/>
      <c r="G37" s="34"/>
      <c r="H37" s="32"/>
      <c r="I37" s="32"/>
    </row>
    <row r="38" customFormat="false" ht="15" hidden="false" customHeight="false" outlineLevel="0" collapsed="false">
      <c r="A38" s="32"/>
      <c r="B38" s="32"/>
      <c r="C38" s="32"/>
      <c r="D38" s="32"/>
      <c r="E38" s="33"/>
      <c r="F38" s="33"/>
      <c r="G38" s="34"/>
      <c r="H38" s="32"/>
      <c r="I38" s="32"/>
    </row>
    <row r="39" customFormat="false" ht="15" hidden="false" customHeight="false" outlineLevel="0" collapsed="false">
      <c r="A39" s="32"/>
      <c r="B39" s="32"/>
      <c r="C39" s="32"/>
      <c r="D39" s="32"/>
      <c r="E39" s="33"/>
      <c r="F39" s="33"/>
      <c r="G39" s="34"/>
      <c r="H39" s="32"/>
      <c r="I39" s="32"/>
    </row>
    <row r="40" customFormat="false" ht="15" hidden="false" customHeight="false" outlineLevel="0" collapsed="false">
      <c r="A40" s="32"/>
      <c r="B40" s="32"/>
      <c r="C40" s="32"/>
      <c r="D40" s="32"/>
      <c r="E40" s="33"/>
      <c r="F40" s="33"/>
      <c r="G40" s="34"/>
      <c r="H40" s="32"/>
      <c r="I40" s="32"/>
    </row>
    <row r="41" customFormat="false" ht="15" hidden="false" customHeight="false" outlineLevel="0" collapsed="false">
      <c r="A41" s="32"/>
      <c r="B41" s="32"/>
      <c r="C41" s="32"/>
      <c r="D41" s="32"/>
      <c r="E41" s="33"/>
      <c r="F41" s="33"/>
      <c r="G41" s="34"/>
      <c r="H41" s="32"/>
      <c r="I41" s="32"/>
    </row>
    <row r="42" customFormat="false" ht="15" hidden="false" customHeight="false" outlineLevel="0" collapsed="false">
      <c r="A42" s="32"/>
      <c r="B42" s="32"/>
      <c r="C42" s="32"/>
      <c r="D42" s="32"/>
      <c r="E42" s="33"/>
      <c r="F42" s="33"/>
      <c r="G42" s="34"/>
      <c r="H42" s="32"/>
      <c r="I42" s="32"/>
    </row>
    <row r="43" customFormat="false" ht="15" hidden="false" customHeight="false" outlineLevel="0" collapsed="false">
      <c r="A43" s="32"/>
      <c r="B43" s="32"/>
      <c r="C43" s="32"/>
      <c r="D43" s="32"/>
      <c r="E43" s="33"/>
      <c r="F43" s="33"/>
      <c r="G43" s="34"/>
      <c r="H43" s="32"/>
      <c r="I43" s="32"/>
    </row>
    <row r="44" customFormat="false" ht="15" hidden="false" customHeight="false" outlineLevel="0" collapsed="false">
      <c r="A44" s="32"/>
      <c r="B44" s="32"/>
      <c r="C44" s="32"/>
      <c r="D44" s="32"/>
      <c r="E44" s="33"/>
      <c r="F44" s="33"/>
      <c r="G44" s="34"/>
      <c r="H44" s="32"/>
      <c r="I44" s="32"/>
    </row>
    <row r="45" customFormat="false" ht="15" hidden="false" customHeight="false" outlineLevel="0" collapsed="false">
      <c r="A45" s="32"/>
      <c r="B45" s="32"/>
      <c r="C45" s="32"/>
      <c r="D45" s="32"/>
      <c r="E45" s="33"/>
      <c r="F45" s="33"/>
      <c r="G45" s="34"/>
      <c r="H45" s="32"/>
      <c r="I45" s="32"/>
    </row>
    <row r="46" customFormat="false" ht="15" hidden="false" customHeight="false" outlineLevel="0" collapsed="false">
      <c r="A46" s="32"/>
      <c r="B46" s="32"/>
      <c r="C46" s="32"/>
      <c r="D46" s="32"/>
      <c r="E46" s="33"/>
      <c r="F46" s="33"/>
      <c r="G46" s="34"/>
      <c r="H46" s="32"/>
      <c r="I46" s="32"/>
    </row>
    <row r="47" customFormat="false" ht="15" hidden="false" customHeight="false" outlineLevel="0" collapsed="false">
      <c r="A47" s="32"/>
      <c r="B47" s="32"/>
      <c r="C47" s="32"/>
      <c r="D47" s="32"/>
      <c r="E47" s="33"/>
      <c r="F47" s="33"/>
      <c r="G47" s="34"/>
      <c r="H47" s="32"/>
      <c r="I47" s="32"/>
    </row>
    <row r="48" customFormat="false" ht="15" hidden="false" customHeight="false" outlineLevel="0" collapsed="false">
      <c r="A48" s="32"/>
      <c r="B48" s="32"/>
      <c r="C48" s="32"/>
      <c r="D48" s="32"/>
      <c r="E48" s="33"/>
      <c r="F48" s="33"/>
      <c r="G48" s="34"/>
      <c r="H48" s="32"/>
      <c r="I48" s="32"/>
    </row>
    <row r="49" customFormat="false" ht="15" hidden="false" customHeight="false" outlineLevel="0" collapsed="false">
      <c r="A49" s="32"/>
      <c r="B49" s="32"/>
      <c r="C49" s="32"/>
      <c r="D49" s="32"/>
      <c r="E49" s="33"/>
      <c r="F49" s="33"/>
      <c r="G49" s="34"/>
      <c r="H49" s="32"/>
      <c r="I49" s="32"/>
    </row>
    <row r="50" customFormat="false" ht="15" hidden="false" customHeight="false" outlineLevel="0" collapsed="false">
      <c r="A50" s="32"/>
      <c r="B50" s="32"/>
      <c r="C50" s="32"/>
      <c r="D50" s="32"/>
      <c r="E50" s="33"/>
      <c r="F50" s="33"/>
      <c r="G50" s="34"/>
      <c r="H50" s="32"/>
      <c r="I50" s="32"/>
    </row>
    <row r="51" customFormat="false" ht="15" hidden="false" customHeight="false" outlineLevel="0" collapsed="false">
      <c r="A51" s="32"/>
      <c r="B51" s="32"/>
      <c r="C51" s="32"/>
      <c r="D51" s="32"/>
      <c r="E51" s="33"/>
      <c r="F51" s="33"/>
      <c r="G51" s="34"/>
      <c r="H51" s="32"/>
      <c r="I51" s="32"/>
    </row>
    <row r="52" customFormat="false" ht="15" hidden="false" customHeight="false" outlineLevel="0" collapsed="false">
      <c r="A52" s="32"/>
      <c r="B52" s="32"/>
      <c r="C52" s="32"/>
      <c r="D52" s="32"/>
      <c r="E52" s="33"/>
      <c r="F52" s="33"/>
      <c r="G52" s="34"/>
      <c r="H52" s="32"/>
      <c r="I52" s="32"/>
    </row>
    <row r="53" customFormat="false" ht="15" hidden="false" customHeight="false" outlineLevel="0" collapsed="false">
      <c r="A53" s="32"/>
      <c r="B53" s="32"/>
      <c r="C53" s="32"/>
      <c r="D53" s="32"/>
      <c r="E53" s="33"/>
      <c r="F53" s="33"/>
      <c r="G53" s="34"/>
      <c r="H53" s="32"/>
      <c r="I53" s="32"/>
    </row>
    <row r="54" customFormat="false" ht="15" hidden="false" customHeight="false" outlineLevel="0" collapsed="false">
      <c r="A54" s="32"/>
      <c r="B54" s="32"/>
      <c r="C54" s="32"/>
      <c r="D54" s="32"/>
      <c r="E54" s="33"/>
      <c r="F54" s="33"/>
      <c r="G54" s="34"/>
      <c r="H54" s="32"/>
      <c r="I54" s="32"/>
    </row>
    <row r="55" customFormat="false" ht="15" hidden="false" customHeight="false" outlineLevel="0" collapsed="false">
      <c r="A55" s="32"/>
      <c r="B55" s="32"/>
      <c r="C55" s="32"/>
      <c r="D55" s="32"/>
      <c r="E55" s="33"/>
      <c r="F55" s="33"/>
      <c r="G55" s="34"/>
      <c r="H55" s="32"/>
      <c r="I55" s="32"/>
    </row>
    <row r="56" customFormat="false" ht="15" hidden="false" customHeight="false" outlineLevel="0" collapsed="false">
      <c r="A56" s="32"/>
      <c r="B56" s="32"/>
      <c r="C56" s="32"/>
      <c r="D56" s="32"/>
      <c r="E56" s="33"/>
      <c r="F56" s="33"/>
      <c r="G56" s="34"/>
      <c r="H56" s="32"/>
      <c r="I56" s="32"/>
    </row>
    <row r="57" customFormat="false" ht="15" hidden="false" customHeight="false" outlineLevel="0" collapsed="false">
      <c r="A57" s="32"/>
      <c r="B57" s="32"/>
      <c r="C57" s="32"/>
      <c r="D57" s="32"/>
      <c r="E57" s="33"/>
      <c r="F57" s="33"/>
      <c r="G57" s="34"/>
      <c r="H57" s="32"/>
      <c r="I57" s="32"/>
    </row>
    <row r="58" customFormat="false" ht="15" hidden="false" customHeight="false" outlineLevel="0" collapsed="false">
      <c r="A58" s="32"/>
      <c r="B58" s="32"/>
      <c r="C58" s="32"/>
      <c r="D58" s="32"/>
      <c r="E58" s="33"/>
      <c r="F58" s="33"/>
      <c r="G58" s="34"/>
      <c r="H58" s="32"/>
      <c r="I58" s="32"/>
    </row>
    <row r="59" customFormat="false" ht="15" hidden="false" customHeight="false" outlineLevel="0" collapsed="false">
      <c r="A59" s="32"/>
      <c r="B59" s="32"/>
      <c r="C59" s="32"/>
      <c r="D59" s="32"/>
      <c r="E59" s="33"/>
      <c r="F59" s="33"/>
      <c r="G59" s="34"/>
      <c r="H59" s="32"/>
      <c r="I59" s="32"/>
    </row>
    <row r="60" customFormat="false" ht="15" hidden="false" customHeight="false" outlineLevel="0" collapsed="false">
      <c r="A60" s="32"/>
      <c r="B60" s="32"/>
      <c r="C60" s="32"/>
      <c r="D60" s="32"/>
      <c r="E60" s="33"/>
      <c r="F60" s="33"/>
      <c r="G60" s="34"/>
      <c r="H60" s="32"/>
      <c r="I60" s="32"/>
    </row>
    <row r="61" customFormat="false" ht="15" hidden="false" customHeight="false" outlineLevel="0" collapsed="false">
      <c r="A61" s="32"/>
      <c r="B61" s="32"/>
      <c r="C61" s="32"/>
      <c r="D61" s="32"/>
      <c r="E61" s="33"/>
      <c r="F61" s="33"/>
      <c r="G61" s="34"/>
      <c r="H61" s="32"/>
      <c r="I61" s="32"/>
    </row>
    <row r="62" customFormat="false" ht="15" hidden="false" customHeight="false" outlineLevel="0" collapsed="false">
      <c r="A62" s="32"/>
      <c r="B62" s="32"/>
      <c r="C62" s="32"/>
      <c r="D62" s="32"/>
      <c r="E62" s="33"/>
      <c r="F62" s="33"/>
      <c r="G62" s="34"/>
      <c r="H62" s="32"/>
      <c r="I62" s="32"/>
    </row>
    <row r="63" customFormat="false" ht="15" hidden="false" customHeight="false" outlineLevel="0" collapsed="false">
      <c r="A63" s="32"/>
      <c r="B63" s="32"/>
      <c r="C63" s="32"/>
      <c r="D63" s="32"/>
      <c r="E63" s="33"/>
      <c r="F63" s="33"/>
      <c r="G63" s="34"/>
      <c r="H63" s="32"/>
      <c r="I63" s="32"/>
    </row>
    <row r="64" customFormat="false" ht="15" hidden="false" customHeight="false" outlineLevel="0" collapsed="false">
      <c r="A64" s="32"/>
      <c r="B64" s="32"/>
      <c r="C64" s="32"/>
      <c r="D64" s="32"/>
      <c r="E64" s="33"/>
      <c r="F64" s="33"/>
      <c r="G64" s="34"/>
      <c r="H64" s="32"/>
      <c r="I64" s="32"/>
    </row>
    <row r="65" customFormat="false" ht="15" hidden="false" customHeight="false" outlineLevel="0" collapsed="false">
      <c r="A65" s="32"/>
      <c r="B65" s="32"/>
      <c r="C65" s="32"/>
      <c r="D65" s="32"/>
      <c r="E65" s="33"/>
      <c r="F65" s="33"/>
      <c r="G65" s="34"/>
      <c r="H65" s="32"/>
      <c r="I65" s="32"/>
    </row>
    <row r="66" customFormat="false" ht="15" hidden="false" customHeight="false" outlineLevel="0" collapsed="false">
      <c r="A66" s="32"/>
      <c r="B66" s="32"/>
      <c r="C66" s="32"/>
      <c r="D66" s="32"/>
      <c r="E66" s="33"/>
      <c r="F66" s="33"/>
      <c r="G66" s="34"/>
      <c r="H66" s="32"/>
      <c r="I66" s="32"/>
    </row>
    <row r="67" customFormat="false" ht="15" hidden="false" customHeight="false" outlineLevel="0" collapsed="false">
      <c r="A67" s="32"/>
      <c r="B67" s="32"/>
      <c r="C67" s="32"/>
      <c r="D67" s="32"/>
      <c r="E67" s="33"/>
      <c r="F67" s="33"/>
      <c r="G67" s="34"/>
      <c r="H67" s="32"/>
      <c r="I67" s="32"/>
    </row>
    <row r="68" customFormat="false" ht="15" hidden="false" customHeight="false" outlineLevel="0" collapsed="false">
      <c r="A68" s="32"/>
      <c r="B68" s="32"/>
      <c r="C68" s="32"/>
      <c r="D68" s="32"/>
      <c r="E68" s="33"/>
      <c r="F68" s="33"/>
      <c r="G68" s="34"/>
      <c r="H68" s="32"/>
      <c r="I68" s="32"/>
    </row>
    <row r="69" customFormat="false" ht="15" hidden="false" customHeight="false" outlineLevel="0" collapsed="false">
      <c r="A69" s="32"/>
      <c r="B69" s="32"/>
      <c r="C69" s="32"/>
      <c r="D69" s="32"/>
      <c r="E69" s="33"/>
      <c r="F69" s="33"/>
      <c r="G69" s="34"/>
      <c r="H69" s="32"/>
      <c r="I69" s="32"/>
    </row>
    <row r="70" customFormat="false" ht="15" hidden="false" customHeight="false" outlineLevel="0" collapsed="false">
      <c r="A70" s="32"/>
      <c r="B70" s="32"/>
      <c r="C70" s="32"/>
      <c r="D70" s="32"/>
      <c r="E70" s="33"/>
      <c r="F70" s="33"/>
      <c r="G70" s="34"/>
      <c r="H70" s="32"/>
      <c r="I70" s="32"/>
    </row>
    <row r="71" customFormat="false" ht="15" hidden="false" customHeight="false" outlineLevel="0" collapsed="false">
      <c r="A71" s="32"/>
      <c r="B71" s="32"/>
      <c r="C71" s="32"/>
      <c r="D71" s="32"/>
      <c r="E71" s="33"/>
      <c r="F71" s="33"/>
      <c r="G71" s="34"/>
      <c r="H71" s="32"/>
      <c r="I71" s="32"/>
    </row>
    <row r="72" customFormat="false" ht="15" hidden="false" customHeight="false" outlineLevel="0" collapsed="false">
      <c r="A72" s="32"/>
      <c r="B72" s="32"/>
      <c r="C72" s="32"/>
      <c r="D72" s="32"/>
      <c r="E72" s="33"/>
      <c r="F72" s="33"/>
      <c r="G72" s="34"/>
      <c r="H72" s="32"/>
      <c r="I72" s="32"/>
    </row>
    <row r="73" customFormat="false" ht="15" hidden="false" customHeight="false" outlineLevel="0" collapsed="false">
      <c r="A73" s="32"/>
      <c r="B73" s="32"/>
      <c r="C73" s="32"/>
      <c r="D73" s="32"/>
      <c r="E73" s="33"/>
      <c r="F73" s="33"/>
      <c r="G73" s="34"/>
      <c r="H73" s="32"/>
      <c r="I73" s="32"/>
    </row>
    <row r="74" customFormat="false" ht="15" hidden="false" customHeight="false" outlineLevel="0" collapsed="false">
      <c r="A74" s="32"/>
      <c r="B74" s="32"/>
      <c r="C74" s="32"/>
      <c r="D74" s="32"/>
      <c r="E74" s="33"/>
      <c r="F74" s="33"/>
      <c r="G74" s="34"/>
      <c r="H74" s="32"/>
      <c r="I74" s="32"/>
    </row>
    <row r="75" customFormat="false" ht="15" hidden="false" customHeight="false" outlineLevel="0" collapsed="false">
      <c r="A75" s="32"/>
      <c r="B75" s="32"/>
      <c r="C75" s="32"/>
      <c r="D75" s="32"/>
      <c r="E75" s="33"/>
      <c r="F75" s="33"/>
      <c r="G75" s="34"/>
      <c r="H75" s="32"/>
      <c r="I75" s="32"/>
    </row>
    <row r="76" customFormat="false" ht="15" hidden="false" customHeight="false" outlineLevel="0" collapsed="false">
      <c r="A76" s="32"/>
      <c r="B76" s="32"/>
      <c r="C76" s="32"/>
      <c r="D76" s="32"/>
      <c r="E76" s="33"/>
      <c r="F76" s="33"/>
      <c r="G76" s="34"/>
      <c r="H76" s="32"/>
      <c r="I76" s="32"/>
    </row>
    <row r="77" customFormat="false" ht="15" hidden="false" customHeight="false" outlineLevel="0" collapsed="false">
      <c r="A77" s="32"/>
      <c r="B77" s="32"/>
      <c r="C77" s="32"/>
      <c r="D77" s="32"/>
      <c r="E77" s="33"/>
      <c r="F77" s="33"/>
      <c r="G77" s="34"/>
      <c r="H77" s="32"/>
      <c r="I77" s="32"/>
    </row>
    <row r="78" customFormat="false" ht="15" hidden="false" customHeight="false" outlineLevel="0" collapsed="false">
      <c r="A78" s="32"/>
      <c r="B78" s="32"/>
      <c r="C78" s="32"/>
      <c r="D78" s="32"/>
      <c r="E78" s="33"/>
      <c r="F78" s="33"/>
      <c r="G78" s="34"/>
      <c r="H78" s="32"/>
      <c r="I78" s="32"/>
    </row>
    <row r="79" customFormat="false" ht="15" hidden="false" customHeight="false" outlineLevel="0" collapsed="false">
      <c r="A79" s="32"/>
      <c r="B79" s="32"/>
      <c r="C79" s="32"/>
      <c r="D79" s="32"/>
      <c r="E79" s="33"/>
      <c r="F79" s="33"/>
      <c r="G79" s="34"/>
      <c r="H79" s="32"/>
      <c r="I79" s="32"/>
    </row>
    <row r="80" customFormat="false" ht="15" hidden="false" customHeight="false" outlineLevel="0" collapsed="false">
      <c r="A80" s="32"/>
      <c r="B80" s="32"/>
      <c r="C80" s="32"/>
      <c r="D80" s="32"/>
      <c r="E80" s="33"/>
      <c r="F80" s="33"/>
      <c r="G80" s="34"/>
      <c r="H80" s="32"/>
      <c r="I80" s="32"/>
    </row>
    <row r="81" customFormat="false" ht="15" hidden="false" customHeight="false" outlineLevel="0" collapsed="false">
      <c r="A81" s="32"/>
      <c r="B81" s="32"/>
      <c r="C81" s="32"/>
      <c r="D81" s="32"/>
      <c r="E81" s="33"/>
      <c r="F81" s="33"/>
      <c r="G81" s="34"/>
      <c r="H81" s="32"/>
      <c r="I81" s="32"/>
    </row>
    <row r="82" customFormat="false" ht="15" hidden="false" customHeight="false" outlineLevel="0" collapsed="false">
      <c r="A82" s="32"/>
      <c r="B82" s="32"/>
      <c r="C82" s="32"/>
      <c r="D82" s="32"/>
      <c r="E82" s="33"/>
      <c r="F82" s="33"/>
      <c r="G82" s="34"/>
      <c r="H82" s="32"/>
      <c r="I82" s="32"/>
    </row>
    <row r="83" customFormat="false" ht="15" hidden="false" customHeight="false" outlineLevel="0" collapsed="false">
      <c r="A83" s="32"/>
      <c r="B83" s="32"/>
      <c r="C83" s="32"/>
      <c r="D83" s="32"/>
      <c r="E83" s="33"/>
      <c r="F83" s="33"/>
      <c r="G83" s="34"/>
      <c r="H83" s="32"/>
      <c r="I83" s="32"/>
    </row>
    <row r="84" customFormat="false" ht="15" hidden="false" customHeight="false" outlineLevel="0" collapsed="false">
      <c r="A84" s="32"/>
      <c r="B84" s="32"/>
      <c r="C84" s="32"/>
      <c r="D84" s="32"/>
      <c r="E84" s="33"/>
      <c r="F84" s="33"/>
      <c r="G84" s="34"/>
      <c r="H84" s="32"/>
      <c r="I84" s="32"/>
    </row>
    <row r="85" customFormat="false" ht="15" hidden="false" customHeight="false" outlineLevel="0" collapsed="false">
      <c r="A85" s="32"/>
      <c r="B85" s="32"/>
      <c r="C85" s="32"/>
      <c r="D85" s="32"/>
      <c r="E85" s="33"/>
      <c r="F85" s="33"/>
      <c r="G85" s="34"/>
      <c r="H85" s="32"/>
      <c r="I85" s="32"/>
    </row>
    <row r="86" customFormat="false" ht="15" hidden="false" customHeight="false" outlineLevel="0" collapsed="false">
      <c r="A86" s="32"/>
      <c r="B86" s="32"/>
      <c r="C86" s="32"/>
      <c r="D86" s="32"/>
      <c r="E86" s="33"/>
      <c r="F86" s="33"/>
      <c r="G86" s="34"/>
      <c r="H86" s="32"/>
      <c r="I86" s="32"/>
    </row>
    <row r="87" customFormat="false" ht="15" hidden="false" customHeight="false" outlineLevel="0" collapsed="false">
      <c r="A87" s="32"/>
      <c r="B87" s="32"/>
      <c r="C87" s="32"/>
      <c r="D87" s="32"/>
      <c r="E87" s="33"/>
      <c r="F87" s="33"/>
      <c r="G87" s="34"/>
      <c r="H87" s="32"/>
      <c r="I87" s="32"/>
    </row>
    <row r="88" customFormat="false" ht="15" hidden="false" customHeight="false" outlineLevel="0" collapsed="false">
      <c r="A88" s="32"/>
      <c r="B88" s="32"/>
      <c r="C88" s="32"/>
      <c r="D88" s="32"/>
      <c r="E88" s="33"/>
      <c r="F88" s="33"/>
      <c r="G88" s="34"/>
      <c r="H88" s="32"/>
      <c r="I88" s="32"/>
    </row>
    <row r="89" customFormat="false" ht="15" hidden="false" customHeight="false" outlineLevel="0" collapsed="false">
      <c r="A89" s="32"/>
      <c r="B89" s="32"/>
      <c r="C89" s="32"/>
      <c r="D89" s="32"/>
      <c r="E89" s="33"/>
      <c r="F89" s="33"/>
      <c r="G89" s="34"/>
      <c r="H89" s="32"/>
      <c r="I89" s="32"/>
    </row>
    <row r="90" customFormat="false" ht="15" hidden="false" customHeight="false" outlineLevel="0" collapsed="false">
      <c r="A90" s="32"/>
      <c r="B90" s="32"/>
      <c r="C90" s="32"/>
      <c r="D90" s="32"/>
      <c r="E90" s="33"/>
      <c r="F90" s="33"/>
      <c r="G90" s="34"/>
      <c r="H90" s="32"/>
      <c r="I90" s="32"/>
    </row>
    <row r="91" customFormat="false" ht="15" hidden="false" customHeight="false" outlineLevel="0" collapsed="false">
      <c r="A91" s="32"/>
      <c r="B91" s="32"/>
      <c r="C91" s="32"/>
      <c r="D91" s="32"/>
      <c r="E91" s="33"/>
      <c r="F91" s="33"/>
      <c r="G91" s="34"/>
      <c r="H91" s="32"/>
      <c r="I91" s="32"/>
    </row>
    <row r="92" customFormat="false" ht="15" hidden="false" customHeight="false" outlineLevel="0" collapsed="false">
      <c r="A92" s="32"/>
      <c r="B92" s="32"/>
      <c r="C92" s="32"/>
      <c r="D92" s="32"/>
      <c r="E92" s="33"/>
      <c r="F92" s="33"/>
      <c r="G92" s="34"/>
      <c r="H92" s="32"/>
      <c r="I92" s="32"/>
    </row>
    <row r="93" customFormat="false" ht="15" hidden="false" customHeight="false" outlineLevel="0" collapsed="false">
      <c r="A93" s="32"/>
      <c r="B93" s="32"/>
      <c r="C93" s="32"/>
      <c r="D93" s="32"/>
      <c r="E93" s="33"/>
      <c r="F93" s="33"/>
      <c r="G93" s="34"/>
      <c r="H93" s="32"/>
      <c r="I93" s="32"/>
    </row>
    <row r="94" customFormat="false" ht="15" hidden="false" customHeight="false" outlineLevel="0" collapsed="false">
      <c r="A94" s="32"/>
      <c r="B94" s="32"/>
      <c r="C94" s="32"/>
      <c r="D94" s="32"/>
      <c r="E94" s="33"/>
      <c r="F94" s="33"/>
      <c r="G94" s="34"/>
      <c r="H94" s="32"/>
      <c r="I94" s="32"/>
    </row>
    <row r="95" customFormat="false" ht="15" hidden="false" customHeight="false" outlineLevel="0" collapsed="false">
      <c r="A95" s="32"/>
      <c r="B95" s="32"/>
      <c r="C95" s="32"/>
      <c r="D95" s="32"/>
      <c r="E95" s="33"/>
      <c r="F95" s="33"/>
      <c r="G95" s="34"/>
      <c r="H95" s="32"/>
      <c r="I95" s="32"/>
    </row>
    <row r="96" customFormat="false" ht="15" hidden="false" customHeight="false" outlineLevel="0" collapsed="false">
      <c r="A96" s="32"/>
      <c r="B96" s="32"/>
      <c r="C96" s="32"/>
      <c r="D96" s="32"/>
      <c r="E96" s="33"/>
      <c r="F96" s="33"/>
      <c r="G96" s="34"/>
      <c r="H96" s="32"/>
      <c r="I96" s="32"/>
    </row>
    <row r="97" customFormat="false" ht="15" hidden="false" customHeight="false" outlineLevel="0" collapsed="false">
      <c r="A97" s="32"/>
      <c r="B97" s="32"/>
      <c r="C97" s="32"/>
      <c r="D97" s="32"/>
      <c r="E97" s="33"/>
      <c r="F97" s="33"/>
      <c r="G97" s="34"/>
      <c r="H97" s="32"/>
      <c r="I97" s="32"/>
    </row>
    <row r="98" customFormat="false" ht="15" hidden="false" customHeight="false" outlineLevel="0" collapsed="false">
      <c r="A98" s="32"/>
      <c r="B98" s="32"/>
      <c r="C98" s="32"/>
      <c r="D98" s="32"/>
      <c r="E98" s="33"/>
      <c r="F98" s="33"/>
      <c r="G98" s="34"/>
      <c r="H98" s="32"/>
      <c r="I98" s="32"/>
    </row>
    <row r="99" customFormat="false" ht="15" hidden="false" customHeight="false" outlineLevel="0" collapsed="false">
      <c r="A99" s="32"/>
      <c r="B99" s="32"/>
      <c r="C99" s="32"/>
      <c r="D99" s="32"/>
      <c r="E99" s="33"/>
      <c r="F99" s="33"/>
      <c r="G99" s="34"/>
      <c r="H99" s="32"/>
      <c r="I99" s="32"/>
    </row>
    <row r="100" customFormat="false" ht="15" hidden="false" customHeight="false" outlineLevel="0" collapsed="false">
      <c r="A100" s="32"/>
      <c r="B100" s="32"/>
      <c r="C100" s="32"/>
      <c r="D100" s="32"/>
      <c r="E100" s="33"/>
      <c r="F100" s="33"/>
      <c r="G100" s="34"/>
      <c r="H100" s="32"/>
      <c r="I100" s="32"/>
    </row>
    <row r="101" customFormat="false" ht="15" hidden="false" customHeight="false" outlineLevel="0" collapsed="false">
      <c r="A101" s="32"/>
      <c r="B101" s="32"/>
      <c r="C101" s="32"/>
      <c r="D101" s="32"/>
      <c r="E101" s="33"/>
      <c r="F101" s="33"/>
      <c r="G101" s="34"/>
      <c r="H101" s="32"/>
      <c r="I101" s="32"/>
    </row>
    <row r="102" customFormat="false" ht="15" hidden="false" customHeight="false" outlineLevel="0" collapsed="false">
      <c r="A102" s="32"/>
      <c r="B102" s="32"/>
      <c r="C102" s="32"/>
      <c r="D102" s="32"/>
      <c r="E102" s="33"/>
      <c r="F102" s="33"/>
      <c r="G102" s="34"/>
      <c r="H102" s="32"/>
      <c r="I102" s="32"/>
    </row>
    <row r="103" customFormat="false" ht="15" hidden="false" customHeight="false" outlineLevel="0" collapsed="false">
      <c r="A103" s="32"/>
      <c r="B103" s="32"/>
      <c r="C103" s="32"/>
      <c r="D103" s="32"/>
      <c r="E103" s="33"/>
      <c r="F103" s="33"/>
      <c r="G103" s="34"/>
      <c r="H103" s="32"/>
      <c r="I103" s="32"/>
    </row>
    <row r="104" customFormat="false" ht="15" hidden="false" customHeight="false" outlineLevel="0" collapsed="false">
      <c r="A104" s="32"/>
      <c r="B104" s="32"/>
      <c r="C104" s="32"/>
      <c r="D104" s="32"/>
      <c r="E104" s="33"/>
      <c r="F104" s="33"/>
      <c r="G104" s="34"/>
      <c r="H104" s="32"/>
      <c r="I104" s="32"/>
    </row>
    <row r="105" customFormat="false" ht="15" hidden="false" customHeight="false" outlineLevel="0" collapsed="false">
      <c r="A105" s="32"/>
      <c r="B105" s="32"/>
      <c r="C105" s="32"/>
      <c r="D105" s="32"/>
      <c r="E105" s="33"/>
      <c r="F105" s="33"/>
      <c r="G105" s="34"/>
      <c r="H105" s="32"/>
      <c r="I105" s="32"/>
    </row>
    <row r="106" customFormat="false" ht="15" hidden="false" customHeight="false" outlineLevel="0" collapsed="false">
      <c r="A106" s="32"/>
      <c r="B106" s="32"/>
      <c r="C106" s="32"/>
      <c r="D106" s="32"/>
      <c r="E106" s="33"/>
      <c r="F106" s="33"/>
      <c r="G106" s="34"/>
      <c r="H106" s="32"/>
      <c r="I106" s="32"/>
    </row>
    <row r="107" customFormat="false" ht="15" hidden="false" customHeight="false" outlineLevel="0" collapsed="false">
      <c r="A107" s="32"/>
      <c r="B107" s="32"/>
      <c r="C107" s="32"/>
      <c r="D107" s="32"/>
      <c r="E107" s="33"/>
      <c r="F107" s="33"/>
      <c r="G107" s="34"/>
      <c r="H107" s="32"/>
      <c r="I107" s="32"/>
    </row>
    <row r="108" customFormat="false" ht="15" hidden="false" customHeight="false" outlineLevel="0" collapsed="false">
      <c r="A108" s="32"/>
      <c r="B108" s="32"/>
      <c r="C108" s="32"/>
      <c r="D108" s="32"/>
      <c r="E108" s="33"/>
      <c r="F108" s="33"/>
      <c r="G108" s="34"/>
      <c r="H108" s="32"/>
      <c r="I108" s="32"/>
    </row>
    <row r="109" customFormat="false" ht="15" hidden="false" customHeight="false" outlineLevel="0" collapsed="false">
      <c r="A109" s="32"/>
      <c r="B109" s="32"/>
      <c r="C109" s="32"/>
      <c r="D109" s="32"/>
      <c r="E109" s="33"/>
      <c r="F109" s="33"/>
      <c r="G109" s="34"/>
      <c r="H109" s="32"/>
      <c r="I109" s="32"/>
    </row>
    <row r="110" customFormat="false" ht="15" hidden="false" customHeight="false" outlineLevel="0" collapsed="false">
      <c r="A110" s="32"/>
      <c r="B110" s="32"/>
      <c r="C110" s="32"/>
      <c r="D110" s="32"/>
      <c r="E110" s="33"/>
      <c r="F110" s="33"/>
      <c r="G110" s="34"/>
      <c r="H110" s="32"/>
      <c r="I110" s="32"/>
    </row>
    <row r="111" customFormat="false" ht="15" hidden="false" customHeight="false" outlineLevel="0" collapsed="false">
      <c r="A111" s="32"/>
      <c r="B111" s="32"/>
      <c r="C111" s="32"/>
      <c r="D111" s="32"/>
      <c r="E111" s="33"/>
      <c r="F111" s="33"/>
      <c r="G111" s="34"/>
      <c r="H111" s="32"/>
      <c r="I111" s="32"/>
    </row>
    <row r="112" customFormat="false" ht="15" hidden="false" customHeight="false" outlineLevel="0" collapsed="false">
      <c r="A112" s="32"/>
      <c r="B112" s="32"/>
      <c r="C112" s="32"/>
      <c r="D112" s="32"/>
      <c r="E112" s="33"/>
      <c r="F112" s="33"/>
      <c r="G112" s="34"/>
      <c r="H112" s="32"/>
      <c r="I112" s="32"/>
    </row>
    <row r="113" customFormat="false" ht="15" hidden="false" customHeight="false" outlineLevel="0" collapsed="false">
      <c r="A113" s="32"/>
      <c r="B113" s="32"/>
      <c r="C113" s="32"/>
      <c r="D113" s="32"/>
      <c r="E113" s="33"/>
      <c r="F113" s="33"/>
      <c r="G113" s="34"/>
      <c r="H113" s="32"/>
      <c r="I113" s="32"/>
    </row>
    <row r="114" customFormat="false" ht="15" hidden="false" customHeight="false" outlineLevel="0" collapsed="false">
      <c r="A114" s="32"/>
      <c r="B114" s="32"/>
      <c r="C114" s="32"/>
      <c r="D114" s="32"/>
      <c r="E114" s="33"/>
      <c r="F114" s="33"/>
      <c r="G114" s="34"/>
      <c r="H114" s="32"/>
      <c r="I114" s="32"/>
    </row>
    <row r="115" customFormat="false" ht="15" hidden="false" customHeight="false" outlineLevel="0" collapsed="false">
      <c r="A115" s="32"/>
      <c r="B115" s="32"/>
      <c r="C115" s="32"/>
      <c r="D115" s="32"/>
      <c r="E115" s="33"/>
      <c r="F115" s="33"/>
      <c r="G115" s="34"/>
      <c r="H115" s="32"/>
      <c r="I115" s="32"/>
    </row>
    <row r="116" customFormat="false" ht="15" hidden="false" customHeight="false" outlineLevel="0" collapsed="false">
      <c r="A116" s="32"/>
      <c r="B116" s="32"/>
      <c r="C116" s="32"/>
      <c r="D116" s="32"/>
      <c r="E116" s="33"/>
      <c r="F116" s="33"/>
      <c r="G116" s="34"/>
      <c r="H116" s="32"/>
      <c r="I116" s="32"/>
    </row>
    <row r="117" customFormat="false" ht="15" hidden="false" customHeight="false" outlineLevel="0" collapsed="false">
      <c r="A117" s="32"/>
      <c r="B117" s="32"/>
      <c r="C117" s="32"/>
      <c r="D117" s="32"/>
      <c r="E117" s="33"/>
      <c r="F117" s="33"/>
      <c r="G117" s="34"/>
      <c r="H117" s="32"/>
      <c r="I117" s="32"/>
    </row>
    <row r="118" customFormat="false" ht="15" hidden="false" customHeight="false" outlineLevel="0" collapsed="false">
      <c r="A118" s="32"/>
      <c r="B118" s="32"/>
      <c r="C118" s="32"/>
      <c r="D118" s="32"/>
      <c r="E118" s="33"/>
      <c r="F118" s="33"/>
      <c r="G118" s="34"/>
      <c r="H118" s="32"/>
      <c r="I118" s="32"/>
    </row>
    <row r="119" customFormat="false" ht="15" hidden="false" customHeight="false" outlineLevel="0" collapsed="false">
      <c r="A119" s="32"/>
      <c r="B119" s="32"/>
      <c r="C119" s="32"/>
      <c r="D119" s="32"/>
      <c r="E119" s="33"/>
      <c r="F119" s="33"/>
      <c r="G119" s="34"/>
      <c r="H119" s="32"/>
      <c r="I119" s="32"/>
    </row>
    <row r="120" customFormat="false" ht="15" hidden="false" customHeight="false" outlineLevel="0" collapsed="false">
      <c r="A120" s="32"/>
      <c r="B120" s="32"/>
      <c r="C120" s="32"/>
      <c r="D120" s="32"/>
      <c r="E120" s="33"/>
      <c r="F120" s="33"/>
      <c r="G120" s="34"/>
      <c r="H120" s="32"/>
      <c r="I120" s="32"/>
    </row>
    <row r="121" customFormat="false" ht="15" hidden="false" customHeight="false" outlineLevel="0" collapsed="false">
      <c r="A121" s="32"/>
      <c r="B121" s="32"/>
      <c r="C121" s="32"/>
      <c r="D121" s="32"/>
      <c r="E121" s="33"/>
      <c r="F121" s="33"/>
      <c r="G121" s="34"/>
      <c r="H121" s="32"/>
      <c r="I121" s="32"/>
    </row>
    <row r="122" customFormat="false" ht="15" hidden="false" customHeight="false" outlineLevel="0" collapsed="false">
      <c r="A122" s="32"/>
      <c r="B122" s="32"/>
      <c r="C122" s="32"/>
      <c r="D122" s="32"/>
      <c r="E122" s="33"/>
      <c r="F122" s="33"/>
      <c r="G122" s="34"/>
      <c r="H122" s="32"/>
      <c r="I122" s="32"/>
    </row>
    <row r="123" customFormat="false" ht="15" hidden="false" customHeight="false" outlineLevel="0" collapsed="false">
      <c r="A123" s="32"/>
      <c r="B123" s="32"/>
      <c r="C123" s="32"/>
      <c r="D123" s="32"/>
      <c r="E123" s="33"/>
      <c r="F123" s="33"/>
      <c r="G123" s="34"/>
      <c r="H123" s="32"/>
      <c r="I123" s="32"/>
    </row>
    <row r="124" customFormat="false" ht="15" hidden="false" customHeight="false" outlineLevel="0" collapsed="false">
      <c r="A124" s="32"/>
      <c r="B124" s="32"/>
      <c r="C124" s="32"/>
      <c r="D124" s="32"/>
      <c r="E124" s="33"/>
      <c r="F124" s="33"/>
      <c r="G124" s="34"/>
      <c r="H124" s="32"/>
      <c r="I124" s="32"/>
    </row>
    <row r="125" customFormat="false" ht="15" hidden="false" customHeight="false" outlineLevel="0" collapsed="false">
      <c r="A125" s="32"/>
      <c r="B125" s="32"/>
      <c r="C125" s="32"/>
      <c r="D125" s="32"/>
      <c r="E125" s="33"/>
      <c r="F125" s="33"/>
      <c r="G125" s="34"/>
      <c r="H125" s="32"/>
      <c r="I125" s="32"/>
    </row>
    <row r="126" customFormat="false" ht="15" hidden="false" customHeight="false" outlineLevel="0" collapsed="false">
      <c r="A126" s="32"/>
      <c r="B126" s="32"/>
      <c r="C126" s="32"/>
      <c r="D126" s="32"/>
      <c r="E126" s="33"/>
      <c r="F126" s="33"/>
      <c r="G126" s="34"/>
      <c r="H126" s="32"/>
      <c r="I126" s="32"/>
    </row>
    <row r="127" customFormat="false" ht="15" hidden="false" customHeight="false" outlineLevel="0" collapsed="false">
      <c r="A127" s="32"/>
      <c r="B127" s="32"/>
      <c r="C127" s="32"/>
      <c r="D127" s="32"/>
      <c r="E127" s="33"/>
      <c r="F127" s="33"/>
      <c r="G127" s="34"/>
      <c r="H127" s="32"/>
      <c r="I127" s="32"/>
    </row>
    <row r="128" customFormat="false" ht="15" hidden="false" customHeight="false" outlineLevel="0" collapsed="false">
      <c r="A128" s="32"/>
      <c r="B128" s="32"/>
      <c r="C128" s="32"/>
      <c r="D128" s="32"/>
      <c r="E128" s="33"/>
      <c r="F128" s="33"/>
      <c r="G128" s="34"/>
      <c r="H128" s="32"/>
      <c r="I128" s="32"/>
    </row>
    <row r="129" customFormat="false" ht="15" hidden="false" customHeight="false" outlineLevel="0" collapsed="false">
      <c r="A129" s="32"/>
      <c r="B129" s="32"/>
      <c r="C129" s="32"/>
      <c r="D129" s="32"/>
      <c r="E129" s="33"/>
      <c r="F129" s="33"/>
      <c r="G129" s="34"/>
      <c r="H129" s="32"/>
      <c r="I129" s="32"/>
    </row>
    <row r="130" customFormat="false" ht="15" hidden="false" customHeight="false" outlineLevel="0" collapsed="false">
      <c r="A130" s="32"/>
      <c r="B130" s="32"/>
      <c r="C130" s="32"/>
      <c r="D130" s="32"/>
      <c r="E130" s="33"/>
      <c r="F130" s="33"/>
      <c r="G130" s="34"/>
      <c r="H130" s="32"/>
      <c r="I130" s="32"/>
    </row>
    <row r="131" customFormat="false" ht="15" hidden="false" customHeight="false" outlineLevel="0" collapsed="false">
      <c r="A131" s="32"/>
      <c r="B131" s="32"/>
      <c r="C131" s="32"/>
      <c r="D131" s="32"/>
      <c r="E131" s="33"/>
      <c r="F131" s="33"/>
      <c r="G131" s="34"/>
      <c r="H131" s="32"/>
      <c r="I131" s="32"/>
    </row>
    <row r="132" customFormat="false" ht="15" hidden="false" customHeight="false" outlineLevel="0" collapsed="false">
      <c r="A132" s="32"/>
      <c r="B132" s="32"/>
      <c r="C132" s="32"/>
      <c r="D132" s="32"/>
      <c r="E132" s="33"/>
      <c r="F132" s="33"/>
      <c r="G132" s="34"/>
      <c r="H132" s="32"/>
      <c r="I132" s="32"/>
    </row>
    <row r="133" customFormat="false" ht="15" hidden="false" customHeight="false" outlineLevel="0" collapsed="false">
      <c r="A133" s="32"/>
      <c r="B133" s="32"/>
      <c r="C133" s="32"/>
      <c r="D133" s="32"/>
      <c r="E133" s="33"/>
      <c r="F133" s="33"/>
      <c r="G133" s="34"/>
      <c r="H133" s="32"/>
      <c r="I133" s="32"/>
    </row>
    <row r="134" customFormat="false" ht="15" hidden="false" customHeight="false" outlineLevel="0" collapsed="false">
      <c r="A134" s="32"/>
      <c r="B134" s="32"/>
      <c r="C134" s="32"/>
      <c r="D134" s="32"/>
      <c r="E134" s="33"/>
      <c r="F134" s="33"/>
      <c r="G134" s="34"/>
      <c r="H134" s="32"/>
      <c r="I134" s="32"/>
    </row>
    <row r="135" customFormat="false" ht="15" hidden="false" customHeight="false" outlineLevel="0" collapsed="false">
      <c r="A135" s="32"/>
      <c r="B135" s="32"/>
      <c r="C135" s="32"/>
      <c r="D135" s="32"/>
      <c r="E135" s="33"/>
      <c r="F135" s="33"/>
      <c r="G135" s="34"/>
      <c r="H135" s="32"/>
      <c r="I135" s="32"/>
    </row>
    <row r="136" customFormat="false" ht="15" hidden="false" customHeight="false" outlineLevel="0" collapsed="false">
      <c r="A136" s="32"/>
      <c r="B136" s="32"/>
      <c r="C136" s="32"/>
      <c r="D136" s="32"/>
      <c r="E136" s="33"/>
      <c r="F136" s="33"/>
      <c r="G136" s="34"/>
      <c r="H136" s="32"/>
      <c r="I136" s="32"/>
    </row>
    <row r="137" customFormat="false" ht="15" hidden="false" customHeight="false" outlineLevel="0" collapsed="false">
      <c r="A137" s="32"/>
      <c r="B137" s="32"/>
      <c r="C137" s="32"/>
      <c r="D137" s="32"/>
      <c r="E137" s="33"/>
      <c r="F137" s="33"/>
      <c r="G137" s="34"/>
      <c r="H137" s="32"/>
      <c r="I137" s="32"/>
    </row>
    <row r="138" customFormat="false" ht="15" hidden="false" customHeight="false" outlineLevel="0" collapsed="false">
      <c r="A138" s="32"/>
      <c r="B138" s="32"/>
      <c r="C138" s="32"/>
      <c r="D138" s="32"/>
      <c r="E138" s="33"/>
      <c r="F138" s="33"/>
      <c r="G138" s="34"/>
      <c r="H138" s="32"/>
      <c r="I138" s="32"/>
    </row>
    <row r="139" customFormat="false" ht="15" hidden="false" customHeight="false" outlineLevel="0" collapsed="false">
      <c r="A139" s="32"/>
      <c r="B139" s="32"/>
      <c r="C139" s="32"/>
      <c r="D139" s="32"/>
      <c r="E139" s="33"/>
      <c r="F139" s="33"/>
      <c r="G139" s="34"/>
      <c r="H139" s="32"/>
      <c r="I139" s="32"/>
    </row>
    <row r="140" customFormat="false" ht="15" hidden="false" customHeight="false" outlineLevel="0" collapsed="false">
      <c r="A140" s="32"/>
      <c r="B140" s="32"/>
      <c r="C140" s="32"/>
      <c r="D140" s="32"/>
      <c r="E140" s="33"/>
      <c r="F140" s="33"/>
      <c r="G140" s="34"/>
      <c r="H140" s="32"/>
      <c r="I140" s="32"/>
    </row>
    <row r="141" customFormat="false" ht="15" hidden="false" customHeight="false" outlineLevel="0" collapsed="false">
      <c r="A141" s="32"/>
      <c r="B141" s="32"/>
      <c r="C141" s="32"/>
      <c r="D141" s="32"/>
      <c r="E141" s="33"/>
      <c r="F141" s="33"/>
      <c r="G141" s="34"/>
      <c r="H141" s="32"/>
      <c r="I141" s="32"/>
    </row>
    <row r="142" customFormat="false" ht="15" hidden="false" customHeight="false" outlineLevel="0" collapsed="false">
      <c r="A142" s="32"/>
      <c r="B142" s="32"/>
      <c r="C142" s="32"/>
      <c r="D142" s="32"/>
      <c r="E142" s="33"/>
      <c r="F142" s="33"/>
      <c r="G142" s="34"/>
      <c r="H142" s="32"/>
      <c r="I142" s="32"/>
    </row>
    <row r="143" customFormat="false" ht="15" hidden="false" customHeight="false" outlineLevel="0" collapsed="false">
      <c r="A143" s="32"/>
      <c r="B143" s="32"/>
      <c r="C143" s="32"/>
      <c r="D143" s="32"/>
      <c r="E143" s="33"/>
      <c r="F143" s="33"/>
      <c r="G143" s="34"/>
      <c r="H143" s="32"/>
      <c r="I143" s="32"/>
    </row>
    <row r="144" customFormat="false" ht="15" hidden="false" customHeight="false" outlineLevel="0" collapsed="false">
      <c r="A144" s="32"/>
      <c r="B144" s="32"/>
      <c r="C144" s="32"/>
      <c r="D144" s="32"/>
      <c r="E144" s="33"/>
      <c r="F144" s="33"/>
      <c r="G144" s="34"/>
      <c r="H144" s="32"/>
      <c r="I144" s="32"/>
    </row>
    <row r="145" customFormat="false" ht="15" hidden="false" customHeight="false" outlineLevel="0" collapsed="false">
      <c r="A145" s="32"/>
      <c r="B145" s="32"/>
      <c r="C145" s="32"/>
      <c r="D145" s="32"/>
      <c r="E145" s="33"/>
      <c r="F145" s="33"/>
      <c r="G145" s="34"/>
      <c r="H145" s="32"/>
      <c r="I145" s="32"/>
    </row>
    <row r="146" customFormat="false" ht="15" hidden="false" customHeight="false" outlineLevel="0" collapsed="false">
      <c r="A146" s="32"/>
      <c r="B146" s="32"/>
      <c r="C146" s="32"/>
      <c r="D146" s="32"/>
      <c r="E146" s="33"/>
      <c r="F146" s="33"/>
      <c r="G146" s="34"/>
      <c r="H146" s="32"/>
      <c r="I146" s="32"/>
    </row>
    <row r="147" customFormat="false" ht="15" hidden="false" customHeight="false" outlineLevel="0" collapsed="false">
      <c r="A147" s="32"/>
      <c r="B147" s="32"/>
      <c r="C147" s="32"/>
      <c r="D147" s="32"/>
      <c r="E147" s="33"/>
      <c r="F147" s="33"/>
      <c r="G147" s="34"/>
      <c r="H147" s="32"/>
      <c r="I147" s="32"/>
    </row>
    <row r="148" customFormat="false" ht="15" hidden="false" customHeight="false" outlineLevel="0" collapsed="false">
      <c r="A148" s="32"/>
      <c r="B148" s="32"/>
      <c r="C148" s="32"/>
      <c r="D148" s="32"/>
      <c r="E148" s="33"/>
      <c r="F148" s="33"/>
      <c r="G148" s="34"/>
      <c r="H148" s="32"/>
      <c r="I148" s="32"/>
    </row>
    <row r="149" customFormat="false" ht="15" hidden="false" customHeight="false" outlineLevel="0" collapsed="false">
      <c r="A149" s="32"/>
      <c r="B149" s="32"/>
      <c r="C149" s="32"/>
      <c r="D149" s="32"/>
      <c r="E149" s="33"/>
      <c r="F149" s="33"/>
      <c r="G149" s="34"/>
      <c r="H149" s="32"/>
      <c r="I149" s="32"/>
    </row>
    <row r="150" customFormat="false" ht="15" hidden="false" customHeight="false" outlineLevel="0" collapsed="false">
      <c r="A150" s="32"/>
      <c r="B150" s="32"/>
      <c r="C150" s="32"/>
      <c r="D150" s="32"/>
      <c r="E150" s="33"/>
      <c r="F150" s="33"/>
      <c r="G150" s="34"/>
      <c r="H150" s="32"/>
      <c r="I150" s="32"/>
    </row>
    <row r="151" customFormat="false" ht="15" hidden="false" customHeight="false" outlineLevel="0" collapsed="false">
      <c r="A151" s="32"/>
      <c r="B151" s="32"/>
      <c r="C151" s="32"/>
      <c r="D151" s="32"/>
      <c r="E151" s="33"/>
      <c r="F151" s="33"/>
      <c r="G151" s="34"/>
      <c r="H151" s="32"/>
      <c r="I151" s="32"/>
    </row>
    <row r="152" customFormat="false" ht="15" hidden="false" customHeight="false" outlineLevel="0" collapsed="false">
      <c r="A152" s="32"/>
      <c r="B152" s="32"/>
      <c r="C152" s="32"/>
      <c r="D152" s="32"/>
      <c r="E152" s="33"/>
      <c r="F152" s="33"/>
      <c r="G152" s="34"/>
      <c r="H152" s="32"/>
      <c r="I152" s="32"/>
    </row>
    <row r="153" customFormat="false" ht="15" hidden="false" customHeight="false" outlineLevel="0" collapsed="false">
      <c r="A153" s="32"/>
      <c r="B153" s="32"/>
      <c r="C153" s="32"/>
      <c r="D153" s="32"/>
      <c r="E153" s="33"/>
      <c r="F153" s="33"/>
      <c r="G153" s="34"/>
      <c r="H153" s="32"/>
      <c r="I153" s="32"/>
    </row>
    <row r="154" customFormat="false" ht="15" hidden="false" customHeight="false" outlineLevel="0" collapsed="false">
      <c r="A154" s="32"/>
      <c r="B154" s="32"/>
      <c r="C154" s="32"/>
      <c r="D154" s="32"/>
      <c r="E154" s="33"/>
      <c r="F154" s="33"/>
      <c r="G154" s="34"/>
      <c r="H154" s="32"/>
      <c r="I154" s="32"/>
    </row>
    <row r="155" customFormat="false" ht="15" hidden="false" customHeight="false" outlineLevel="0" collapsed="false">
      <c r="A155" s="32"/>
      <c r="B155" s="32"/>
      <c r="C155" s="32"/>
      <c r="D155" s="32"/>
      <c r="E155" s="33"/>
      <c r="F155" s="33"/>
      <c r="G155" s="34"/>
      <c r="H155" s="32"/>
      <c r="I155" s="32"/>
    </row>
    <row r="156" customFormat="false" ht="15" hidden="false" customHeight="false" outlineLevel="0" collapsed="false">
      <c r="A156" s="32"/>
      <c r="B156" s="32"/>
      <c r="C156" s="32"/>
      <c r="D156" s="32"/>
      <c r="E156" s="33"/>
      <c r="F156" s="33"/>
      <c r="G156" s="34"/>
      <c r="H156" s="32"/>
      <c r="I156" s="32"/>
    </row>
    <row r="157" customFormat="false" ht="15" hidden="false" customHeight="false" outlineLevel="0" collapsed="false">
      <c r="A157" s="32"/>
      <c r="B157" s="32"/>
      <c r="C157" s="32"/>
      <c r="D157" s="32"/>
      <c r="E157" s="33"/>
      <c r="F157" s="33"/>
      <c r="G157" s="34"/>
      <c r="H157" s="32"/>
      <c r="I157" s="32"/>
    </row>
    <row r="158" customFormat="false" ht="15" hidden="false" customHeight="false" outlineLevel="0" collapsed="false">
      <c r="A158" s="32"/>
      <c r="B158" s="32"/>
      <c r="C158" s="32"/>
      <c r="D158" s="32"/>
      <c r="E158" s="33"/>
      <c r="F158" s="33"/>
      <c r="G158" s="34"/>
      <c r="H158" s="32"/>
      <c r="I158" s="32"/>
    </row>
    <row r="159" customFormat="false" ht="15" hidden="false" customHeight="false" outlineLevel="0" collapsed="false">
      <c r="A159" s="32"/>
      <c r="B159" s="32"/>
      <c r="C159" s="32"/>
      <c r="D159" s="32"/>
      <c r="E159" s="33"/>
      <c r="F159" s="33"/>
      <c r="G159" s="34"/>
      <c r="H159" s="32"/>
      <c r="I159" s="32"/>
    </row>
    <row r="160" customFormat="false" ht="15" hidden="false" customHeight="false" outlineLevel="0" collapsed="false">
      <c r="A160" s="32"/>
      <c r="B160" s="32"/>
      <c r="C160" s="32"/>
      <c r="D160" s="32"/>
      <c r="E160" s="33"/>
      <c r="F160" s="33"/>
      <c r="G160" s="34"/>
      <c r="H160" s="32"/>
      <c r="I160" s="32"/>
    </row>
    <row r="161" customFormat="false" ht="15" hidden="false" customHeight="false" outlineLevel="0" collapsed="false">
      <c r="A161" s="32"/>
      <c r="B161" s="32"/>
      <c r="C161" s="32"/>
      <c r="D161" s="32"/>
      <c r="E161" s="33"/>
      <c r="F161" s="33"/>
      <c r="G161" s="34"/>
      <c r="H161" s="32"/>
      <c r="I161" s="32"/>
    </row>
    <row r="162" customFormat="false" ht="15" hidden="false" customHeight="false" outlineLevel="0" collapsed="false">
      <c r="A162" s="32"/>
      <c r="B162" s="32"/>
      <c r="C162" s="32"/>
      <c r="D162" s="32"/>
      <c r="E162" s="33"/>
      <c r="F162" s="33"/>
      <c r="G162" s="34"/>
      <c r="H162" s="32"/>
      <c r="I162" s="32"/>
    </row>
    <row r="163" customFormat="false" ht="15" hidden="false" customHeight="false" outlineLevel="0" collapsed="false">
      <c r="A163" s="32"/>
      <c r="B163" s="32"/>
      <c r="C163" s="32"/>
      <c r="D163" s="32"/>
      <c r="E163" s="33"/>
      <c r="F163" s="33"/>
      <c r="G163" s="34"/>
      <c r="H163" s="32"/>
      <c r="I163" s="32"/>
    </row>
    <row r="164" customFormat="false" ht="15" hidden="false" customHeight="false" outlineLevel="0" collapsed="false">
      <c r="A164" s="32"/>
      <c r="B164" s="32"/>
      <c r="C164" s="32"/>
      <c r="D164" s="32"/>
      <c r="E164" s="33"/>
      <c r="F164" s="33"/>
      <c r="G164" s="34"/>
      <c r="H164" s="32"/>
      <c r="I164" s="32"/>
    </row>
    <row r="165" customFormat="false" ht="15" hidden="false" customHeight="false" outlineLevel="0" collapsed="false">
      <c r="A165" s="32"/>
      <c r="B165" s="32"/>
      <c r="C165" s="32"/>
      <c r="D165" s="32"/>
      <c r="E165" s="33"/>
      <c r="F165" s="33"/>
      <c r="G165" s="34"/>
      <c r="H165" s="32"/>
      <c r="I165" s="32"/>
    </row>
    <row r="166" customFormat="false" ht="15" hidden="false" customHeight="false" outlineLevel="0" collapsed="false">
      <c r="A166" s="32"/>
      <c r="B166" s="32"/>
      <c r="C166" s="32"/>
      <c r="D166" s="32"/>
      <c r="E166" s="33"/>
      <c r="F166" s="33"/>
      <c r="G166" s="34"/>
      <c r="H166" s="32"/>
      <c r="I166" s="32"/>
    </row>
    <row r="167" customFormat="false" ht="15" hidden="false" customHeight="false" outlineLevel="0" collapsed="false">
      <c r="A167" s="32"/>
      <c r="B167" s="32"/>
      <c r="C167" s="32"/>
      <c r="D167" s="32"/>
      <c r="E167" s="33"/>
      <c r="F167" s="33"/>
      <c r="G167" s="34"/>
      <c r="H167" s="32"/>
      <c r="I167" s="32"/>
    </row>
    <row r="168" customFormat="false" ht="15" hidden="false" customHeight="false" outlineLevel="0" collapsed="false">
      <c r="A168" s="32"/>
      <c r="B168" s="32"/>
      <c r="C168" s="32"/>
      <c r="D168" s="32"/>
      <c r="E168" s="33"/>
      <c r="F168" s="33"/>
      <c r="G168" s="34"/>
      <c r="H168" s="32"/>
      <c r="I168" s="32"/>
    </row>
    <row r="169" customFormat="false" ht="15" hidden="false" customHeight="false" outlineLevel="0" collapsed="false">
      <c r="A169" s="32"/>
      <c r="B169" s="32"/>
      <c r="C169" s="32"/>
      <c r="D169" s="32"/>
      <c r="E169" s="33"/>
      <c r="F169" s="33"/>
      <c r="G169" s="34"/>
      <c r="H169" s="32"/>
      <c r="I169" s="32"/>
    </row>
    <row r="170" customFormat="false" ht="15" hidden="false" customHeight="false" outlineLevel="0" collapsed="false">
      <c r="A170" s="32"/>
      <c r="B170" s="32"/>
      <c r="C170" s="32"/>
      <c r="D170" s="32"/>
      <c r="E170" s="33"/>
      <c r="F170" s="33"/>
      <c r="G170" s="34"/>
      <c r="H170" s="32"/>
      <c r="I170" s="32"/>
    </row>
    <row r="171" customFormat="false" ht="15" hidden="false" customHeight="false" outlineLevel="0" collapsed="false">
      <c r="A171" s="32"/>
      <c r="B171" s="32"/>
      <c r="C171" s="32"/>
      <c r="D171" s="32"/>
      <c r="E171" s="33"/>
      <c r="F171" s="33"/>
      <c r="G171" s="34"/>
      <c r="H171" s="32"/>
      <c r="I171" s="32"/>
    </row>
    <row r="172" customFormat="false" ht="15" hidden="false" customHeight="false" outlineLevel="0" collapsed="false">
      <c r="A172" s="32"/>
      <c r="B172" s="32"/>
      <c r="C172" s="32"/>
      <c r="D172" s="32"/>
      <c r="E172" s="33"/>
      <c r="F172" s="33"/>
      <c r="G172" s="34"/>
      <c r="H172" s="32"/>
      <c r="I172" s="32"/>
    </row>
    <row r="173" customFormat="false" ht="15" hidden="false" customHeight="false" outlineLevel="0" collapsed="false">
      <c r="A173" s="32"/>
      <c r="B173" s="32"/>
      <c r="C173" s="32"/>
      <c r="D173" s="32"/>
      <c r="E173" s="33"/>
      <c r="F173" s="33"/>
      <c r="G173" s="34"/>
      <c r="H173" s="32"/>
      <c r="I173" s="32"/>
    </row>
    <row r="174" customFormat="false" ht="15" hidden="false" customHeight="false" outlineLevel="0" collapsed="false">
      <c r="A174" s="32"/>
      <c r="B174" s="32"/>
      <c r="C174" s="32"/>
      <c r="D174" s="32"/>
      <c r="E174" s="33"/>
      <c r="F174" s="33"/>
      <c r="G174" s="34"/>
      <c r="H174" s="32"/>
      <c r="I174" s="32"/>
    </row>
    <row r="175" customFormat="false" ht="15" hidden="false" customHeight="false" outlineLevel="0" collapsed="false">
      <c r="A175" s="32"/>
      <c r="B175" s="32"/>
      <c r="C175" s="32"/>
      <c r="D175" s="32"/>
      <c r="E175" s="33"/>
      <c r="F175" s="33"/>
      <c r="G175" s="34"/>
      <c r="H175" s="32"/>
      <c r="I175" s="32"/>
    </row>
    <row r="176" customFormat="false" ht="15" hidden="false" customHeight="false" outlineLevel="0" collapsed="false">
      <c r="A176" s="32"/>
      <c r="B176" s="32"/>
      <c r="C176" s="32"/>
      <c r="D176" s="32"/>
      <c r="E176" s="33"/>
      <c r="F176" s="33"/>
      <c r="G176" s="34"/>
      <c r="H176" s="32"/>
      <c r="I176" s="32"/>
    </row>
    <row r="177" customFormat="false" ht="15" hidden="false" customHeight="false" outlineLevel="0" collapsed="false">
      <c r="A177" s="32"/>
      <c r="B177" s="32"/>
      <c r="C177" s="32"/>
      <c r="D177" s="32"/>
      <c r="E177" s="33"/>
      <c r="F177" s="33"/>
      <c r="G177" s="34"/>
      <c r="H177" s="32"/>
      <c r="I177" s="32"/>
    </row>
    <row r="178" customFormat="false" ht="15" hidden="false" customHeight="false" outlineLevel="0" collapsed="false">
      <c r="A178" s="32"/>
      <c r="B178" s="32"/>
      <c r="C178" s="32"/>
      <c r="D178" s="32"/>
      <c r="E178" s="33"/>
      <c r="F178" s="33"/>
      <c r="G178" s="34"/>
      <c r="H178" s="32"/>
      <c r="I178" s="32"/>
    </row>
    <row r="179" customFormat="false" ht="15" hidden="false" customHeight="false" outlineLevel="0" collapsed="false">
      <c r="A179" s="32"/>
      <c r="B179" s="32"/>
      <c r="C179" s="32"/>
      <c r="D179" s="32"/>
      <c r="E179" s="33"/>
      <c r="F179" s="33"/>
      <c r="G179" s="34"/>
      <c r="H179" s="32"/>
      <c r="I179" s="32"/>
    </row>
    <row r="180" customFormat="false" ht="15" hidden="false" customHeight="false" outlineLevel="0" collapsed="false">
      <c r="A180" s="32"/>
      <c r="B180" s="32"/>
      <c r="C180" s="32"/>
      <c r="D180" s="32"/>
      <c r="E180" s="33"/>
      <c r="F180" s="33"/>
      <c r="G180" s="34"/>
      <c r="H180" s="32"/>
      <c r="I180" s="32"/>
    </row>
    <row r="181" customFormat="false" ht="15" hidden="false" customHeight="false" outlineLevel="0" collapsed="false">
      <c r="A181" s="32"/>
      <c r="B181" s="32"/>
      <c r="C181" s="32"/>
      <c r="D181" s="32"/>
      <c r="E181" s="33"/>
      <c r="F181" s="33"/>
      <c r="G181" s="34"/>
      <c r="H181" s="32"/>
      <c r="I181" s="32"/>
    </row>
    <row r="182" customFormat="false" ht="15" hidden="false" customHeight="false" outlineLevel="0" collapsed="false">
      <c r="A182" s="32"/>
      <c r="B182" s="32"/>
      <c r="C182" s="32"/>
      <c r="D182" s="32"/>
      <c r="E182" s="33"/>
      <c r="F182" s="33"/>
      <c r="G182" s="34"/>
      <c r="H182" s="32"/>
      <c r="I182" s="32"/>
    </row>
    <row r="183" customFormat="false" ht="15" hidden="false" customHeight="false" outlineLevel="0" collapsed="false">
      <c r="A183" s="32"/>
      <c r="B183" s="32"/>
      <c r="C183" s="32"/>
      <c r="D183" s="32"/>
      <c r="E183" s="33"/>
      <c r="F183" s="33"/>
      <c r="G183" s="34"/>
      <c r="H183" s="32"/>
      <c r="I183" s="32"/>
    </row>
    <row r="184" customFormat="false" ht="15" hidden="false" customHeight="false" outlineLevel="0" collapsed="false">
      <c r="A184" s="32"/>
      <c r="B184" s="32"/>
      <c r="C184" s="32"/>
      <c r="D184" s="32"/>
      <c r="E184" s="33"/>
      <c r="F184" s="33"/>
      <c r="G184" s="34"/>
      <c r="H184" s="32"/>
      <c r="I184" s="32"/>
    </row>
    <row r="185" customFormat="false" ht="15" hidden="false" customHeight="false" outlineLevel="0" collapsed="false">
      <c r="A185" s="32"/>
      <c r="B185" s="32"/>
      <c r="C185" s="32"/>
      <c r="D185" s="32"/>
      <c r="E185" s="33"/>
      <c r="F185" s="33"/>
      <c r="G185" s="34"/>
      <c r="H185" s="32"/>
      <c r="I185" s="32"/>
    </row>
    <row r="186" customFormat="false" ht="15" hidden="false" customHeight="false" outlineLevel="0" collapsed="false">
      <c r="A186" s="32"/>
      <c r="B186" s="32"/>
      <c r="C186" s="32"/>
      <c r="D186" s="32"/>
      <c r="E186" s="33"/>
      <c r="F186" s="33"/>
      <c r="G186" s="34"/>
      <c r="H186" s="32"/>
      <c r="I186" s="32"/>
    </row>
    <row r="187" customFormat="false" ht="15" hidden="false" customHeight="false" outlineLevel="0" collapsed="false">
      <c r="A187" s="32"/>
      <c r="B187" s="32"/>
      <c r="C187" s="32"/>
      <c r="D187" s="32"/>
      <c r="E187" s="33"/>
      <c r="F187" s="33"/>
      <c r="G187" s="34"/>
      <c r="H187" s="32"/>
      <c r="I187" s="32"/>
    </row>
    <row r="188" customFormat="false" ht="15" hidden="false" customHeight="false" outlineLevel="0" collapsed="false">
      <c r="A188" s="32"/>
      <c r="B188" s="32"/>
      <c r="C188" s="32"/>
      <c r="D188" s="32"/>
      <c r="E188" s="33"/>
      <c r="F188" s="33"/>
      <c r="G188" s="34"/>
      <c r="H188" s="32"/>
      <c r="I188" s="32"/>
    </row>
    <row r="189" customFormat="false" ht="15" hidden="false" customHeight="false" outlineLevel="0" collapsed="false">
      <c r="A189" s="32"/>
      <c r="B189" s="32"/>
      <c r="C189" s="32"/>
      <c r="D189" s="32"/>
      <c r="E189" s="33"/>
      <c r="F189" s="33"/>
      <c r="G189" s="34"/>
      <c r="H189" s="32"/>
      <c r="I189" s="32"/>
    </row>
    <row r="190" customFormat="false" ht="15" hidden="false" customHeight="false" outlineLevel="0" collapsed="false">
      <c r="A190" s="32"/>
      <c r="B190" s="32"/>
      <c r="C190" s="32"/>
      <c r="D190" s="32"/>
      <c r="E190" s="33"/>
      <c r="F190" s="33"/>
      <c r="G190" s="34"/>
      <c r="H190" s="32"/>
      <c r="I190" s="32"/>
    </row>
    <row r="191" customFormat="false" ht="15" hidden="false" customHeight="false" outlineLevel="0" collapsed="false">
      <c r="A191" s="32"/>
      <c r="B191" s="32"/>
      <c r="C191" s="32"/>
      <c r="D191" s="32"/>
      <c r="E191" s="33"/>
      <c r="F191" s="33"/>
      <c r="G191" s="34"/>
      <c r="H191" s="32"/>
      <c r="I191" s="32"/>
    </row>
    <row r="192" customFormat="false" ht="15" hidden="false" customHeight="false" outlineLevel="0" collapsed="false">
      <c r="A192" s="32"/>
      <c r="B192" s="32"/>
      <c r="C192" s="32"/>
      <c r="D192" s="32"/>
      <c r="E192" s="33"/>
      <c r="F192" s="33"/>
      <c r="G192" s="34"/>
      <c r="H192" s="32"/>
      <c r="I192" s="32"/>
    </row>
    <row r="193" customFormat="false" ht="15" hidden="false" customHeight="false" outlineLevel="0" collapsed="false">
      <c r="A193" s="32"/>
      <c r="B193" s="32"/>
      <c r="C193" s="32"/>
      <c r="D193" s="32"/>
      <c r="E193" s="33"/>
      <c r="F193" s="33"/>
      <c r="G193" s="34"/>
      <c r="H193" s="32"/>
      <c r="I193" s="32"/>
    </row>
    <row r="194" customFormat="false" ht="15" hidden="false" customHeight="false" outlineLevel="0" collapsed="false">
      <c r="A194" s="32"/>
      <c r="B194" s="32"/>
      <c r="C194" s="32"/>
      <c r="D194" s="32"/>
      <c r="E194" s="33"/>
      <c r="F194" s="33"/>
      <c r="G194" s="34"/>
      <c r="H194" s="32"/>
      <c r="I194" s="32"/>
    </row>
    <row r="195" customFormat="false" ht="15" hidden="false" customHeight="false" outlineLevel="0" collapsed="false">
      <c r="A195" s="32"/>
      <c r="B195" s="32"/>
      <c r="C195" s="32"/>
      <c r="D195" s="32"/>
      <c r="E195" s="33"/>
      <c r="F195" s="33"/>
      <c r="G195" s="34"/>
      <c r="H195" s="32"/>
      <c r="I195" s="32"/>
    </row>
    <row r="196" customFormat="false" ht="15" hidden="false" customHeight="false" outlineLevel="0" collapsed="false">
      <c r="A196" s="32"/>
      <c r="B196" s="32"/>
      <c r="C196" s="32"/>
      <c r="D196" s="32"/>
      <c r="E196" s="33"/>
      <c r="F196" s="33"/>
      <c r="G196" s="34"/>
      <c r="H196" s="32"/>
      <c r="I196" s="32"/>
    </row>
    <row r="197" customFormat="false" ht="15" hidden="false" customHeight="false" outlineLevel="0" collapsed="false">
      <c r="A197" s="32"/>
      <c r="B197" s="32"/>
      <c r="C197" s="32"/>
      <c r="D197" s="32"/>
      <c r="E197" s="33"/>
      <c r="F197" s="33"/>
      <c r="G197" s="34"/>
      <c r="H197" s="32"/>
      <c r="I197" s="32"/>
    </row>
    <row r="198" customFormat="false" ht="15" hidden="false" customHeight="false" outlineLevel="0" collapsed="false">
      <c r="A198" s="32"/>
      <c r="B198" s="32"/>
      <c r="C198" s="32"/>
      <c r="D198" s="32"/>
      <c r="E198" s="33"/>
      <c r="F198" s="33"/>
      <c r="G198" s="34"/>
      <c r="H198" s="32"/>
      <c r="I198" s="32"/>
    </row>
    <row r="199" customFormat="false" ht="15" hidden="false" customHeight="false" outlineLevel="0" collapsed="false">
      <c r="A199" s="32"/>
      <c r="B199" s="32"/>
      <c r="C199" s="32"/>
      <c r="D199" s="32"/>
      <c r="E199" s="33"/>
      <c r="F199" s="33"/>
      <c r="G199" s="34"/>
      <c r="H199" s="32"/>
      <c r="I199" s="32"/>
    </row>
    <row r="200" customFormat="false" ht="15" hidden="false" customHeight="false" outlineLevel="0" collapsed="false">
      <c r="A200" s="32"/>
      <c r="B200" s="32"/>
      <c r="C200" s="32"/>
      <c r="D200" s="32"/>
      <c r="E200" s="33"/>
      <c r="F200" s="33"/>
      <c r="G200" s="34"/>
      <c r="H200" s="32"/>
      <c r="I200" s="32"/>
    </row>
    <row r="201" customFormat="false" ht="15" hidden="false" customHeight="false" outlineLevel="0" collapsed="false">
      <c r="A201" s="32"/>
      <c r="B201" s="32"/>
      <c r="C201" s="32"/>
      <c r="D201" s="32"/>
      <c r="E201" s="33"/>
      <c r="F201" s="33"/>
      <c r="G201" s="34"/>
      <c r="H201" s="32"/>
      <c r="I201" s="32"/>
    </row>
    <row r="202" customFormat="false" ht="15" hidden="false" customHeight="false" outlineLevel="0" collapsed="false">
      <c r="A202" s="32"/>
      <c r="B202" s="32"/>
      <c r="C202" s="32"/>
      <c r="D202" s="32"/>
      <c r="E202" s="33"/>
      <c r="F202" s="33"/>
      <c r="G202" s="34"/>
      <c r="H202" s="32"/>
      <c r="I202" s="32"/>
    </row>
    <row r="203" customFormat="false" ht="15" hidden="false" customHeight="false" outlineLevel="0" collapsed="false">
      <c r="A203" s="32"/>
      <c r="B203" s="32"/>
      <c r="C203" s="32"/>
      <c r="D203" s="32"/>
      <c r="E203" s="33"/>
      <c r="F203" s="33"/>
      <c r="G203" s="34"/>
      <c r="H203" s="32"/>
      <c r="I203" s="32"/>
    </row>
  </sheetData>
  <autoFilter ref="A3:I203"/>
  <dataValidations count="1">
    <dataValidation allowBlank="true" errorStyle="stop" operator="between" showDropDown="false" showErrorMessage="false" showInputMessage="false" sqref="H4:H203" type="list">
      <formula1>"Đang chào giá,Đang thực hiện,Hoàn thành,Tạm dừng"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K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3" min="3" style="0" width="20"/>
    <col collapsed="false" customWidth="true" hidden="false" outlineLevel="0" max="4" min="4" style="0" width="14"/>
    <col collapsed="false" customWidth="true" hidden="false" outlineLevel="0" max="5" min="5" style="0" width="26"/>
    <col collapsed="false" customWidth="true" hidden="false" outlineLevel="0" max="6" min="6" style="0" width="32"/>
    <col collapsed="false" customWidth="true" hidden="false" outlineLevel="0" max="7" min="7" style="0" width="13"/>
    <col collapsed="false" customWidth="true" hidden="false" outlineLevel="0" max="8" min="8" style="0" width="12"/>
    <col collapsed="false" customWidth="true" hidden="false" outlineLevel="0" max="9" min="9" style="0" width="24"/>
    <col collapsed="false" customWidth="true" hidden="false" outlineLevel="0" max="10" min="10" style="0" width="16"/>
    <col collapsed="false" customWidth="true" hidden="false" outlineLevel="0" max="11" min="11" style="0" width="30"/>
  </cols>
  <sheetData>
    <row r="1" customFormat="false" ht="17.35" hidden="false" customHeight="false" outlineLevel="0" collapsed="false">
      <c r="A1" s="30" t="s">
        <v>154</v>
      </c>
    </row>
    <row r="2" customFormat="false" ht="15" hidden="false" customHeight="false" outlineLevel="0" collapsed="false">
      <c r="A2" s="8" t="s">
        <v>155</v>
      </c>
    </row>
    <row r="3" customFormat="false" ht="33.75" hidden="false" customHeight="true" outlineLevel="0" collapsed="false">
      <c r="A3" s="31" t="s">
        <v>156</v>
      </c>
      <c r="B3" s="31" t="s">
        <v>157</v>
      </c>
      <c r="C3" s="31" t="s">
        <v>158</v>
      </c>
      <c r="D3" s="31" t="s">
        <v>159</v>
      </c>
      <c r="E3" s="31" t="s">
        <v>160</v>
      </c>
      <c r="F3" s="31" t="s">
        <v>161</v>
      </c>
      <c r="G3" s="31" t="s">
        <v>162</v>
      </c>
      <c r="H3" s="31" t="s">
        <v>163</v>
      </c>
      <c r="I3" s="31" t="s">
        <v>164</v>
      </c>
      <c r="J3" s="31" t="s">
        <v>165</v>
      </c>
      <c r="K3" s="31" t="s">
        <v>142</v>
      </c>
    </row>
    <row r="4" customFormat="false" ht="15" hidden="false" customHeight="false" outlineLevel="0" collapsed="false">
      <c r="A4" s="32" t="s">
        <v>166</v>
      </c>
      <c r="B4" s="32" t="s">
        <v>167</v>
      </c>
      <c r="C4" s="32" t="s">
        <v>168</v>
      </c>
      <c r="D4" s="32" t="s">
        <v>169</v>
      </c>
      <c r="E4" s="32" t="s">
        <v>170</v>
      </c>
      <c r="F4" s="32" t="s">
        <v>171</v>
      </c>
      <c r="G4" s="34" t="n">
        <v>30</v>
      </c>
      <c r="H4" s="32" t="s">
        <v>172</v>
      </c>
      <c r="I4" s="32" t="s">
        <v>173</v>
      </c>
      <c r="J4" s="32" t="s">
        <v>174</v>
      </c>
      <c r="K4" s="35" t="s">
        <v>148</v>
      </c>
    </row>
    <row r="5" customFormat="false" ht="15" hidden="false" customHeight="false" outlineLevel="0" collapsed="false">
      <c r="A5" s="32" t="s">
        <v>175</v>
      </c>
      <c r="B5" s="32" t="s">
        <v>176</v>
      </c>
      <c r="C5" s="32" t="s">
        <v>177</v>
      </c>
      <c r="D5" s="32" t="s">
        <v>178</v>
      </c>
      <c r="E5" s="32" t="s">
        <v>179</v>
      </c>
      <c r="F5" s="32" t="s">
        <v>180</v>
      </c>
      <c r="G5" s="34" t="n">
        <v>45</v>
      </c>
      <c r="H5" s="32" t="s">
        <v>181</v>
      </c>
      <c r="I5" s="32" t="s">
        <v>182</v>
      </c>
      <c r="J5" s="32" t="s">
        <v>183</v>
      </c>
      <c r="K5" s="35" t="s">
        <v>148</v>
      </c>
    </row>
    <row r="6" customFormat="false" ht="15" hidden="false" customHeight="false" outlineLevel="0" collapsed="false">
      <c r="A6" s="32" t="s">
        <v>184</v>
      </c>
      <c r="B6" s="32" t="s">
        <v>185</v>
      </c>
      <c r="C6" s="32" t="s">
        <v>186</v>
      </c>
      <c r="D6" s="32" t="s">
        <v>187</v>
      </c>
      <c r="E6" s="32" t="s">
        <v>188</v>
      </c>
      <c r="F6" s="32" t="s">
        <v>189</v>
      </c>
      <c r="G6" s="34" t="n">
        <v>15</v>
      </c>
      <c r="H6" s="32" t="s">
        <v>181</v>
      </c>
      <c r="I6" s="32" t="s">
        <v>190</v>
      </c>
      <c r="J6" s="32" t="s">
        <v>191</v>
      </c>
      <c r="K6" s="35" t="s">
        <v>148</v>
      </c>
    </row>
    <row r="7" customFormat="false" ht="15" hidden="false" customHeight="false" outlineLevel="0" collapsed="false">
      <c r="A7" s="32"/>
      <c r="B7" s="32"/>
      <c r="C7" s="32"/>
      <c r="D7" s="32"/>
      <c r="E7" s="32"/>
      <c r="F7" s="32"/>
      <c r="G7" s="34"/>
      <c r="H7" s="32"/>
      <c r="I7" s="32"/>
      <c r="J7" s="32"/>
      <c r="K7" s="32"/>
    </row>
    <row r="8" customFormat="false" ht="15" hidden="false" customHeight="false" outlineLevel="0" collapsed="false">
      <c r="A8" s="32"/>
      <c r="B8" s="32"/>
      <c r="C8" s="32"/>
      <c r="D8" s="32"/>
      <c r="E8" s="32"/>
      <c r="F8" s="32"/>
      <c r="G8" s="34"/>
      <c r="H8" s="32"/>
      <c r="I8" s="32"/>
      <c r="J8" s="32"/>
      <c r="K8" s="32"/>
    </row>
    <row r="9" customFormat="false" ht="15" hidden="false" customHeight="false" outlineLevel="0" collapsed="false">
      <c r="A9" s="32"/>
      <c r="B9" s="32"/>
      <c r="C9" s="32"/>
      <c r="D9" s="32"/>
      <c r="E9" s="32"/>
      <c r="F9" s="32"/>
      <c r="G9" s="34"/>
      <c r="H9" s="32"/>
      <c r="I9" s="32"/>
      <c r="J9" s="32"/>
      <c r="K9" s="32"/>
    </row>
    <row r="10" customFormat="false" ht="15" hidden="false" customHeight="false" outlineLevel="0" collapsed="false">
      <c r="A10" s="32"/>
      <c r="B10" s="32"/>
      <c r="C10" s="32"/>
      <c r="D10" s="32"/>
      <c r="E10" s="32"/>
      <c r="F10" s="32"/>
      <c r="G10" s="34"/>
      <c r="H10" s="32"/>
      <c r="I10" s="32"/>
      <c r="J10" s="32"/>
      <c r="K10" s="32"/>
    </row>
    <row r="11" customFormat="false" ht="15" hidden="false" customHeight="false" outlineLevel="0" collapsed="false">
      <c r="A11" s="32"/>
      <c r="B11" s="32"/>
      <c r="C11" s="32"/>
      <c r="D11" s="32"/>
      <c r="E11" s="32"/>
      <c r="F11" s="32"/>
      <c r="G11" s="34"/>
      <c r="H11" s="32"/>
      <c r="I11" s="32"/>
      <c r="J11" s="32"/>
      <c r="K11" s="32"/>
    </row>
    <row r="12" customFormat="false" ht="15" hidden="false" customHeight="false" outlineLevel="0" collapsed="false">
      <c r="A12" s="32"/>
      <c r="B12" s="32"/>
      <c r="C12" s="32"/>
      <c r="D12" s="32"/>
      <c r="E12" s="32"/>
      <c r="F12" s="32"/>
      <c r="G12" s="34"/>
      <c r="H12" s="32"/>
      <c r="I12" s="32"/>
      <c r="J12" s="32"/>
      <c r="K12" s="32"/>
    </row>
    <row r="13" customFormat="false" ht="15" hidden="false" customHeight="false" outlineLevel="0" collapsed="false">
      <c r="A13" s="32"/>
      <c r="B13" s="32"/>
      <c r="C13" s="32"/>
      <c r="D13" s="32"/>
      <c r="E13" s="32"/>
      <c r="F13" s="32"/>
      <c r="G13" s="34"/>
      <c r="H13" s="32"/>
      <c r="I13" s="32"/>
      <c r="J13" s="32"/>
      <c r="K13" s="32"/>
    </row>
    <row r="14" customFormat="false" ht="15" hidden="false" customHeight="false" outlineLevel="0" collapsed="false">
      <c r="A14" s="32"/>
      <c r="B14" s="32"/>
      <c r="C14" s="32"/>
      <c r="D14" s="32"/>
      <c r="E14" s="32"/>
      <c r="F14" s="32"/>
      <c r="G14" s="34"/>
      <c r="H14" s="32"/>
      <c r="I14" s="32"/>
      <c r="J14" s="32"/>
      <c r="K14" s="32"/>
    </row>
    <row r="15" customFormat="false" ht="15" hidden="false" customHeight="false" outlineLevel="0" collapsed="false">
      <c r="A15" s="32"/>
      <c r="B15" s="32"/>
      <c r="C15" s="32"/>
      <c r="D15" s="32"/>
      <c r="E15" s="32"/>
      <c r="F15" s="32"/>
      <c r="G15" s="34"/>
      <c r="H15" s="32"/>
      <c r="I15" s="32"/>
      <c r="J15" s="32"/>
      <c r="K15" s="32"/>
    </row>
    <row r="16" customFormat="false" ht="15" hidden="false" customHeight="false" outlineLevel="0" collapsed="false">
      <c r="A16" s="32"/>
      <c r="B16" s="32"/>
      <c r="C16" s="32"/>
      <c r="D16" s="32"/>
      <c r="E16" s="32"/>
      <c r="F16" s="32"/>
      <c r="G16" s="34"/>
      <c r="H16" s="32"/>
      <c r="I16" s="32"/>
      <c r="J16" s="32"/>
      <c r="K16" s="32"/>
    </row>
    <row r="17" customFormat="false" ht="15" hidden="false" customHeight="false" outlineLevel="0" collapsed="false">
      <c r="A17" s="32"/>
      <c r="B17" s="32"/>
      <c r="C17" s="32"/>
      <c r="D17" s="32"/>
      <c r="E17" s="32"/>
      <c r="F17" s="32"/>
      <c r="G17" s="34"/>
      <c r="H17" s="32"/>
      <c r="I17" s="32"/>
      <c r="J17" s="32"/>
      <c r="K17" s="32"/>
    </row>
    <row r="18" customFormat="false" ht="15" hidden="false" customHeight="false" outlineLevel="0" collapsed="false">
      <c r="A18" s="32"/>
      <c r="B18" s="32"/>
      <c r="C18" s="32"/>
      <c r="D18" s="32"/>
      <c r="E18" s="32"/>
      <c r="F18" s="32"/>
      <c r="G18" s="34"/>
      <c r="H18" s="32"/>
      <c r="I18" s="32"/>
      <c r="J18" s="32"/>
      <c r="K18" s="32"/>
    </row>
    <row r="19" customFormat="false" ht="15" hidden="false" customHeight="false" outlineLevel="0" collapsed="false">
      <c r="A19" s="32"/>
      <c r="B19" s="32"/>
      <c r="C19" s="32"/>
      <c r="D19" s="32"/>
      <c r="E19" s="32"/>
      <c r="F19" s="32"/>
      <c r="G19" s="34"/>
      <c r="H19" s="32"/>
      <c r="I19" s="32"/>
      <c r="J19" s="32"/>
      <c r="K19" s="32"/>
    </row>
    <row r="20" customFormat="false" ht="15" hidden="false" customHeight="false" outlineLevel="0" collapsed="false">
      <c r="A20" s="32"/>
      <c r="B20" s="32"/>
      <c r="C20" s="32"/>
      <c r="D20" s="32"/>
      <c r="E20" s="32"/>
      <c r="F20" s="32"/>
      <c r="G20" s="34"/>
      <c r="H20" s="32"/>
      <c r="I20" s="32"/>
      <c r="J20" s="32"/>
      <c r="K20" s="32"/>
    </row>
    <row r="21" customFormat="false" ht="15" hidden="false" customHeight="false" outlineLevel="0" collapsed="false">
      <c r="A21" s="32"/>
      <c r="B21" s="32"/>
      <c r="C21" s="32"/>
      <c r="D21" s="32"/>
      <c r="E21" s="32"/>
      <c r="F21" s="32"/>
      <c r="G21" s="34"/>
      <c r="H21" s="32"/>
      <c r="I21" s="32"/>
      <c r="J21" s="32"/>
      <c r="K21" s="32"/>
    </row>
    <row r="22" customFormat="false" ht="15" hidden="false" customHeight="false" outlineLevel="0" collapsed="false">
      <c r="A22" s="32"/>
      <c r="B22" s="32"/>
      <c r="C22" s="32"/>
      <c r="D22" s="32"/>
      <c r="E22" s="32"/>
      <c r="F22" s="32"/>
      <c r="G22" s="34"/>
      <c r="H22" s="32"/>
      <c r="I22" s="32"/>
      <c r="J22" s="32"/>
      <c r="K22" s="32"/>
    </row>
    <row r="23" customFormat="false" ht="15" hidden="false" customHeight="false" outlineLevel="0" collapsed="false">
      <c r="A23" s="32"/>
      <c r="B23" s="32"/>
      <c r="C23" s="32"/>
      <c r="D23" s="32"/>
      <c r="E23" s="32"/>
      <c r="F23" s="32"/>
      <c r="G23" s="34"/>
      <c r="H23" s="32"/>
      <c r="I23" s="32"/>
      <c r="J23" s="32"/>
      <c r="K23" s="32"/>
    </row>
    <row r="24" customFormat="false" ht="15" hidden="false" customHeight="false" outlineLevel="0" collapsed="false">
      <c r="A24" s="32"/>
      <c r="B24" s="32"/>
      <c r="C24" s="32"/>
      <c r="D24" s="32"/>
      <c r="E24" s="32"/>
      <c r="F24" s="32"/>
      <c r="G24" s="34"/>
      <c r="H24" s="32"/>
      <c r="I24" s="32"/>
      <c r="J24" s="32"/>
      <c r="K24" s="32"/>
    </row>
    <row r="25" customFormat="false" ht="15" hidden="false" customHeight="false" outlineLevel="0" collapsed="false">
      <c r="A25" s="32"/>
      <c r="B25" s="32"/>
      <c r="C25" s="32"/>
      <c r="D25" s="32"/>
      <c r="E25" s="32"/>
      <c r="F25" s="32"/>
      <c r="G25" s="34"/>
      <c r="H25" s="32"/>
      <c r="I25" s="32"/>
      <c r="J25" s="32"/>
      <c r="K25" s="32"/>
    </row>
    <row r="26" customFormat="false" ht="15" hidden="false" customHeight="false" outlineLevel="0" collapsed="false">
      <c r="A26" s="32"/>
      <c r="B26" s="32"/>
      <c r="C26" s="32"/>
      <c r="D26" s="32"/>
      <c r="E26" s="32"/>
      <c r="F26" s="32"/>
      <c r="G26" s="34"/>
      <c r="H26" s="32"/>
      <c r="I26" s="32"/>
      <c r="J26" s="32"/>
      <c r="K26" s="32"/>
    </row>
    <row r="27" customFormat="false" ht="15" hidden="false" customHeight="false" outlineLevel="0" collapsed="false">
      <c r="A27" s="32"/>
      <c r="B27" s="32"/>
      <c r="C27" s="32"/>
      <c r="D27" s="32"/>
      <c r="E27" s="32"/>
      <c r="F27" s="32"/>
      <c r="G27" s="34"/>
      <c r="H27" s="32"/>
      <c r="I27" s="32"/>
      <c r="J27" s="32"/>
      <c r="K27" s="32"/>
    </row>
    <row r="28" customFormat="false" ht="15" hidden="false" customHeight="false" outlineLevel="0" collapsed="false">
      <c r="A28" s="32"/>
      <c r="B28" s="32"/>
      <c r="C28" s="32"/>
      <c r="D28" s="32"/>
      <c r="E28" s="32"/>
      <c r="F28" s="32"/>
      <c r="G28" s="34"/>
      <c r="H28" s="32"/>
      <c r="I28" s="32"/>
      <c r="J28" s="32"/>
      <c r="K28" s="32"/>
    </row>
    <row r="29" customFormat="false" ht="15" hidden="false" customHeight="false" outlineLevel="0" collapsed="false">
      <c r="A29" s="32"/>
      <c r="B29" s="32"/>
      <c r="C29" s="32"/>
      <c r="D29" s="32"/>
      <c r="E29" s="32"/>
      <c r="F29" s="32"/>
      <c r="G29" s="34"/>
      <c r="H29" s="32"/>
      <c r="I29" s="32"/>
      <c r="J29" s="32"/>
      <c r="K29" s="32"/>
    </row>
    <row r="30" customFormat="false" ht="15" hidden="false" customHeight="false" outlineLevel="0" collapsed="false">
      <c r="A30" s="32"/>
      <c r="B30" s="32"/>
      <c r="C30" s="32"/>
      <c r="D30" s="32"/>
      <c r="E30" s="32"/>
      <c r="F30" s="32"/>
      <c r="G30" s="34"/>
      <c r="H30" s="32"/>
      <c r="I30" s="32"/>
      <c r="J30" s="32"/>
      <c r="K30" s="32"/>
    </row>
    <row r="31" customFormat="false" ht="15" hidden="false" customHeight="false" outlineLevel="0" collapsed="false">
      <c r="A31" s="32"/>
      <c r="B31" s="32"/>
      <c r="C31" s="32"/>
      <c r="D31" s="32"/>
      <c r="E31" s="32"/>
      <c r="F31" s="32"/>
      <c r="G31" s="34"/>
      <c r="H31" s="32"/>
      <c r="I31" s="32"/>
      <c r="J31" s="32"/>
      <c r="K31" s="32"/>
    </row>
    <row r="32" customFormat="false" ht="15" hidden="false" customHeight="false" outlineLevel="0" collapsed="false">
      <c r="A32" s="32"/>
      <c r="B32" s="32"/>
      <c r="C32" s="32"/>
      <c r="D32" s="32"/>
      <c r="E32" s="32"/>
      <c r="F32" s="32"/>
      <c r="G32" s="34"/>
      <c r="H32" s="32"/>
      <c r="I32" s="32"/>
      <c r="J32" s="32"/>
      <c r="K32" s="32"/>
    </row>
    <row r="33" customFormat="false" ht="15" hidden="false" customHeight="false" outlineLevel="0" collapsed="false">
      <c r="A33" s="32"/>
      <c r="B33" s="32"/>
      <c r="C33" s="32"/>
      <c r="D33" s="32"/>
      <c r="E33" s="32"/>
      <c r="F33" s="32"/>
      <c r="G33" s="34"/>
      <c r="H33" s="32"/>
      <c r="I33" s="32"/>
      <c r="J33" s="32"/>
      <c r="K33" s="32"/>
    </row>
    <row r="34" customFormat="false" ht="15" hidden="false" customHeight="false" outlineLevel="0" collapsed="false">
      <c r="A34" s="32"/>
      <c r="B34" s="32"/>
      <c r="C34" s="32"/>
      <c r="D34" s="32"/>
      <c r="E34" s="32"/>
      <c r="F34" s="32"/>
      <c r="G34" s="34"/>
      <c r="H34" s="32"/>
      <c r="I34" s="32"/>
      <c r="J34" s="32"/>
      <c r="K34" s="32"/>
    </row>
    <row r="35" customFormat="false" ht="15" hidden="false" customHeight="false" outlineLevel="0" collapsed="false">
      <c r="A35" s="32"/>
      <c r="B35" s="32"/>
      <c r="C35" s="32"/>
      <c r="D35" s="32"/>
      <c r="E35" s="32"/>
      <c r="F35" s="32"/>
      <c r="G35" s="34"/>
      <c r="H35" s="32"/>
      <c r="I35" s="32"/>
      <c r="J35" s="32"/>
      <c r="K35" s="32"/>
    </row>
    <row r="36" customFormat="false" ht="15" hidden="false" customHeight="false" outlineLevel="0" collapsed="false">
      <c r="A36" s="32"/>
      <c r="B36" s="32"/>
      <c r="C36" s="32"/>
      <c r="D36" s="32"/>
      <c r="E36" s="32"/>
      <c r="F36" s="32"/>
      <c r="G36" s="34"/>
      <c r="H36" s="32"/>
      <c r="I36" s="32"/>
      <c r="J36" s="32"/>
      <c r="K36" s="32"/>
    </row>
    <row r="37" customFormat="false" ht="15" hidden="false" customHeight="false" outlineLevel="0" collapsed="false">
      <c r="A37" s="32"/>
      <c r="B37" s="32"/>
      <c r="C37" s="32"/>
      <c r="D37" s="32"/>
      <c r="E37" s="32"/>
      <c r="F37" s="32"/>
      <c r="G37" s="34"/>
      <c r="H37" s="32"/>
      <c r="I37" s="32"/>
      <c r="J37" s="32"/>
      <c r="K37" s="32"/>
    </row>
    <row r="38" customFormat="false" ht="15" hidden="false" customHeight="false" outlineLevel="0" collapsed="false">
      <c r="A38" s="32"/>
      <c r="B38" s="32"/>
      <c r="C38" s="32"/>
      <c r="D38" s="32"/>
      <c r="E38" s="32"/>
      <c r="F38" s="32"/>
      <c r="G38" s="34"/>
      <c r="H38" s="32"/>
      <c r="I38" s="32"/>
      <c r="J38" s="32"/>
      <c r="K38" s="32"/>
    </row>
    <row r="39" customFormat="false" ht="15" hidden="false" customHeight="false" outlineLevel="0" collapsed="false">
      <c r="A39" s="32"/>
      <c r="B39" s="32"/>
      <c r="C39" s="32"/>
      <c r="D39" s="32"/>
      <c r="E39" s="32"/>
      <c r="F39" s="32"/>
      <c r="G39" s="34"/>
      <c r="H39" s="32"/>
      <c r="I39" s="32"/>
      <c r="J39" s="32"/>
      <c r="K39" s="32"/>
    </row>
    <row r="40" customFormat="false" ht="15" hidden="false" customHeight="false" outlineLevel="0" collapsed="false">
      <c r="A40" s="32"/>
      <c r="B40" s="32"/>
      <c r="C40" s="32"/>
      <c r="D40" s="32"/>
      <c r="E40" s="32"/>
      <c r="F40" s="32"/>
      <c r="G40" s="34"/>
      <c r="H40" s="32"/>
      <c r="I40" s="32"/>
      <c r="J40" s="32"/>
      <c r="K40" s="32"/>
    </row>
    <row r="41" customFormat="false" ht="15" hidden="false" customHeight="false" outlineLevel="0" collapsed="false">
      <c r="A41" s="32"/>
      <c r="B41" s="32"/>
      <c r="C41" s="32"/>
      <c r="D41" s="32"/>
      <c r="E41" s="32"/>
      <c r="F41" s="32"/>
      <c r="G41" s="34"/>
      <c r="H41" s="32"/>
      <c r="I41" s="32"/>
      <c r="J41" s="32"/>
      <c r="K41" s="32"/>
    </row>
    <row r="42" customFormat="false" ht="15" hidden="false" customHeight="false" outlineLevel="0" collapsed="false">
      <c r="A42" s="32"/>
      <c r="B42" s="32"/>
      <c r="C42" s="32"/>
      <c r="D42" s="32"/>
      <c r="E42" s="32"/>
      <c r="F42" s="32"/>
      <c r="G42" s="34"/>
      <c r="H42" s="32"/>
      <c r="I42" s="32"/>
      <c r="J42" s="32"/>
      <c r="K42" s="32"/>
    </row>
    <row r="43" customFormat="false" ht="15" hidden="false" customHeight="false" outlineLevel="0" collapsed="false">
      <c r="A43" s="32"/>
      <c r="B43" s="32"/>
      <c r="C43" s="32"/>
      <c r="D43" s="32"/>
      <c r="E43" s="32"/>
      <c r="F43" s="32"/>
      <c r="G43" s="34"/>
      <c r="H43" s="32"/>
      <c r="I43" s="32"/>
      <c r="J43" s="32"/>
      <c r="K43" s="32"/>
    </row>
    <row r="44" customFormat="false" ht="15" hidden="false" customHeight="false" outlineLevel="0" collapsed="false">
      <c r="A44" s="32"/>
      <c r="B44" s="32"/>
      <c r="C44" s="32"/>
      <c r="D44" s="32"/>
      <c r="E44" s="32"/>
      <c r="F44" s="32"/>
      <c r="G44" s="34"/>
      <c r="H44" s="32"/>
      <c r="I44" s="32"/>
      <c r="J44" s="32"/>
      <c r="K44" s="32"/>
    </row>
    <row r="45" customFormat="false" ht="15" hidden="false" customHeight="false" outlineLevel="0" collapsed="false">
      <c r="A45" s="32"/>
      <c r="B45" s="32"/>
      <c r="C45" s="32"/>
      <c r="D45" s="32"/>
      <c r="E45" s="32"/>
      <c r="F45" s="32"/>
      <c r="G45" s="34"/>
      <c r="H45" s="32"/>
      <c r="I45" s="32"/>
      <c r="J45" s="32"/>
      <c r="K45" s="32"/>
    </row>
    <row r="46" customFormat="false" ht="15" hidden="false" customHeight="false" outlineLevel="0" collapsed="false">
      <c r="A46" s="32"/>
      <c r="B46" s="32"/>
      <c r="C46" s="32"/>
      <c r="D46" s="32"/>
      <c r="E46" s="32"/>
      <c r="F46" s="32"/>
      <c r="G46" s="34"/>
      <c r="H46" s="32"/>
      <c r="I46" s="32"/>
      <c r="J46" s="32"/>
      <c r="K46" s="32"/>
    </row>
    <row r="47" customFormat="false" ht="15" hidden="false" customHeight="false" outlineLevel="0" collapsed="false">
      <c r="A47" s="32"/>
      <c r="B47" s="32"/>
      <c r="C47" s="32"/>
      <c r="D47" s="32"/>
      <c r="E47" s="32"/>
      <c r="F47" s="32"/>
      <c r="G47" s="34"/>
      <c r="H47" s="32"/>
      <c r="I47" s="32"/>
      <c r="J47" s="32"/>
      <c r="K47" s="32"/>
    </row>
    <row r="48" customFormat="false" ht="15" hidden="false" customHeight="false" outlineLevel="0" collapsed="false">
      <c r="A48" s="32"/>
      <c r="B48" s="32"/>
      <c r="C48" s="32"/>
      <c r="D48" s="32"/>
      <c r="E48" s="32"/>
      <c r="F48" s="32"/>
      <c r="G48" s="34"/>
      <c r="H48" s="32"/>
      <c r="I48" s="32"/>
      <c r="J48" s="32"/>
      <c r="K48" s="32"/>
    </row>
    <row r="49" customFormat="false" ht="15" hidden="false" customHeight="false" outlineLevel="0" collapsed="false">
      <c r="A49" s="32"/>
      <c r="B49" s="32"/>
      <c r="C49" s="32"/>
      <c r="D49" s="32"/>
      <c r="E49" s="32"/>
      <c r="F49" s="32"/>
      <c r="G49" s="34"/>
      <c r="H49" s="32"/>
      <c r="I49" s="32"/>
      <c r="J49" s="32"/>
      <c r="K49" s="32"/>
    </row>
    <row r="50" customFormat="false" ht="15" hidden="false" customHeight="false" outlineLevel="0" collapsed="false">
      <c r="A50" s="32"/>
      <c r="B50" s="32"/>
      <c r="C50" s="32"/>
      <c r="D50" s="32"/>
      <c r="E50" s="32"/>
      <c r="F50" s="32"/>
      <c r="G50" s="34"/>
      <c r="H50" s="32"/>
      <c r="I50" s="32"/>
      <c r="J50" s="32"/>
      <c r="K50" s="32"/>
    </row>
    <row r="51" customFormat="false" ht="15" hidden="false" customHeight="false" outlineLevel="0" collapsed="false">
      <c r="A51" s="32"/>
      <c r="B51" s="32"/>
      <c r="C51" s="32"/>
      <c r="D51" s="32"/>
      <c r="E51" s="32"/>
      <c r="F51" s="32"/>
      <c r="G51" s="34"/>
      <c r="H51" s="32"/>
      <c r="I51" s="32"/>
      <c r="J51" s="32"/>
      <c r="K51" s="32"/>
    </row>
    <row r="52" customFormat="false" ht="15" hidden="false" customHeight="false" outlineLevel="0" collapsed="false">
      <c r="A52" s="32"/>
      <c r="B52" s="32"/>
      <c r="C52" s="32"/>
      <c r="D52" s="32"/>
      <c r="E52" s="32"/>
      <c r="F52" s="32"/>
      <c r="G52" s="34"/>
      <c r="H52" s="32"/>
      <c r="I52" s="32"/>
      <c r="J52" s="32"/>
      <c r="K52" s="32"/>
    </row>
    <row r="53" customFormat="false" ht="15" hidden="false" customHeight="false" outlineLevel="0" collapsed="false">
      <c r="A53" s="32"/>
      <c r="B53" s="32"/>
      <c r="C53" s="32"/>
      <c r="D53" s="32"/>
      <c r="E53" s="32"/>
      <c r="F53" s="32"/>
      <c r="G53" s="34"/>
      <c r="H53" s="32"/>
      <c r="I53" s="32"/>
      <c r="J53" s="32"/>
      <c r="K53" s="32"/>
    </row>
    <row r="54" customFormat="false" ht="15" hidden="false" customHeight="false" outlineLevel="0" collapsed="false">
      <c r="A54" s="32"/>
      <c r="B54" s="32"/>
      <c r="C54" s="32"/>
      <c r="D54" s="32"/>
      <c r="E54" s="32"/>
      <c r="F54" s="32"/>
      <c r="G54" s="34"/>
      <c r="H54" s="32"/>
      <c r="I54" s="32"/>
      <c r="J54" s="32"/>
      <c r="K54" s="32"/>
    </row>
    <row r="55" customFormat="false" ht="15" hidden="false" customHeight="false" outlineLevel="0" collapsed="false">
      <c r="A55" s="32"/>
      <c r="B55" s="32"/>
      <c r="C55" s="32"/>
      <c r="D55" s="32"/>
      <c r="E55" s="32"/>
      <c r="F55" s="32"/>
      <c r="G55" s="34"/>
      <c r="H55" s="32"/>
      <c r="I55" s="32"/>
      <c r="J55" s="32"/>
      <c r="K55" s="32"/>
    </row>
    <row r="56" customFormat="false" ht="15" hidden="false" customHeight="false" outlineLevel="0" collapsed="false">
      <c r="A56" s="32"/>
      <c r="B56" s="32"/>
      <c r="C56" s="32"/>
      <c r="D56" s="32"/>
      <c r="E56" s="32"/>
      <c r="F56" s="32"/>
      <c r="G56" s="34"/>
      <c r="H56" s="32"/>
      <c r="I56" s="32"/>
      <c r="J56" s="32"/>
      <c r="K56" s="32"/>
    </row>
    <row r="57" customFormat="false" ht="15" hidden="false" customHeight="false" outlineLevel="0" collapsed="false">
      <c r="A57" s="32"/>
      <c r="B57" s="32"/>
      <c r="C57" s="32"/>
      <c r="D57" s="32"/>
      <c r="E57" s="32"/>
      <c r="F57" s="32"/>
      <c r="G57" s="34"/>
      <c r="H57" s="32"/>
      <c r="I57" s="32"/>
      <c r="J57" s="32"/>
      <c r="K57" s="32"/>
    </row>
    <row r="58" customFormat="false" ht="15" hidden="false" customHeight="false" outlineLevel="0" collapsed="false">
      <c r="A58" s="32"/>
      <c r="B58" s="32"/>
      <c r="C58" s="32"/>
      <c r="D58" s="32"/>
      <c r="E58" s="32"/>
      <c r="F58" s="32"/>
      <c r="G58" s="34"/>
      <c r="H58" s="32"/>
      <c r="I58" s="32"/>
      <c r="J58" s="32"/>
      <c r="K58" s="32"/>
    </row>
    <row r="59" customFormat="false" ht="15" hidden="false" customHeight="false" outlineLevel="0" collapsed="false">
      <c r="A59" s="32"/>
      <c r="B59" s="32"/>
      <c r="C59" s="32"/>
      <c r="D59" s="32"/>
      <c r="E59" s="32"/>
      <c r="F59" s="32"/>
      <c r="G59" s="34"/>
      <c r="H59" s="32"/>
      <c r="I59" s="32"/>
      <c r="J59" s="32"/>
      <c r="K59" s="32"/>
    </row>
    <row r="60" customFormat="false" ht="15" hidden="false" customHeight="false" outlineLevel="0" collapsed="false">
      <c r="A60" s="32"/>
      <c r="B60" s="32"/>
      <c r="C60" s="32"/>
      <c r="D60" s="32"/>
      <c r="E60" s="32"/>
      <c r="F60" s="32"/>
      <c r="G60" s="34"/>
      <c r="H60" s="32"/>
      <c r="I60" s="32"/>
      <c r="J60" s="32"/>
      <c r="K60" s="32"/>
    </row>
    <row r="61" customFormat="false" ht="15" hidden="false" customHeight="false" outlineLevel="0" collapsed="false">
      <c r="A61" s="32"/>
      <c r="B61" s="32"/>
      <c r="C61" s="32"/>
      <c r="D61" s="32"/>
      <c r="E61" s="32"/>
      <c r="F61" s="32"/>
      <c r="G61" s="34"/>
      <c r="H61" s="32"/>
      <c r="I61" s="32"/>
      <c r="J61" s="32"/>
      <c r="K61" s="32"/>
    </row>
    <row r="62" customFormat="false" ht="15" hidden="false" customHeight="false" outlineLevel="0" collapsed="false">
      <c r="A62" s="32"/>
      <c r="B62" s="32"/>
      <c r="C62" s="32"/>
      <c r="D62" s="32"/>
      <c r="E62" s="32"/>
      <c r="F62" s="32"/>
      <c r="G62" s="34"/>
      <c r="H62" s="32"/>
      <c r="I62" s="32"/>
      <c r="J62" s="32"/>
      <c r="K62" s="32"/>
    </row>
    <row r="63" customFormat="false" ht="15" hidden="false" customHeight="false" outlineLevel="0" collapsed="false">
      <c r="A63" s="32"/>
      <c r="B63" s="32"/>
      <c r="C63" s="32"/>
      <c r="D63" s="32"/>
      <c r="E63" s="32"/>
      <c r="F63" s="32"/>
      <c r="G63" s="34"/>
      <c r="H63" s="32"/>
      <c r="I63" s="32"/>
      <c r="J63" s="32"/>
      <c r="K63" s="32"/>
    </row>
    <row r="64" customFormat="false" ht="15" hidden="false" customHeight="false" outlineLevel="0" collapsed="false">
      <c r="A64" s="32"/>
      <c r="B64" s="32"/>
      <c r="C64" s="32"/>
      <c r="D64" s="32"/>
      <c r="E64" s="32"/>
      <c r="F64" s="32"/>
      <c r="G64" s="34"/>
      <c r="H64" s="32"/>
      <c r="I64" s="32"/>
      <c r="J64" s="32"/>
      <c r="K64" s="32"/>
    </row>
    <row r="65" customFormat="false" ht="15" hidden="false" customHeight="false" outlineLevel="0" collapsed="false">
      <c r="A65" s="32"/>
      <c r="B65" s="32"/>
      <c r="C65" s="32"/>
      <c r="D65" s="32"/>
      <c r="E65" s="32"/>
      <c r="F65" s="32"/>
      <c r="G65" s="34"/>
      <c r="H65" s="32"/>
      <c r="I65" s="32"/>
      <c r="J65" s="32"/>
      <c r="K65" s="32"/>
    </row>
    <row r="66" customFormat="false" ht="15" hidden="false" customHeight="false" outlineLevel="0" collapsed="false">
      <c r="A66" s="32"/>
      <c r="B66" s="32"/>
      <c r="C66" s="32"/>
      <c r="D66" s="32"/>
      <c r="E66" s="32"/>
      <c r="F66" s="32"/>
      <c r="G66" s="34"/>
      <c r="H66" s="32"/>
      <c r="I66" s="32"/>
      <c r="J66" s="32"/>
      <c r="K66" s="32"/>
    </row>
    <row r="67" customFormat="false" ht="15" hidden="false" customHeight="false" outlineLevel="0" collapsed="false">
      <c r="A67" s="32"/>
      <c r="B67" s="32"/>
      <c r="C67" s="32"/>
      <c r="D67" s="32"/>
      <c r="E67" s="32"/>
      <c r="F67" s="32"/>
      <c r="G67" s="34"/>
      <c r="H67" s="32"/>
      <c r="I67" s="32"/>
      <c r="J67" s="32"/>
      <c r="K67" s="32"/>
    </row>
    <row r="68" customFormat="false" ht="15" hidden="false" customHeight="false" outlineLevel="0" collapsed="false">
      <c r="A68" s="32"/>
      <c r="B68" s="32"/>
      <c r="C68" s="32"/>
      <c r="D68" s="32"/>
      <c r="E68" s="32"/>
      <c r="F68" s="32"/>
      <c r="G68" s="34"/>
      <c r="H68" s="32"/>
      <c r="I68" s="32"/>
      <c r="J68" s="32"/>
      <c r="K68" s="32"/>
    </row>
    <row r="69" customFormat="false" ht="15" hidden="false" customHeight="false" outlineLevel="0" collapsed="false">
      <c r="A69" s="32"/>
      <c r="B69" s="32"/>
      <c r="C69" s="32"/>
      <c r="D69" s="32"/>
      <c r="E69" s="32"/>
      <c r="F69" s="32"/>
      <c r="G69" s="34"/>
      <c r="H69" s="32"/>
      <c r="I69" s="32"/>
      <c r="J69" s="32"/>
      <c r="K69" s="32"/>
    </row>
    <row r="70" customFormat="false" ht="15" hidden="false" customHeight="false" outlineLevel="0" collapsed="false">
      <c r="A70" s="32"/>
      <c r="B70" s="32"/>
      <c r="C70" s="32"/>
      <c r="D70" s="32"/>
      <c r="E70" s="32"/>
      <c r="F70" s="32"/>
      <c r="G70" s="34"/>
      <c r="H70" s="32"/>
      <c r="I70" s="32"/>
      <c r="J70" s="32"/>
      <c r="K70" s="32"/>
    </row>
    <row r="71" customFormat="false" ht="15" hidden="false" customHeight="false" outlineLevel="0" collapsed="false">
      <c r="A71" s="32"/>
      <c r="B71" s="32"/>
      <c r="C71" s="32"/>
      <c r="D71" s="32"/>
      <c r="E71" s="32"/>
      <c r="F71" s="32"/>
      <c r="G71" s="34"/>
      <c r="H71" s="32"/>
      <c r="I71" s="32"/>
      <c r="J71" s="32"/>
      <c r="K71" s="32"/>
    </row>
    <row r="72" customFormat="false" ht="15" hidden="false" customHeight="false" outlineLevel="0" collapsed="false">
      <c r="A72" s="32"/>
      <c r="B72" s="32"/>
      <c r="C72" s="32"/>
      <c r="D72" s="32"/>
      <c r="E72" s="32"/>
      <c r="F72" s="32"/>
      <c r="G72" s="34"/>
      <c r="H72" s="32"/>
      <c r="I72" s="32"/>
      <c r="J72" s="32"/>
      <c r="K72" s="32"/>
    </row>
    <row r="73" customFormat="false" ht="15" hidden="false" customHeight="false" outlineLevel="0" collapsed="false">
      <c r="A73" s="32"/>
      <c r="B73" s="32"/>
      <c r="C73" s="32"/>
      <c r="D73" s="32"/>
      <c r="E73" s="32"/>
      <c r="F73" s="32"/>
      <c r="G73" s="34"/>
      <c r="H73" s="32"/>
      <c r="I73" s="32"/>
      <c r="J73" s="32"/>
      <c r="K73" s="32"/>
    </row>
    <row r="74" customFormat="false" ht="15" hidden="false" customHeight="false" outlineLevel="0" collapsed="false">
      <c r="A74" s="32"/>
      <c r="B74" s="32"/>
      <c r="C74" s="32"/>
      <c r="D74" s="32"/>
      <c r="E74" s="32"/>
      <c r="F74" s="32"/>
      <c r="G74" s="34"/>
      <c r="H74" s="32"/>
      <c r="I74" s="32"/>
      <c r="J74" s="32"/>
      <c r="K74" s="32"/>
    </row>
    <row r="75" customFormat="false" ht="15" hidden="false" customHeight="false" outlineLevel="0" collapsed="false">
      <c r="A75" s="32"/>
      <c r="B75" s="32"/>
      <c r="C75" s="32"/>
      <c r="D75" s="32"/>
      <c r="E75" s="32"/>
      <c r="F75" s="32"/>
      <c r="G75" s="34"/>
      <c r="H75" s="32"/>
      <c r="I75" s="32"/>
      <c r="J75" s="32"/>
      <c r="K75" s="32"/>
    </row>
    <row r="76" customFormat="false" ht="15" hidden="false" customHeight="false" outlineLevel="0" collapsed="false">
      <c r="A76" s="32"/>
      <c r="B76" s="32"/>
      <c r="C76" s="32"/>
      <c r="D76" s="32"/>
      <c r="E76" s="32"/>
      <c r="F76" s="32"/>
      <c r="G76" s="34"/>
      <c r="H76" s="32"/>
      <c r="I76" s="32"/>
      <c r="J76" s="32"/>
      <c r="K76" s="32"/>
    </row>
    <row r="77" customFormat="false" ht="15" hidden="false" customHeight="false" outlineLevel="0" collapsed="false">
      <c r="A77" s="32"/>
      <c r="B77" s="32"/>
      <c r="C77" s="32"/>
      <c r="D77" s="32"/>
      <c r="E77" s="32"/>
      <c r="F77" s="32"/>
      <c r="G77" s="34"/>
      <c r="H77" s="32"/>
      <c r="I77" s="32"/>
      <c r="J77" s="32"/>
      <c r="K77" s="32"/>
    </row>
    <row r="78" customFormat="false" ht="15" hidden="false" customHeight="false" outlineLevel="0" collapsed="false">
      <c r="A78" s="32"/>
      <c r="B78" s="32"/>
      <c r="C78" s="32"/>
      <c r="D78" s="32"/>
      <c r="E78" s="32"/>
      <c r="F78" s="32"/>
      <c r="G78" s="34"/>
      <c r="H78" s="32"/>
      <c r="I78" s="32"/>
      <c r="J78" s="32"/>
      <c r="K78" s="32"/>
    </row>
    <row r="79" customFormat="false" ht="15" hidden="false" customHeight="false" outlineLevel="0" collapsed="false">
      <c r="A79" s="32"/>
      <c r="B79" s="32"/>
      <c r="C79" s="32"/>
      <c r="D79" s="32"/>
      <c r="E79" s="32"/>
      <c r="F79" s="32"/>
      <c r="G79" s="34"/>
      <c r="H79" s="32"/>
      <c r="I79" s="32"/>
      <c r="J79" s="32"/>
      <c r="K79" s="32"/>
    </row>
    <row r="80" customFormat="false" ht="15" hidden="false" customHeight="false" outlineLevel="0" collapsed="false">
      <c r="A80" s="32"/>
      <c r="B80" s="32"/>
      <c r="C80" s="32"/>
      <c r="D80" s="32"/>
      <c r="E80" s="32"/>
      <c r="F80" s="32"/>
      <c r="G80" s="34"/>
      <c r="H80" s="32"/>
      <c r="I80" s="32"/>
      <c r="J80" s="32"/>
      <c r="K80" s="32"/>
    </row>
    <row r="81" customFormat="false" ht="15" hidden="false" customHeight="false" outlineLevel="0" collapsed="false">
      <c r="A81" s="32"/>
      <c r="B81" s="32"/>
      <c r="C81" s="32"/>
      <c r="D81" s="32"/>
      <c r="E81" s="32"/>
      <c r="F81" s="32"/>
      <c r="G81" s="34"/>
      <c r="H81" s="32"/>
      <c r="I81" s="32"/>
      <c r="J81" s="32"/>
      <c r="K81" s="32"/>
    </row>
    <row r="82" customFormat="false" ht="15" hidden="false" customHeight="false" outlineLevel="0" collapsed="false">
      <c r="A82" s="32"/>
      <c r="B82" s="32"/>
      <c r="C82" s="32"/>
      <c r="D82" s="32"/>
      <c r="E82" s="32"/>
      <c r="F82" s="32"/>
      <c r="G82" s="34"/>
      <c r="H82" s="32"/>
      <c r="I82" s="32"/>
      <c r="J82" s="32"/>
      <c r="K82" s="32"/>
    </row>
    <row r="83" customFormat="false" ht="15" hidden="false" customHeight="false" outlineLevel="0" collapsed="false">
      <c r="A83" s="32"/>
      <c r="B83" s="32"/>
      <c r="C83" s="32"/>
      <c r="D83" s="32"/>
      <c r="E83" s="32"/>
      <c r="F83" s="32"/>
      <c r="G83" s="34"/>
      <c r="H83" s="32"/>
      <c r="I83" s="32"/>
      <c r="J83" s="32"/>
      <c r="K83" s="32"/>
    </row>
    <row r="84" customFormat="false" ht="15" hidden="false" customHeight="false" outlineLevel="0" collapsed="false">
      <c r="A84" s="32"/>
      <c r="B84" s="32"/>
      <c r="C84" s="32"/>
      <c r="D84" s="32"/>
      <c r="E84" s="32"/>
      <c r="F84" s="32"/>
      <c r="G84" s="34"/>
      <c r="H84" s="32"/>
      <c r="I84" s="32"/>
      <c r="J84" s="32"/>
      <c r="K84" s="32"/>
    </row>
    <row r="85" customFormat="false" ht="15" hidden="false" customHeight="false" outlineLevel="0" collapsed="false">
      <c r="A85" s="32"/>
      <c r="B85" s="32"/>
      <c r="C85" s="32"/>
      <c r="D85" s="32"/>
      <c r="E85" s="32"/>
      <c r="F85" s="32"/>
      <c r="G85" s="34"/>
      <c r="H85" s="32"/>
      <c r="I85" s="32"/>
      <c r="J85" s="32"/>
      <c r="K85" s="32"/>
    </row>
    <row r="86" customFormat="false" ht="15" hidden="false" customHeight="false" outlineLevel="0" collapsed="false">
      <c r="A86" s="32"/>
      <c r="B86" s="32"/>
      <c r="C86" s="32"/>
      <c r="D86" s="32"/>
      <c r="E86" s="32"/>
      <c r="F86" s="32"/>
      <c r="G86" s="34"/>
      <c r="H86" s="32"/>
      <c r="I86" s="32"/>
      <c r="J86" s="32"/>
      <c r="K86" s="32"/>
    </row>
    <row r="87" customFormat="false" ht="15" hidden="false" customHeight="false" outlineLevel="0" collapsed="false">
      <c r="A87" s="32"/>
      <c r="B87" s="32"/>
      <c r="C87" s="32"/>
      <c r="D87" s="32"/>
      <c r="E87" s="32"/>
      <c r="F87" s="32"/>
      <c r="G87" s="34"/>
      <c r="H87" s="32"/>
      <c r="I87" s="32"/>
      <c r="J87" s="32"/>
      <c r="K87" s="32"/>
    </row>
    <row r="88" customFormat="false" ht="15" hidden="false" customHeight="false" outlineLevel="0" collapsed="false">
      <c r="A88" s="32"/>
      <c r="B88" s="32"/>
      <c r="C88" s="32"/>
      <c r="D88" s="32"/>
      <c r="E88" s="32"/>
      <c r="F88" s="32"/>
      <c r="G88" s="34"/>
      <c r="H88" s="32"/>
      <c r="I88" s="32"/>
      <c r="J88" s="32"/>
      <c r="K88" s="32"/>
    </row>
    <row r="89" customFormat="false" ht="15" hidden="false" customHeight="false" outlineLevel="0" collapsed="false">
      <c r="A89" s="32"/>
      <c r="B89" s="32"/>
      <c r="C89" s="32"/>
      <c r="D89" s="32"/>
      <c r="E89" s="32"/>
      <c r="F89" s="32"/>
      <c r="G89" s="34"/>
      <c r="H89" s="32"/>
      <c r="I89" s="32"/>
      <c r="J89" s="32"/>
      <c r="K89" s="32"/>
    </row>
    <row r="90" customFormat="false" ht="15" hidden="false" customHeight="false" outlineLevel="0" collapsed="false">
      <c r="A90" s="32"/>
      <c r="B90" s="32"/>
      <c r="C90" s="32"/>
      <c r="D90" s="32"/>
      <c r="E90" s="32"/>
      <c r="F90" s="32"/>
      <c r="G90" s="34"/>
      <c r="H90" s="32"/>
      <c r="I90" s="32"/>
      <c r="J90" s="32"/>
      <c r="K90" s="32"/>
    </row>
    <row r="91" customFormat="false" ht="15" hidden="false" customHeight="false" outlineLevel="0" collapsed="false">
      <c r="A91" s="32"/>
      <c r="B91" s="32"/>
      <c r="C91" s="32"/>
      <c r="D91" s="32"/>
      <c r="E91" s="32"/>
      <c r="F91" s="32"/>
      <c r="G91" s="34"/>
      <c r="H91" s="32"/>
      <c r="I91" s="32"/>
      <c r="J91" s="32"/>
      <c r="K91" s="32"/>
    </row>
    <row r="92" customFormat="false" ht="15" hidden="false" customHeight="false" outlineLevel="0" collapsed="false">
      <c r="A92" s="32"/>
      <c r="B92" s="32"/>
      <c r="C92" s="32"/>
      <c r="D92" s="32"/>
      <c r="E92" s="32"/>
      <c r="F92" s="32"/>
      <c r="G92" s="34"/>
      <c r="H92" s="32"/>
      <c r="I92" s="32"/>
      <c r="J92" s="32"/>
      <c r="K92" s="32"/>
    </row>
    <row r="93" customFormat="false" ht="15" hidden="false" customHeight="false" outlineLevel="0" collapsed="false">
      <c r="A93" s="32"/>
      <c r="B93" s="32"/>
      <c r="C93" s="32"/>
      <c r="D93" s="32"/>
      <c r="E93" s="32"/>
      <c r="F93" s="32"/>
      <c r="G93" s="34"/>
      <c r="H93" s="32"/>
      <c r="I93" s="32"/>
      <c r="J93" s="32"/>
      <c r="K93" s="32"/>
    </row>
    <row r="94" customFormat="false" ht="15" hidden="false" customHeight="false" outlineLevel="0" collapsed="false">
      <c r="A94" s="32"/>
      <c r="B94" s="32"/>
      <c r="C94" s="32"/>
      <c r="D94" s="32"/>
      <c r="E94" s="32"/>
      <c r="F94" s="32"/>
      <c r="G94" s="34"/>
      <c r="H94" s="32"/>
      <c r="I94" s="32"/>
      <c r="J94" s="32"/>
      <c r="K94" s="32"/>
    </row>
    <row r="95" customFormat="false" ht="15" hidden="false" customHeight="false" outlineLevel="0" collapsed="false">
      <c r="A95" s="32"/>
      <c r="B95" s="32"/>
      <c r="C95" s="32"/>
      <c r="D95" s="32"/>
      <c r="E95" s="32"/>
      <c r="F95" s="32"/>
      <c r="G95" s="34"/>
      <c r="H95" s="32"/>
      <c r="I95" s="32"/>
      <c r="J95" s="32"/>
      <c r="K95" s="32"/>
    </row>
    <row r="96" customFormat="false" ht="15" hidden="false" customHeight="false" outlineLevel="0" collapsed="false">
      <c r="A96" s="32"/>
      <c r="B96" s="32"/>
      <c r="C96" s="32"/>
      <c r="D96" s="32"/>
      <c r="E96" s="32"/>
      <c r="F96" s="32"/>
      <c r="G96" s="34"/>
      <c r="H96" s="32"/>
      <c r="I96" s="32"/>
      <c r="J96" s="32"/>
      <c r="K96" s="32"/>
    </row>
    <row r="97" customFormat="false" ht="15" hidden="false" customHeight="false" outlineLevel="0" collapsed="false">
      <c r="A97" s="32"/>
      <c r="B97" s="32"/>
      <c r="C97" s="32"/>
      <c r="D97" s="32"/>
      <c r="E97" s="32"/>
      <c r="F97" s="32"/>
      <c r="G97" s="34"/>
      <c r="H97" s="32"/>
      <c r="I97" s="32"/>
      <c r="J97" s="32"/>
      <c r="K97" s="32"/>
    </row>
    <row r="98" customFormat="false" ht="15" hidden="false" customHeight="false" outlineLevel="0" collapsed="false">
      <c r="A98" s="32"/>
      <c r="B98" s="32"/>
      <c r="C98" s="32"/>
      <c r="D98" s="32"/>
      <c r="E98" s="32"/>
      <c r="F98" s="32"/>
      <c r="G98" s="34"/>
      <c r="H98" s="32"/>
      <c r="I98" s="32"/>
      <c r="J98" s="32"/>
      <c r="K98" s="32"/>
    </row>
    <row r="99" customFormat="false" ht="15" hidden="false" customHeight="false" outlineLevel="0" collapsed="false">
      <c r="A99" s="32"/>
      <c r="B99" s="32"/>
      <c r="C99" s="32"/>
      <c r="D99" s="32"/>
      <c r="E99" s="32"/>
      <c r="F99" s="32"/>
      <c r="G99" s="34"/>
      <c r="H99" s="32"/>
      <c r="I99" s="32"/>
      <c r="J99" s="32"/>
      <c r="K99" s="32"/>
    </row>
    <row r="100" customFormat="false" ht="15" hidden="false" customHeight="false" outlineLevel="0" collapsed="false">
      <c r="A100" s="32"/>
      <c r="B100" s="32"/>
      <c r="C100" s="32"/>
      <c r="D100" s="32"/>
      <c r="E100" s="32"/>
      <c r="F100" s="32"/>
      <c r="G100" s="34"/>
      <c r="H100" s="32"/>
      <c r="I100" s="32"/>
      <c r="J100" s="32"/>
      <c r="K100" s="32"/>
    </row>
    <row r="101" customFormat="false" ht="15" hidden="false" customHeight="false" outlineLevel="0" collapsed="false">
      <c r="A101" s="32"/>
      <c r="B101" s="32"/>
      <c r="C101" s="32"/>
      <c r="D101" s="32"/>
      <c r="E101" s="32"/>
      <c r="F101" s="32"/>
      <c r="G101" s="34"/>
      <c r="H101" s="32"/>
      <c r="I101" s="32"/>
      <c r="J101" s="32"/>
      <c r="K101" s="32"/>
    </row>
    <row r="102" customFormat="false" ht="15" hidden="false" customHeight="false" outlineLevel="0" collapsed="false">
      <c r="A102" s="32"/>
      <c r="B102" s="32"/>
      <c r="C102" s="32"/>
      <c r="D102" s="32"/>
      <c r="E102" s="32"/>
      <c r="F102" s="32"/>
      <c r="G102" s="34"/>
      <c r="H102" s="32"/>
      <c r="I102" s="32"/>
      <c r="J102" s="32"/>
      <c r="K102" s="32"/>
    </row>
    <row r="103" customFormat="false" ht="15" hidden="false" customHeight="false" outlineLevel="0" collapsed="false">
      <c r="A103" s="32"/>
      <c r="B103" s="32"/>
      <c r="C103" s="32"/>
      <c r="D103" s="32"/>
      <c r="E103" s="32"/>
      <c r="F103" s="32"/>
      <c r="G103" s="34"/>
      <c r="H103" s="32"/>
      <c r="I103" s="32"/>
      <c r="J103" s="32"/>
      <c r="K103" s="32"/>
    </row>
    <row r="104" customFormat="false" ht="15" hidden="false" customHeight="false" outlineLevel="0" collapsed="false">
      <c r="A104" s="32"/>
      <c r="B104" s="32"/>
      <c r="C104" s="32"/>
      <c r="D104" s="32"/>
      <c r="E104" s="32"/>
      <c r="F104" s="32"/>
      <c r="G104" s="34"/>
      <c r="H104" s="32"/>
      <c r="I104" s="32"/>
      <c r="J104" s="32"/>
      <c r="K104" s="32"/>
    </row>
    <row r="105" customFormat="false" ht="15" hidden="false" customHeight="false" outlineLevel="0" collapsed="false">
      <c r="A105" s="32"/>
      <c r="B105" s="32"/>
      <c r="C105" s="32"/>
      <c r="D105" s="32"/>
      <c r="E105" s="32"/>
      <c r="F105" s="32"/>
      <c r="G105" s="34"/>
      <c r="H105" s="32"/>
      <c r="I105" s="32"/>
      <c r="J105" s="32"/>
      <c r="K105" s="32"/>
    </row>
    <row r="106" customFormat="false" ht="15" hidden="false" customHeight="false" outlineLevel="0" collapsed="false">
      <c r="A106" s="32"/>
      <c r="B106" s="32"/>
      <c r="C106" s="32"/>
      <c r="D106" s="32"/>
      <c r="E106" s="32"/>
      <c r="F106" s="32"/>
      <c r="G106" s="34"/>
      <c r="H106" s="32"/>
      <c r="I106" s="32"/>
      <c r="J106" s="32"/>
      <c r="K106" s="32"/>
    </row>
    <row r="107" customFormat="false" ht="15" hidden="false" customHeight="false" outlineLevel="0" collapsed="false">
      <c r="A107" s="32"/>
      <c r="B107" s="32"/>
      <c r="C107" s="32"/>
      <c r="D107" s="32"/>
      <c r="E107" s="32"/>
      <c r="F107" s="32"/>
      <c r="G107" s="34"/>
      <c r="H107" s="32"/>
      <c r="I107" s="32"/>
      <c r="J107" s="32"/>
      <c r="K107" s="32"/>
    </row>
    <row r="108" customFormat="false" ht="15" hidden="false" customHeight="false" outlineLevel="0" collapsed="false">
      <c r="A108" s="32"/>
      <c r="B108" s="32"/>
      <c r="C108" s="32"/>
      <c r="D108" s="32"/>
      <c r="E108" s="32"/>
      <c r="F108" s="32"/>
      <c r="G108" s="34"/>
      <c r="H108" s="32"/>
      <c r="I108" s="32"/>
      <c r="J108" s="32"/>
      <c r="K108" s="32"/>
    </row>
    <row r="109" customFormat="false" ht="15" hidden="false" customHeight="false" outlineLevel="0" collapsed="false">
      <c r="A109" s="32"/>
      <c r="B109" s="32"/>
      <c r="C109" s="32"/>
      <c r="D109" s="32"/>
      <c r="E109" s="32"/>
      <c r="F109" s="32"/>
      <c r="G109" s="34"/>
      <c r="H109" s="32"/>
      <c r="I109" s="32"/>
      <c r="J109" s="32"/>
      <c r="K109" s="32"/>
    </row>
    <row r="110" customFormat="false" ht="15" hidden="false" customHeight="false" outlineLevel="0" collapsed="false">
      <c r="A110" s="32"/>
      <c r="B110" s="32"/>
      <c r="C110" s="32"/>
      <c r="D110" s="32"/>
      <c r="E110" s="32"/>
      <c r="F110" s="32"/>
      <c r="G110" s="34"/>
      <c r="H110" s="32"/>
      <c r="I110" s="32"/>
      <c r="J110" s="32"/>
      <c r="K110" s="32"/>
    </row>
    <row r="111" customFormat="false" ht="15" hidden="false" customHeight="false" outlineLevel="0" collapsed="false">
      <c r="A111" s="32"/>
      <c r="B111" s="32"/>
      <c r="C111" s="32"/>
      <c r="D111" s="32"/>
      <c r="E111" s="32"/>
      <c r="F111" s="32"/>
      <c r="G111" s="34"/>
      <c r="H111" s="32"/>
      <c r="I111" s="32"/>
      <c r="J111" s="32"/>
      <c r="K111" s="32"/>
    </row>
    <row r="112" customFormat="false" ht="15" hidden="false" customHeight="false" outlineLevel="0" collapsed="false">
      <c r="A112" s="32"/>
      <c r="B112" s="32"/>
      <c r="C112" s="32"/>
      <c r="D112" s="32"/>
      <c r="E112" s="32"/>
      <c r="F112" s="32"/>
      <c r="G112" s="34"/>
      <c r="H112" s="32"/>
      <c r="I112" s="32"/>
      <c r="J112" s="32"/>
      <c r="K112" s="32"/>
    </row>
    <row r="113" customFormat="false" ht="15" hidden="false" customHeight="false" outlineLevel="0" collapsed="false">
      <c r="A113" s="32"/>
      <c r="B113" s="32"/>
      <c r="C113" s="32"/>
      <c r="D113" s="32"/>
      <c r="E113" s="32"/>
      <c r="F113" s="32"/>
      <c r="G113" s="34"/>
      <c r="H113" s="32"/>
      <c r="I113" s="32"/>
      <c r="J113" s="32"/>
      <c r="K113" s="32"/>
    </row>
    <row r="114" customFormat="false" ht="15" hidden="false" customHeight="false" outlineLevel="0" collapsed="false">
      <c r="A114" s="32"/>
      <c r="B114" s="32"/>
      <c r="C114" s="32"/>
      <c r="D114" s="32"/>
      <c r="E114" s="32"/>
      <c r="F114" s="32"/>
      <c r="G114" s="34"/>
      <c r="H114" s="32"/>
      <c r="I114" s="32"/>
      <c r="J114" s="32"/>
      <c r="K114" s="32"/>
    </row>
    <row r="115" customFormat="false" ht="15" hidden="false" customHeight="false" outlineLevel="0" collapsed="false">
      <c r="A115" s="32"/>
      <c r="B115" s="32"/>
      <c r="C115" s="32"/>
      <c r="D115" s="32"/>
      <c r="E115" s="32"/>
      <c r="F115" s="32"/>
      <c r="G115" s="34"/>
      <c r="H115" s="32"/>
      <c r="I115" s="32"/>
      <c r="J115" s="32"/>
      <c r="K115" s="32"/>
    </row>
    <row r="116" customFormat="false" ht="15" hidden="false" customHeight="false" outlineLevel="0" collapsed="false">
      <c r="A116" s="32"/>
      <c r="B116" s="32"/>
      <c r="C116" s="32"/>
      <c r="D116" s="32"/>
      <c r="E116" s="32"/>
      <c r="F116" s="32"/>
      <c r="G116" s="34"/>
      <c r="H116" s="32"/>
      <c r="I116" s="32"/>
      <c r="J116" s="32"/>
      <c r="K116" s="32"/>
    </row>
    <row r="117" customFormat="false" ht="15" hidden="false" customHeight="false" outlineLevel="0" collapsed="false">
      <c r="A117" s="32"/>
      <c r="B117" s="32"/>
      <c r="C117" s="32"/>
      <c r="D117" s="32"/>
      <c r="E117" s="32"/>
      <c r="F117" s="32"/>
      <c r="G117" s="34"/>
      <c r="H117" s="32"/>
      <c r="I117" s="32"/>
      <c r="J117" s="32"/>
      <c r="K117" s="32"/>
    </row>
    <row r="118" customFormat="false" ht="15" hidden="false" customHeight="false" outlineLevel="0" collapsed="false">
      <c r="A118" s="32"/>
      <c r="B118" s="32"/>
      <c r="C118" s="32"/>
      <c r="D118" s="32"/>
      <c r="E118" s="32"/>
      <c r="F118" s="32"/>
      <c r="G118" s="34"/>
      <c r="H118" s="32"/>
      <c r="I118" s="32"/>
      <c r="J118" s="32"/>
      <c r="K118" s="32"/>
    </row>
    <row r="119" customFormat="false" ht="15" hidden="false" customHeight="false" outlineLevel="0" collapsed="false">
      <c r="A119" s="32"/>
      <c r="B119" s="32"/>
      <c r="C119" s="32"/>
      <c r="D119" s="32"/>
      <c r="E119" s="32"/>
      <c r="F119" s="32"/>
      <c r="G119" s="34"/>
      <c r="H119" s="32"/>
      <c r="I119" s="32"/>
      <c r="J119" s="32"/>
      <c r="K119" s="32"/>
    </row>
    <row r="120" customFormat="false" ht="15" hidden="false" customHeight="false" outlineLevel="0" collapsed="false">
      <c r="A120" s="32"/>
      <c r="B120" s="32"/>
      <c r="C120" s="32"/>
      <c r="D120" s="32"/>
      <c r="E120" s="32"/>
      <c r="F120" s="32"/>
      <c r="G120" s="34"/>
      <c r="H120" s="32"/>
      <c r="I120" s="32"/>
      <c r="J120" s="32"/>
      <c r="K120" s="32"/>
    </row>
    <row r="121" customFormat="false" ht="15" hidden="false" customHeight="false" outlineLevel="0" collapsed="false">
      <c r="A121" s="32"/>
      <c r="B121" s="32"/>
      <c r="C121" s="32"/>
      <c r="D121" s="32"/>
      <c r="E121" s="32"/>
      <c r="F121" s="32"/>
      <c r="G121" s="34"/>
      <c r="H121" s="32"/>
      <c r="I121" s="32"/>
      <c r="J121" s="32"/>
      <c r="K121" s="32"/>
    </row>
    <row r="122" customFormat="false" ht="15" hidden="false" customHeight="false" outlineLevel="0" collapsed="false">
      <c r="A122" s="32"/>
      <c r="B122" s="32"/>
      <c r="C122" s="32"/>
      <c r="D122" s="32"/>
      <c r="E122" s="32"/>
      <c r="F122" s="32"/>
      <c r="G122" s="34"/>
      <c r="H122" s="32"/>
      <c r="I122" s="32"/>
      <c r="J122" s="32"/>
      <c r="K122" s="32"/>
    </row>
    <row r="123" customFormat="false" ht="15" hidden="false" customHeight="false" outlineLevel="0" collapsed="false">
      <c r="A123" s="32"/>
      <c r="B123" s="32"/>
      <c r="C123" s="32"/>
      <c r="D123" s="32"/>
      <c r="E123" s="32"/>
      <c r="F123" s="32"/>
      <c r="G123" s="34"/>
      <c r="H123" s="32"/>
      <c r="I123" s="32"/>
      <c r="J123" s="32"/>
      <c r="K123" s="32"/>
    </row>
    <row r="124" customFormat="false" ht="15" hidden="false" customHeight="false" outlineLevel="0" collapsed="false">
      <c r="A124" s="32"/>
      <c r="B124" s="32"/>
      <c r="C124" s="32"/>
      <c r="D124" s="32"/>
      <c r="E124" s="32"/>
      <c r="F124" s="32"/>
      <c r="G124" s="34"/>
      <c r="H124" s="32"/>
      <c r="I124" s="32"/>
      <c r="J124" s="32"/>
      <c r="K124" s="32"/>
    </row>
    <row r="125" customFormat="false" ht="15" hidden="false" customHeight="false" outlineLevel="0" collapsed="false">
      <c r="A125" s="32"/>
      <c r="B125" s="32"/>
      <c r="C125" s="32"/>
      <c r="D125" s="32"/>
      <c r="E125" s="32"/>
      <c r="F125" s="32"/>
      <c r="G125" s="34"/>
      <c r="H125" s="32"/>
      <c r="I125" s="32"/>
      <c r="J125" s="32"/>
      <c r="K125" s="32"/>
    </row>
    <row r="126" customFormat="false" ht="15" hidden="false" customHeight="false" outlineLevel="0" collapsed="false">
      <c r="A126" s="32"/>
      <c r="B126" s="32"/>
      <c r="C126" s="32"/>
      <c r="D126" s="32"/>
      <c r="E126" s="32"/>
      <c r="F126" s="32"/>
      <c r="G126" s="34"/>
      <c r="H126" s="32"/>
      <c r="I126" s="32"/>
      <c r="J126" s="32"/>
      <c r="K126" s="32"/>
    </row>
    <row r="127" customFormat="false" ht="15" hidden="false" customHeight="false" outlineLevel="0" collapsed="false">
      <c r="A127" s="32"/>
      <c r="B127" s="32"/>
      <c r="C127" s="32"/>
      <c r="D127" s="32"/>
      <c r="E127" s="32"/>
      <c r="F127" s="32"/>
      <c r="G127" s="34"/>
      <c r="H127" s="32"/>
      <c r="I127" s="32"/>
      <c r="J127" s="32"/>
      <c r="K127" s="32"/>
    </row>
    <row r="128" customFormat="false" ht="15" hidden="false" customHeight="false" outlineLevel="0" collapsed="false">
      <c r="A128" s="32"/>
      <c r="B128" s="32"/>
      <c r="C128" s="32"/>
      <c r="D128" s="32"/>
      <c r="E128" s="32"/>
      <c r="F128" s="32"/>
      <c r="G128" s="34"/>
      <c r="H128" s="32"/>
      <c r="I128" s="32"/>
      <c r="J128" s="32"/>
      <c r="K128" s="32"/>
    </row>
    <row r="129" customFormat="false" ht="15" hidden="false" customHeight="false" outlineLevel="0" collapsed="false">
      <c r="A129" s="32"/>
      <c r="B129" s="32"/>
      <c r="C129" s="32"/>
      <c r="D129" s="32"/>
      <c r="E129" s="32"/>
      <c r="F129" s="32"/>
      <c r="G129" s="34"/>
      <c r="H129" s="32"/>
      <c r="I129" s="32"/>
      <c r="J129" s="32"/>
      <c r="K129" s="32"/>
    </row>
    <row r="130" customFormat="false" ht="15" hidden="false" customHeight="false" outlineLevel="0" collapsed="false">
      <c r="A130" s="32"/>
      <c r="B130" s="32"/>
      <c r="C130" s="32"/>
      <c r="D130" s="32"/>
      <c r="E130" s="32"/>
      <c r="F130" s="32"/>
      <c r="G130" s="34"/>
      <c r="H130" s="32"/>
      <c r="I130" s="32"/>
      <c r="J130" s="32"/>
      <c r="K130" s="32"/>
    </row>
    <row r="131" customFormat="false" ht="15" hidden="false" customHeight="false" outlineLevel="0" collapsed="false">
      <c r="A131" s="32"/>
      <c r="B131" s="32"/>
      <c r="C131" s="32"/>
      <c r="D131" s="32"/>
      <c r="E131" s="32"/>
      <c r="F131" s="32"/>
      <c r="G131" s="34"/>
      <c r="H131" s="32"/>
      <c r="I131" s="32"/>
      <c r="J131" s="32"/>
      <c r="K131" s="32"/>
    </row>
    <row r="132" customFormat="false" ht="15" hidden="false" customHeight="false" outlineLevel="0" collapsed="false">
      <c r="A132" s="32"/>
      <c r="B132" s="32"/>
      <c r="C132" s="32"/>
      <c r="D132" s="32"/>
      <c r="E132" s="32"/>
      <c r="F132" s="32"/>
      <c r="G132" s="34"/>
      <c r="H132" s="32"/>
      <c r="I132" s="32"/>
      <c r="J132" s="32"/>
      <c r="K132" s="32"/>
    </row>
    <row r="133" customFormat="false" ht="15" hidden="false" customHeight="false" outlineLevel="0" collapsed="false">
      <c r="A133" s="32"/>
      <c r="B133" s="32"/>
      <c r="C133" s="32"/>
      <c r="D133" s="32"/>
      <c r="E133" s="32"/>
      <c r="F133" s="32"/>
      <c r="G133" s="34"/>
      <c r="H133" s="32"/>
      <c r="I133" s="32"/>
      <c r="J133" s="32"/>
      <c r="K133" s="32"/>
    </row>
    <row r="134" customFormat="false" ht="15" hidden="false" customHeight="false" outlineLevel="0" collapsed="false">
      <c r="A134" s="32"/>
      <c r="B134" s="32"/>
      <c r="C134" s="32"/>
      <c r="D134" s="32"/>
      <c r="E134" s="32"/>
      <c r="F134" s="32"/>
      <c r="G134" s="34"/>
      <c r="H134" s="32"/>
      <c r="I134" s="32"/>
      <c r="J134" s="32"/>
      <c r="K134" s="32"/>
    </row>
    <row r="135" customFormat="false" ht="15" hidden="false" customHeight="false" outlineLevel="0" collapsed="false">
      <c r="A135" s="32"/>
      <c r="B135" s="32"/>
      <c r="C135" s="32"/>
      <c r="D135" s="32"/>
      <c r="E135" s="32"/>
      <c r="F135" s="32"/>
      <c r="G135" s="34"/>
      <c r="H135" s="32"/>
      <c r="I135" s="32"/>
      <c r="J135" s="32"/>
      <c r="K135" s="32"/>
    </row>
    <row r="136" customFormat="false" ht="15" hidden="false" customHeight="false" outlineLevel="0" collapsed="false">
      <c r="A136" s="32"/>
      <c r="B136" s="32"/>
      <c r="C136" s="32"/>
      <c r="D136" s="32"/>
      <c r="E136" s="32"/>
      <c r="F136" s="32"/>
      <c r="G136" s="34"/>
      <c r="H136" s="32"/>
      <c r="I136" s="32"/>
      <c r="J136" s="32"/>
      <c r="K136" s="32"/>
    </row>
    <row r="137" customFormat="false" ht="15" hidden="false" customHeight="false" outlineLevel="0" collapsed="false">
      <c r="A137" s="32"/>
      <c r="B137" s="32"/>
      <c r="C137" s="32"/>
      <c r="D137" s="32"/>
      <c r="E137" s="32"/>
      <c r="F137" s="32"/>
      <c r="G137" s="34"/>
      <c r="H137" s="32"/>
      <c r="I137" s="32"/>
      <c r="J137" s="32"/>
      <c r="K137" s="32"/>
    </row>
    <row r="138" customFormat="false" ht="15" hidden="false" customHeight="false" outlineLevel="0" collapsed="false">
      <c r="A138" s="32"/>
      <c r="B138" s="32"/>
      <c r="C138" s="32"/>
      <c r="D138" s="32"/>
      <c r="E138" s="32"/>
      <c r="F138" s="32"/>
      <c r="G138" s="34"/>
      <c r="H138" s="32"/>
      <c r="I138" s="32"/>
      <c r="J138" s="32"/>
      <c r="K138" s="32"/>
    </row>
    <row r="139" customFormat="false" ht="15" hidden="false" customHeight="false" outlineLevel="0" collapsed="false">
      <c r="A139" s="32"/>
      <c r="B139" s="32"/>
      <c r="C139" s="32"/>
      <c r="D139" s="32"/>
      <c r="E139" s="32"/>
      <c r="F139" s="32"/>
      <c r="G139" s="34"/>
      <c r="H139" s="32"/>
      <c r="I139" s="32"/>
      <c r="J139" s="32"/>
      <c r="K139" s="32"/>
    </row>
    <row r="140" customFormat="false" ht="15" hidden="false" customHeight="false" outlineLevel="0" collapsed="false">
      <c r="A140" s="32"/>
      <c r="B140" s="32"/>
      <c r="C140" s="32"/>
      <c r="D140" s="32"/>
      <c r="E140" s="32"/>
      <c r="F140" s="32"/>
      <c r="G140" s="34"/>
      <c r="H140" s="32"/>
      <c r="I140" s="32"/>
      <c r="J140" s="32"/>
      <c r="K140" s="32"/>
    </row>
    <row r="141" customFormat="false" ht="15" hidden="false" customHeight="false" outlineLevel="0" collapsed="false">
      <c r="A141" s="32"/>
      <c r="B141" s="32"/>
      <c r="C141" s="32"/>
      <c r="D141" s="32"/>
      <c r="E141" s="32"/>
      <c r="F141" s="32"/>
      <c r="G141" s="34"/>
      <c r="H141" s="32"/>
      <c r="I141" s="32"/>
      <c r="J141" s="32"/>
      <c r="K141" s="32"/>
    </row>
    <row r="142" customFormat="false" ht="15" hidden="false" customHeight="false" outlineLevel="0" collapsed="false">
      <c r="A142" s="32"/>
      <c r="B142" s="32"/>
      <c r="C142" s="32"/>
      <c r="D142" s="32"/>
      <c r="E142" s="32"/>
      <c r="F142" s="32"/>
      <c r="G142" s="34"/>
      <c r="H142" s="32"/>
      <c r="I142" s="32"/>
      <c r="J142" s="32"/>
      <c r="K142" s="32"/>
    </row>
    <row r="143" customFormat="false" ht="15" hidden="false" customHeight="false" outlineLevel="0" collapsed="false">
      <c r="A143" s="32"/>
      <c r="B143" s="32"/>
      <c r="C143" s="32"/>
      <c r="D143" s="32"/>
      <c r="E143" s="32"/>
      <c r="F143" s="32"/>
      <c r="G143" s="34"/>
      <c r="H143" s="32"/>
      <c r="I143" s="32"/>
      <c r="J143" s="32"/>
      <c r="K143" s="32"/>
    </row>
    <row r="144" customFormat="false" ht="15" hidden="false" customHeight="false" outlineLevel="0" collapsed="false">
      <c r="A144" s="32"/>
      <c r="B144" s="32"/>
      <c r="C144" s="32"/>
      <c r="D144" s="32"/>
      <c r="E144" s="32"/>
      <c r="F144" s="32"/>
      <c r="G144" s="34"/>
      <c r="H144" s="32"/>
      <c r="I144" s="32"/>
      <c r="J144" s="32"/>
      <c r="K144" s="32"/>
    </row>
    <row r="145" customFormat="false" ht="15" hidden="false" customHeight="false" outlineLevel="0" collapsed="false">
      <c r="A145" s="32"/>
      <c r="B145" s="32"/>
      <c r="C145" s="32"/>
      <c r="D145" s="32"/>
      <c r="E145" s="32"/>
      <c r="F145" s="32"/>
      <c r="G145" s="34"/>
      <c r="H145" s="32"/>
      <c r="I145" s="32"/>
      <c r="J145" s="32"/>
      <c r="K145" s="32"/>
    </row>
    <row r="146" customFormat="false" ht="15" hidden="false" customHeight="false" outlineLevel="0" collapsed="false">
      <c r="A146" s="32"/>
      <c r="B146" s="32"/>
      <c r="C146" s="32"/>
      <c r="D146" s="32"/>
      <c r="E146" s="32"/>
      <c r="F146" s="32"/>
      <c r="G146" s="34"/>
      <c r="H146" s="32"/>
      <c r="I146" s="32"/>
      <c r="J146" s="32"/>
      <c r="K146" s="32"/>
    </row>
    <row r="147" customFormat="false" ht="15" hidden="false" customHeight="false" outlineLevel="0" collapsed="false">
      <c r="A147" s="32"/>
      <c r="B147" s="32"/>
      <c r="C147" s="32"/>
      <c r="D147" s="32"/>
      <c r="E147" s="32"/>
      <c r="F147" s="32"/>
      <c r="G147" s="34"/>
      <c r="H147" s="32"/>
      <c r="I147" s="32"/>
      <c r="J147" s="32"/>
      <c r="K147" s="32"/>
    </row>
    <row r="148" customFormat="false" ht="15" hidden="false" customHeight="false" outlineLevel="0" collapsed="false">
      <c r="A148" s="32"/>
      <c r="B148" s="32"/>
      <c r="C148" s="32"/>
      <c r="D148" s="32"/>
      <c r="E148" s="32"/>
      <c r="F148" s="32"/>
      <c r="G148" s="34"/>
      <c r="H148" s="32"/>
      <c r="I148" s="32"/>
      <c r="J148" s="32"/>
      <c r="K148" s="32"/>
    </row>
    <row r="149" customFormat="false" ht="15" hidden="false" customHeight="false" outlineLevel="0" collapsed="false">
      <c r="A149" s="32"/>
      <c r="B149" s="32"/>
      <c r="C149" s="32"/>
      <c r="D149" s="32"/>
      <c r="E149" s="32"/>
      <c r="F149" s="32"/>
      <c r="G149" s="34"/>
      <c r="H149" s="32"/>
      <c r="I149" s="32"/>
      <c r="J149" s="32"/>
      <c r="K149" s="32"/>
    </row>
    <row r="150" customFormat="false" ht="15" hidden="false" customHeight="false" outlineLevel="0" collapsed="false">
      <c r="A150" s="32"/>
      <c r="B150" s="32"/>
      <c r="C150" s="32"/>
      <c r="D150" s="32"/>
      <c r="E150" s="32"/>
      <c r="F150" s="32"/>
      <c r="G150" s="34"/>
      <c r="H150" s="32"/>
      <c r="I150" s="32"/>
      <c r="J150" s="32"/>
      <c r="K150" s="32"/>
    </row>
    <row r="151" customFormat="false" ht="15" hidden="false" customHeight="false" outlineLevel="0" collapsed="false">
      <c r="A151" s="32"/>
      <c r="B151" s="32"/>
      <c r="C151" s="32"/>
      <c r="D151" s="32"/>
      <c r="E151" s="32"/>
      <c r="F151" s="32"/>
      <c r="G151" s="34"/>
      <c r="H151" s="32"/>
      <c r="I151" s="32"/>
      <c r="J151" s="32"/>
      <c r="K151" s="32"/>
    </row>
    <row r="152" customFormat="false" ht="15" hidden="false" customHeight="false" outlineLevel="0" collapsed="false">
      <c r="A152" s="32"/>
      <c r="B152" s="32"/>
      <c r="C152" s="32"/>
      <c r="D152" s="32"/>
      <c r="E152" s="32"/>
      <c r="F152" s="32"/>
      <c r="G152" s="34"/>
      <c r="H152" s="32"/>
      <c r="I152" s="32"/>
      <c r="J152" s="32"/>
      <c r="K152" s="32"/>
    </row>
    <row r="153" customFormat="false" ht="15" hidden="false" customHeight="false" outlineLevel="0" collapsed="false">
      <c r="A153" s="32"/>
      <c r="B153" s="32"/>
      <c r="C153" s="32"/>
      <c r="D153" s="32"/>
      <c r="E153" s="32"/>
      <c r="F153" s="32"/>
      <c r="G153" s="34"/>
      <c r="H153" s="32"/>
      <c r="I153" s="32"/>
      <c r="J153" s="32"/>
      <c r="K153" s="32"/>
    </row>
    <row r="154" customFormat="false" ht="15" hidden="false" customHeight="false" outlineLevel="0" collapsed="false">
      <c r="A154" s="32"/>
      <c r="B154" s="32"/>
      <c r="C154" s="32"/>
      <c r="D154" s="32"/>
      <c r="E154" s="32"/>
      <c r="F154" s="32"/>
      <c r="G154" s="34"/>
      <c r="H154" s="32"/>
      <c r="I154" s="32"/>
      <c r="J154" s="32"/>
      <c r="K154" s="32"/>
    </row>
    <row r="155" customFormat="false" ht="15" hidden="false" customHeight="false" outlineLevel="0" collapsed="false">
      <c r="A155" s="32"/>
      <c r="B155" s="32"/>
      <c r="C155" s="32"/>
      <c r="D155" s="32"/>
      <c r="E155" s="32"/>
      <c r="F155" s="32"/>
      <c r="G155" s="34"/>
      <c r="H155" s="32"/>
      <c r="I155" s="32"/>
      <c r="J155" s="32"/>
      <c r="K155" s="32"/>
    </row>
    <row r="156" customFormat="false" ht="15" hidden="false" customHeight="false" outlineLevel="0" collapsed="false">
      <c r="A156" s="32"/>
      <c r="B156" s="32"/>
      <c r="C156" s="32"/>
      <c r="D156" s="32"/>
      <c r="E156" s="32"/>
      <c r="F156" s="32"/>
      <c r="G156" s="34"/>
      <c r="H156" s="32"/>
      <c r="I156" s="32"/>
      <c r="J156" s="32"/>
      <c r="K156" s="32"/>
    </row>
    <row r="157" customFormat="false" ht="15" hidden="false" customHeight="false" outlineLevel="0" collapsed="false">
      <c r="A157" s="32"/>
      <c r="B157" s="32"/>
      <c r="C157" s="32"/>
      <c r="D157" s="32"/>
      <c r="E157" s="32"/>
      <c r="F157" s="32"/>
      <c r="G157" s="34"/>
      <c r="H157" s="32"/>
      <c r="I157" s="32"/>
      <c r="J157" s="32"/>
      <c r="K157" s="32"/>
    </row>
    <row r="158" customFormat="false" ht="15" hidden="false" customHeight="false" outlineLevel="0" collapsed="false">
      <c r="A158" s="32"/>
      <c r="B158" s="32"/>
      <c r="C158" s="32"/>
      <c r="D158" s="32"/>
      <c r="E158" s="32"/>
      <c r="F158" s="32"/>
      <c r="G158" s="34"/>
      <c r="H158" s="32"/>
      <c r="I158" s="32"/>
      <c r="J158" s="32"/>
      <c r="K158" s="32"/>
    </row>
    <row r="159" customFormat="false" ht="15" hidden="false" customHeight="false" outlineLevel="0" collapsed="false">
      <c r="A159" s="32"/>
      <c r="B159" s="32"/>
      <c r="C159" s="32"/>
      <c r="D159" s="32"/>
      <c r="E159" s="32"/>
      <c r="F159" s="32"/>
      <c r="G159" s="34"/>
      <c r="H159" s="32"/>
      <c r="I159" s="32"/>
      <c r="J159" s="32"/>
      <c r="K159" s="32"/>
    </row>
    <row r="160" customFormat="false" ht="15" hidden="false" customHeight="false" outlineLevel="0" collapsed="false">
      <c r="A160" s="32"/>
      <c r="B160" s="32"/>
      <c r="C160" s="32"/>
      <c r="D160" s="32"/>
      <c r="E160" s="32"/>
      <c r="F160" s="32"/>
      <c r="G160" s="34"/>
      <c r="H160" s="32"/>
      <c r="I160" s="32"/>
      <c r="J160" s="32"/>
      <c r="K160" s="32"/>
    </row>
    <row r="161" customFormat="false" ht="15" hidden="false" customHeight="false" outlineLevel="0" collapsed="false">
      <c r="A161" s="32"/>
      <c r="B161" s="32"/>
      <c r="C161" s="32"/>
      <c r="D161" s="32"/>
      <c r="E161" s="32"/>
      <c r="F161" s="32"/>
      <c r="G161" s="34"/>
      <c r="H161" s="32"/>
      <c r="I161" s="32"/>
      <c r="J161" s="32"/>
      <c r="K161" s="32"/>
    </row>
    <row r="162" customFormat="false" ht="15" hidden="false" customHeight="false" outlineLevel="0" collapsed="false">
      <c r="A162" s="32"/>
      <c r="B162" s="32"/>
      <c r="C162" s="32"/>
      <c r="D162" s="32"/>
      <c r="E162" s="32"/>
      <c r="F162" s="32"/>
      <c r="G162" s="34"/>
      <c r="H162" s="32"/>
      <c r="I162" s="32"/>
      <c r="J162" s="32"/>
      <c r="K162" s="32"/>
    </row>
    <row r="163" customFormat="false" ht="15" hidden="false" customHeight="false" outlineLevel="0" collapsed="false">
      <c r="A163" s="32"/>
      <c r="B163" s="32"/>
      <c r="C163" s="32"/>
      <c r="D163" s="32"/>
      <c r="E163" s="32"/>
      <c r="F163" s="32"/>
      <c r="G163" s="34"/>
      <c r="H163" s="32"/>
      <c r="I163" s="32"/>
      <c r="J163" s="32"/>
      <c r="K163" s="32"/>
    </row>
    <row r="164" customFormat="false" ht="15" hidden="false" customHeight="false" outlineLevel="0" collapsed="false">
      <c r="A164" s="32"/>
      <c r="B164" s="32"/>
      <c r="C164" s="32"/>
      <c r="D164" s="32"/>
      <c r="E164" s="32"/>
      <c r="F164" s="32"/>
      <c r="G164" s="34"/>
      <c r="H164" s="32"/>
      <c r="I164" s="32"/>
      <c r="J164" s="32"/>
      <c r="K164" s="32"/>
    </row>
    <row r="165" customFormat="false" ht="15" hidden="false" customHeight="false" outlineLevel="0" collapsed="false">
      <c r="A165" s="32"/>
      <c r="B165" s="32"/>
      <c r="C165" s="32"/>
      <c r="D165" s="32"/>
      <c r="E165" s="32"/>
      <c r="F165" s="32"/>
      <c r="G165" s="34"/>
      <c r="H165" s="32"/>
      <c r="I165" s="32"/>
      <c r="J165" s="32"/>
      <c r="K165" s="32"/>
    </row>
    <row r="166" customFormat="false" ht="15" hidden="false" customHeight="false" outlineLevel="0" collapsed="false">
      <c r="A166" s="32"/>
      <c r="B166" s="32"/>
      <c r="C166" s="32"/>
      <c r="D166" s="32"/>
      <c r="E166" s="32"/>
      <c r="F166" s="32"/>
      <c r="G166" s="34"/>
      <c r="H166" s="32"/>
      <c r="I166" s="32"/>
      <c r="J166" s="32"/>
      <c r="K166" s="32"/>
    </row>
    <row r="167" customFormat="false" ht="15" hidden="false" customHeight="false" outlineLevel="0" collapsed="false">
      <c r="A167" s="32"/>
      <c r="B167" s="32"/>
      <c r="C167" s="32"/>
      <c r="D167" s="32"/>
      <c r="E167" s="32"/>
      <c r="F167" s="32"/>
      <c r="G167" s="34"/>
      <c r="H167" s="32"/>
      <c r="I167" s="32"/>
      <c r="J167" s="32"/>
      <c r="K167" s="32"/>
    </row>
    <row r="168" customFormat="false" ht="15" hidden="false" customHeight="false" outlineLevel="0" collapsed="false">
      <c r="A168" s="32"/>
      <c r="B168" s="32"/>
      <c r="C168" s="32"/>
      <c r="D168" s="32"/>
      <c r="E168" s="32"/>
      <c r="F168" s="32"/>
      <c r="G168" s="34"/>
      <c r="H168" s="32"/>
      <c r="I168" s="32"/>
      <c r="J168" s="32"/>
      <c r="K168" s="32"/>
    </row>
    <row r="169" customFormat="false" ht="15" hidden="false" customHeight="false" outlineLevel="0" collapsed="false">
      <c r="A169" s="32"/>
      <c r="B169" s="32"/>
      <c r="C169" s="32"/>
      <c r="D169" s="32"/>
      <c r="E169" s="32"/>
      <c r="F169" s="32"/>
      <c r="G169" s="34"/>
      <c r="H169" s="32"/>
      <c r="I169" s="32"/>
      <c r="J169" s="32"/>
      <c r="K169" s="32"/>
    </row>
    <row r="170" customFormat="false" ht="15" hidden="false" customHeight="false" outlineLevel="0" collapsed="false">
      <c r="A170" s="32"/>
      <c r="B170" s="32"/>
      <c r="C170" s="32"/>
      <c r="D170" s="32"/>
      <c r="E170" s="32"/>
      <c r="F170" s="32"/>
      <c r="G170" s="34"/>
      <c r="H170" s="32"/>
      <c r="I170" s="32"/>
      <c r="J170" s="32"/>
      <c r="K170" s="32"/>
    </row>
    <row r="171" customFormat="false" ht="15" hidden="false" customHeight="false" outlineLevel="0" collapsed="false">
      <c r="A171" s="32"/>
      <c r="B171" s="32"/>
      <c r="C171" s="32"/>
      <c r="D171" s="32"/>
      <c r="E171" s="32"/>
      <c r="F171" s="32"/>
      <c r="G171" s="34"/>
      <c r="H171" s="32"/>
      <c r="I171" s="32"/>
      <c r="J171" s="32"/>
      <c r="K171" s="32"/>
    </row>
    <row r="172" customFormat="false" ht="15" hidden="false" customHeight="false" outlineLevel="0" collapsed="false">
      <c r="A172" s="32"/>
      <c r="B172" s="32"/>
      <c r="C172" s="32"/>
      <c r="D172" s="32"/>
      <c r="E172" s="32"/>
      <c r="F172" s="32"/>
      <c r="G172" s="34"/>
      <c r="H172" s="32"/>
      <c r="I172" s="32"/>
      <c r="J172" s="32"/>
      <c r="K172" s="32"/>
    </row>
    <row r="173" customFormat="false" ht="15" hidden="false" customHeight="false" outlineLevel="0" collapsed="false">
      <c r="A173" s="32"/>
      <c r="B173" s="32"/>
      <c r="C173" s="32"/>
      <c r="D173" s="32"/>
      <c r="E173" s="32"/>
      <c r="F173" s="32"/>
      <c r="G173" s="34"/>
      <c r="H173" s="32"/>
      <c r="I173" s="32"/>
      <c r="J173" s="32"/>
      <c r="K173" s="32"/>
    </row>
    <row r="174" customFormat="false" ht="15" hidden="false" customHeight="false" outlineLevel="0" collapsed="false">
      <c r="A174" s="32"/>
      <c r="B174" s="32"/>
      <c r="C174" s="32"/>
      <c r="D174" s="32"/>
      <c r="E174" s="32"/>
      <c r="F174" s="32"/>
      <c r="G174" s="34"/>
      <c r="H174" s="32"/>
      <c r="I174" s="32"/>
      <c r="J174" s="32"/>
      <c r="K174" s="32"/>
    </row>
    <row r="175" customFormat="false" ht="15" hidden="false" customHeight="false" outlineLevel="0" collapsed="false">
      <c r="A175" s="32"/>
      <c r="B175" s="32"/>
      <c r="C175" s="32"/>
      <c r="D175" s="32"/>
      <c r="E175" s="32"/>
      <c r="F175" s="32"/>
      <c r="G175" s="34"/>
      <c r="H175" s="32"/>
      <c r="I175" s="32"/>
      <c r="J175" s="32"/>
      <c r="K175" s="32"/>
    </row>
    <row r="176" customFormat="false" ht="15" hidden="false" customHeight="false" outlineLevel="0" collapsed="false">
      <c r="A176" s="32"/>
      <c r="B176" s="32"/>
      <c r="C176" s="32"/>
      <c r="D176" s="32"/>
      <c r="E176" s="32"/>
      <c r="F176" s="32"/>
      <c r="G176" s="34"/>
      <c r="H176" s="32"/>
      <c r="I176" s="32"/>
      <c r="J176" s="32"/>
      <c r="K176" s="32"/>
    </row>
    <row r="177" customFormat="false" ht="15" hidden="false" customHeight="false" outlineLevel="0" collapsed="false">
      <c r="A177" s="32"/>
      <c r="B177" s="32"/>
      <c r="C177" s="32"/>
      <c r="D177" s="32"/>
      <c r="E177" s="32"/>
      <c r="F177" s="32"/>
      <c r="G177" s="34"/>
      <c r="H177" s="32"/>
      <c r="I177" s="32"/>
      <c r="J177" s="32"/>
      <c r="K177" s="32"/>
    </row>
    <row r="178" customFormat="false" ht="15" hidden="false" customHeight="false" outlineLevel="0" collapsed="false">
      <c r="A178" s="32"/>
      <c r="B178" s="32"/>
      <c r="C178" s="32"/>
      <c r="D178" s="32"/>
      <c r="E178" s="32"/>
      <c r="F178" s="32"/>
      <c r="G178" s="34"/>
      <c r="H178" s="32"/>
      <c r="I178" s="32"/>
      <c r="J178" s="32"/>
      <c r="K178" s="32"/>
    </row>
    <row r="179" customFormat="false" ht="15" hidden="false" customHeight="false" outlineLevel="0" collapsed="false">
      <c r="A179" s="32"/>
      <c r="B179" s="32"/>
      <c r="C179" s="32"/>
      <c r="D179" s="32"/>
      <c r="E179" s="32"/>
      <c r="F179" s="32"/>
      <c r="G179" s="34"/>
      <c r="H179" s="32"/>
      <c r="I179" s="32"/>
      <c r="J179" s="32"/>
      <c r="K179" s="32"/>
    </row>
    <row r="180" customFormat="false" ht="15" hidden="false" customHeight="false" outlineLevel="0" collapsed="false">
      <c r="A180" s="32"/>
      <c r="B180" s="32"/>
      <c r="C180" s="32"/>
      <c r="D180" s="32"/>
      <c r="E180" s="32"/>
      <c r="F180" s="32"/>
      <c r="G180" s="34"/>
      <c r="H180" s="32"/>
      <c r="I180" s="32"/>
      <c r="J180" s="32"/>
      <c r="K180" s="32"/>
    </row>
    <row r="181" customFormat="false" ht="15" hidden="false" customHeight="false" outlineLevel="0" collapsed="false">
      <c r="A181" s="32"/>
      <c r="B181" s="32"/>
      <c r="C181" s="32"/>
      <c r="D181" s="32"/>
      <c r="E181" s="32"/>
      <c r="F181" s="32"/>
      <c r="G181" s="34"/>
      <c r="H181" s="32"/>
      <c r="I181" s="32"/>
      <c r="J181" s="32"/>
      <c r="K181" s="32"/>
    </row>
    <row r="182" customFormat="false" ht="15" hidden="false" customHeight="false" outlineLevel="0" collapsed="false">
      <c r="A182" s="32"/>
      <c r="B182" s="32"/>
      <c r="C182" s="32"/>
      <c r="D182" s="32"/>
      <c r="E182" s="32"/>
      <c r="F182" s="32"/>
      <c r="G182" s="34"/>
      <c r="H182" s="32"/>
      <c r="I182" s="32"/>
      <c r="J182" s="32"/>
      <c r="K182" s="32"/>
    </row>
    <row r="183" customFormat="false" ht="15" hidden="false" customHeight="false" outlineLevel="0" collapsed="false">
      <c r="A183" s="32"/>
      <c r="B183" s="32"/>
      <c r="C183" s="32"/>
      <c r="D183" s="32"/>
      <c r="E183" s="32"/>
      <c r="F183" s="32"/>
      <c r="G183" s="34"/>
      <c r="H183" s="32"/>
      <c r="I183" s="32"/>
      <c r="J183" s="32"/>
      <c r="K183" s="32"/>
    </row>
    <row r="184" customFormat="false" ht="15" hidden="false" customHeight="false" outlineLevel="0" collapsed="false">
      <c r="A184" s="32"/>
      <c r="B184" s="32"/>
      <c r="C184" s="32"/>
      <c r="D184" s="32"/>
      <c r="E184" s="32"/>
      <c r="F184" s="32"/>
      <c r="G184" s="34"/>
      <c r="H184" s="32"/>
      <c r="I184" s="32"/>
      <c r="J184" s="32"/>
      <c r="K184" s="32"/>
    </row>
    <row r="185" customFormat="false" ht="15" hidden="false" customHeight="false" outlineLevel="0" collapsed="false">
      <c r="A185" s="32"/>
      <c r="B185" s="32"/>
      <c r="C185" s="32"/>
      <c r="D185" s="32"/>
      <c r="E185" s="32"/>
      <c r="F185" s="32"/>
      <c r="G185" s="34"/>
      <c r="H185" s="32"/>
      <c r="I185" s="32"/>
      <c r="J185" s="32"/>
      <c r="K185" s="32"/>
    </row>
    <row r="186" customFormat="false" ht="15" hidden="false" customHeight="false" outlineLevel="0" collapsed="false">
      <c r="A186" s="32"/>
      <c r="B186" s="32"/>
      <c r="C186" s="32"/>
      <c r="D186" s="32"/>
      <c r="E186" s="32"/>
      <c r="F186" s="32"/>
      <c r="G186" s="34"/>
      <c r="H186" s="32"/>
      <c r="I186" s="32"/>
      <c r="J186" s="32"/>
      <c r="K186" s="32"/>
    </row>
    <row r="187" customFormat="false" ht="15" hidden="false" customHeight="false" outlineLevel="0" collapsed="false">
      <c r="A187" s="32"/>
      <c r="B187" s="32"/>
      <c r="C187" s="32"/>
      <c r="D187" s="32"/>
      <c r="E187" s="32"/>
      <c r="F187" s="32"/>
      <c r="G187" s="34"/>
      <c r="H187" s="32"/>
      <c r="I187" s="32"/>
      <c r="J187" s="32"/>
      <c r="K187" s="32"/>
    </row>
    <row r="188" customFormat="false" ht="15" hidden="false" customHeight="false" outlineLevel="0" collapsed="false">
      <c r="A188" s="32"/>
      <c r="B188" s="32"/>
      <c r="C188" s="32"/>
      <c r="D188" s="32"/>
      <c r="E188" s="32"/>
      <c r="F188" s="32"/>
      <c r="G188" s="34"/>
      <c r="H188" s="32"/>
      <c r="I188" s="32"/>
      <c r="J188" s="32"/>
      <c r="K188" s="32"/>
    </row>
    <row r="189" customFormat="false" ht="15" hidden="false" customHeight="false" outlineLevel="0" collapsed="false">
      <c r="A189" s="32"/>
      <c r="B189" s="32"/>
      <c r="C189" s="32"/>
      <c r="D189" s="32"/>
      <c r="E189" s="32"/>
      <c r="F189" s="32"/>
      <c r="G189" s="34"/>
      <c r="H189" s="32"/>
      <c r="I189" s="32"/>
      <c r="J189" s="32"/>
      <c r="K189" s="32"/>
    </row>
    <row r="190" customFormat="false" ht="15" hidden="false" customHeight="false" outlineLevel="0" collapsed="false">
      <c r="A190" s="32"/>
      <c r="B190" s="32"/>
      <c r="C190" s="32"/>
      <c r="D190" s="32"/>
      <c r="E190" s="32"/>
      <c r="F190" s="32"/>
      <c r="G190" s="34"/>
      <c r="H190" s="32"/>
      <c r="I190" s="32"/>
      <c r="J190" s="32"/>
      <c r="K190" s="32"/>
    </row>
    <row r="191" customFormat="false" ht="15" hidden="false" customHeight="false" outlineLevel="0" collapsed="false">
      <c r="A191" s="32"/>
      <c r="B191" s="32"/>
      <c r="C191" s="32"/>
      <c r="D191" s="32"/>
      <c r="E191" s="32"/>
      <c r="F191" s="32"/>
      <c r="G191" s="34"/>
      <c r="H191" s="32"/>
      <c r="I191" s="32"/>
      <c r="J191" s="32"/>
      <c r="K191" s="32"/>
    </row>
    <row r="192" customFormat="false" ht="15" hidden="false" customHeight="false" outlineLevel="0" collapsed="false">
      <c r="A192" s="32"/>
      <c r="B192" s="32"/>
      <c r="C192" s="32"/>
      <c r="D192" s="32"/>
      <c r="E192" s="32"/>
      <c r="F192" s="32"/>
      <c r="G192" s="34"/>
      <c r="H192" s="32"/>
      <c r="I192" s="32"/>
      <c r="J192" s="32"/>
      <c r="K192" s="32"/>
    </row>
    <row r="193" customFormat="false" ht="15" hidden="false" customHeight="false" outlineLevel="0" collapsed="false">
      <c r="A193" s="32"/>
      <c r="B193" s="32"/>
      <c r="C193" s="32"/>
      <c r="D193" s="32"/>
      <c r="E193" s="32"/>
      <c r="F193" s="32"/>
      <c r="G193" s="34"/>
      <c r="H193" s="32"/>
      <c r="I193" s="32"/>
      <c r="J193" s="32"/>
      <c r="K193" s="32"/>
    </row>
    <row r="194" customFormat="false" ht="15" hidden="false" customHeight="false" outlineLevel="0" collapsed="false">
      <c r="A194" s="32"/>
      <c r="B194" s="32"/>
      <c r="C194" s="32"/>
      <c r="D194" s="32"/>
      <c r="E194" s="32"/>
      <c r="F194" s="32"/>
      <c r="G194" s="34"/>
      <c r="H194" s="32"/>
      <c r="I194" s="32"/>
      <c r="J194" s="32"/>
      <c r="K194" s="32"/>
    </row>
    <row r="195" customFormat="false" ht="15" hidden="false" customHeight="false" outlineLevel="0" collapsed="false">
      <c r="A195" s="32"/>
      <c r="B195" s="32"/>
      <c r="C195" s="32"/>
      <c r="D195" s="32"/>
      <c r="E195" s="32"/>
      <c r="F195" s="32"/>
      <c r="G195" s="34"/>
      <c r="H195" s="32"/>
      <c r="I195" s="32"/>
      <c r="J195" s="32"/>
      <c r="K195" s="32"/>
    </row>
    <row r="196" customFormat="false" ht="15" hidden="false" customHeight="false" outlineLevel="0" collapsed="false">
      <c r="A196" s="32"/>
      <c r="B196" s="32"/>
      <c r="C196" s="32"/>
      <c r="D196" s="32"/>
      <c r="E196" s="32"/>
      <c r="F196" s="32"/>
      <c r="G196" s="34"/>
      <c r="H196" s="32"/>
      <c r="I196" s="32"/>
      <c r="J196" s="32"/>
      <c r="K196" s="32"/>
    </row>
    <row r="197" customFormat="false" ht="15" hidden="false" customHeight="false" outlineLevel="0" collapsed="false">
      <c r="A197" s="32"/>
      <c r="B197" s="32"/>
      <c r="C197" s="32"/>
      <c r="D197" s="32"/>
      <c r="E197" s="32"/>
      <c r="F197" s="32"/>
      <c r="G197" s="34"/>
      <c r="H197" s="32"/>
      <c r="I197" s="32"/>
      <c r="J197" s="32"/>
      <c r="K197" s="32"/>
    </row>
    <row r="198" customFormat="false" ht="15" hidden="false" customHeight="false" outlineLevel="0" collapsed="false">
      <c r="A198" s="32"/>
      <c r="B198" s="32"/>
      <c r="C198" s="32"/>
      <c r="D198" s="32"/>
      <c r="E198" s="32"/>
      <c r="F198" s="32"/>
      <c r="G198" s="34"/>
      <c r="H198" s="32"/>
      <c r="I198" s="32"/>
      <c r="J198" s="32"/>
      <c r="K198" s="32"/>
    </row>
    <row r="199" customFormat="false" ht="15" hidden="false" customHeight="false" outlineLevel="0" collapsed="false">
      <c r="A199" s="32"/>
      <c r="B199" s="32"/>
      <c r="C199" s="32"/>
      <c r="D199" s="32"/>
      <c r="E199" s="32"/>
      <c r="F199" s="32"/>
      <c r="G199" s="34"/>
      <c r="H199" s="32"/>
      <c r="I199" s="32"/>
      <c r="J199" s="32"/>
      <c r="K199" s="32"/>
    </row>
    <row r="200" customFormat="false" ht="15" hidden="false" customHeight="false" outlineLevel="0" collapsed="false">
      <c r="A200" s="32"/>
      <c r="B200" s="32"/>
      <c r="C200" s="32"/>
      <c r="D200" s="32"/>
      <c r="E200" s="32"/>
      <c r="F200" s="32"/>
      <c r="G200" s="34"/>
      <c r="H200" s="32"/>
      <c r="I200" s="32"/>
      <c r="J200" s="32"/>
      <c r="K200" s="32"/>
    </row>
    <row r="201" customFormat="false" ht="15" hidden="false" customHeight="false" outlineLevel="0" collapsed="false">
      <c r="A201" s="32"/>
      <c r="B201" s="32"/>
      <c r="C201" s="32"/>
      <c r="D201" s="32"/>
      <c r="E201" s="32"/>
      <c r="F201" s="32"/>
      <c r="G201" s="34"/>
      <c r="H201" s="32"/>
      <c r="I201" s="32"/>
      <c r="J201" s="32"/>
      <c r="K201" s="32"/>
    </row>
    <row r="202" customFormat="false" ht="15" hidden="false" customHeight="false" outlineLevel="0" collapsed="false">
      <c r="A202" s="32"/>
      <c r="B202" s="32"/>
      <c r="C202" s="32"/>
      <c r="D202" s="32"/>
      <c r="E202" s="32"/>
      <c r="F202" s="32"/>
      <c r="G202" s="34"/>
      <c r="H202" s="32"/>
      <c r="I202" s="32"/>
      <c r="J202" s="32"/>
      <c r="K202" s="32"/>
    </row>
    <row r="203" customFormat="false" ht="15" hidden="false" customHeight="false" outlineLevel="0" collapsed="false">
      <c r="A203" s="32"/>
      <c r="B203" s="32"/>
      <c r="C203" s="32"/>
      <c r="D203" s="32"/>
      <c r="E203" s="32"/>
      <c r="F203" s="32"/>
      <c r="G203" s="34"/>
      <c r="H203" s="32"/>
      <c r="I203" s="32"/>
      <c r="J203" s="32"/>
      <c r="K203" s="32"/>
    </row>
  </sheetData>
  <autoFilter ref="A3:K203"/>
  <dataValidations count="1">
    <dataValidation allowBlank="true" errorStyle="stop" operator="between" showDropDown="false" showErrorMessage="false" showInputMessage="false" sqref="H4:H203" type="list">
      <formula1>"A,B,C,D"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U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3"/>
    <col collapsed="false" customWidth="true" hidden="false" outlineLevel="0" max="4" min="4" style="0" width="32"/>
    <col collapsed="false" customWidth="true" hidden="false" outlineLevel="0" max="5" min="5" style="0" width="22"/>
    <col collapsed="false" customWidth="true" hidden="false" outlineLevel="0" max="6" min="6" style="0" width="34"/>
    <col collapsed="false" customWidth="true" hidden="false" outlineLevel="0" max="7" min="7" style="0" width="8"/>
    <col collapsed="false" customWidth="true" hidden="false" outlineLevel="0" max="8" min="8" style="0" width="11"/>
    <col collapsed="false" customWidth="true" hidden="false" outlineLevel="0" max="9" min="9" style="0" width="15"/>
    <col collapsed="false" customWidth="true" hidden="false" outlineLevel="0" max="10" min="10" style="0" width="16"/>
    <col collapsed="false" customWidth="true" hidden="false" outlineLevel="0" max="12" min="11" style="0" width="13"/>
    <col collapsed="false" customWidth="true" hidden="false" outlineLevel="0" max="13" min="13" style="0" width="11"/>
    <col collapsed="false" customWidth="true" hidden="false" outlineLevel="0" max="14" min="14" style="0" width="15"/>
    <col collapsed="false" customWidth="true" hidden="false" outlineLevel="0" max="15" min="15" style="0" width="16"/>
    <col collapsed="false" customWidth="true" hidden="false" outlineLevel="0" max="16" min="16" style="0" width="12"/>
    <col collapsed="false" customWidth="true" hidden="false" outlineLevel="0" max="17" min="17" style="0" width="15"/>
    <col collapsed="false" customWidth="true" hidden="false" outlineLevel="0" max="19" min="18" style="0" width="16"/>
    <col collapsed="false" customWidth="true" hidden="false" outlineLevel="0" max="20" min="20" style="0" width="14"/>
    <col collapsed="false" customWidth="true" hidden="false" outlineLevel="0" max="21" min="21" style="0" width="28"/>
  </cols>
  <sheetData>
    <row r="1" customFormat="false" ht="17.35" hidden="false" customHeight="false" outlineLevel="0" collapsed="false">
      <c r="A1" s="30" t="s">
        <v>192</v>
      </c>
    </row>
    <row r="2" customFormat="false" ht="15" hidden="false" customHeight="false" outlineLevel="0" collapsed="false">
      <c r="A2" s="8" t="s">
        <v>193</v>
      </c>
    </row>
    <row r="3" customFormat="false" ht="33.75" hidden="false" customHeight="true" outlineLevel="0" collapsed="false">
      <c r="A3" s="36" t="s">
        <v>194</v>
      </c>
      <c r="B3" s="36" t="s">
        <v>195</v>
      </c>
      <c r="C3" s="36" t="s">
        <v>116</v>
      </c>
      <c r="D3" s="36" t="s">
        <v>135</v>
      </c>
      <c r="E3" s="36" t="s">
        <v>196</v>
      </c>
      <c r="F3" s="36" t="s">
        <v>197</v>
      </c>
      <c r="G3" s="36" t="s">
        <v>198</v>
      </c>
      <c r="H3" s="36" t="s">
        <v>199</v>
      </c>
      <c r="I3" s="36" t="s">
        <v>200</v>
      </c>
      <c r="J3" s="36" t="s">
        <v>201</v>
      </c>
      <c r="K3" s="36" t="s">
        <v>202</v>
      </c>
      <c r="L3" s="36" t="s">
        <v>203</v>
      </c>
      <c r="M3" s="36" t="s">
        <v>204</v>
      </c>
      <c r="N3" s="36" t="s">
        <v>205</v>
      </c>
      <c r="O3" s="36" t="s">
        <v>206</v>
      </c>
      <c r="P3" s="36" t="s">
        <v>207</v>
      </c>
      <c r="Q3" s="36" t="s">
        <v>208</v>
      </c>
      <c r="R3" s="36" t="s">
        <v>209</v>
      </c>
      <c r="S3" s="36" t="s">
        <v>210</v>
      </c>
      <c r="T3" s="36" t="s">
        <v>211</v>
      </c>
      <c r="U3" s="36" t="s">
        <v>142</v>
      </c>
    </row>
    <row r="4" customFormat="false" ht="15" hidden="false" customHeight="false" outlineLevel="0" collapsed="false">
      <c r="A4" s="32" t="s">
        <v>212</v>
      </c>
      <c r="B4" s="33" t="n">
        <v>46025</v>
      </c>
      <c r="C4" s="32" t="s">
        <v>143</v>
      </c>
      <c r="D4" s="37" t="str">
        <f aca="false">IF($C4="","",IFERROR(INDEX('Dự án'!$B$4:$B$203,MATCH($C4,'Dự án'!$A$4:$A$203,0)),""))</f>
        <v>Nhà máy Bao bì Tân Uyên – Giai đoạn 2</v>
      </c>
      <c r="E4" s="32" t="s">
        <v>213</v>
      </c>
      <c r="F4" s="32" t="s">
        <v>214</v>
      </c>
      <c r="G4" s="32" t="s">
        <v>215</v>
      </c>
      <c r="H4" s="34" t="n">
        <v>200</v>
      </c>
      <c r="I4" s="34" t="n">
        <v>1250000</v>
      </c>
      <c r="J4" s="38" t="n">
        <f aca="false">IF($A4="","",$H4*$I4)</f>
        <v>250000000</v>
      </c>
      <c r="K4" s="33" t="n">
        <v>46031</v>
      </c>
      <c r="L4" s="33" t="n">
        <v>46030</v>
      </c>
      <c r="M4" s="38" t="n">
        <f aca="false">IF($A4="","",IF($L4="","",$L4-$B4))</f>
        <v>5</v>
      </c>
      <c r="N4" s="32" t="s">
        <v>216</v>
      </c>
      <c r="O4" s="37" t="str">
        <f aca="true">IF($A4="","",IF($K4="","",IF($L4="",IF(TODAY()&gt;$K4,"Quá hạn chưa trả","Đang xử lý"),IF($L4&lt;=$K4,"Đúng hạn","Trả trễ"))))</f>
        <v>Đúng hạn</v>
      </c>
      <c r="P4" s="38" t="n">
        <f aca="false">IF($A4="","",COUNTIFS('Báo giá'!$C$4:$C$203,$A4))</f>
        <v>3</v>
      </c>
      <c r="Q4" s="38" t="n">
        <f aca="false">IF($A4="","",IF(SUMIFS('Báo giá'!$K$4:$K$203,'Báo giá'!$C$4:$C$203,$A4,'Báo giá'!$T$4:$T$203,"x")=0,"",SUMIFS('Báo giá'!$K$4:$K$203,'Báo giá'!$C$4:$C$203,$A4,'Báo giá'!$T$4:$T$203,"x")))</f>
        <v>1180000</v>
      </c>
      <c r="R4" s="38" t="n">
        <f aca="false">IF($A4="","",IF(SUMIFS('Báo giá'!$L$4:$L$203,'Báo giá'!$C$4:$C$203,$A4,'Báo giá'!$T$4:$T$203,"x")=0,"",SUMIFS('Báo giá'!$L$4:$L$203,'Báo giá'!$C$4:$C$203,$A4,'Báo giá'!$T$4:$T$203,"x")))</f>
        <v>236000000</v>
      </c>
      <c r="S4" s="38" t="n">
        <f aca="false">IF($A4="","",IF($R4="","",$R4-$J4))</f>
        <v>-14000000</v>
      </c>
      <c r="T4" s="37" t="str">
        <f aca="false">IF($A4="","",IF(COUNTIFS(PR!$C$4:$C$203,$A4)&gt;0,"Đã lập PR","Chưa lập PR"))</f>
        <v>Đã lập PR</v>
      </c>
      <c r="U4" s="35" t="s">
        <v>148</v>
      </c>
    </row>
    <row r="5" customFormat="false" ht="15" hidden="false" customHeight="false" outlineLevel="0" collapsed="false">
      <c r="A5" s="32" t="s">
        <v>217</v>
      </c>
      <c r="B5" s="33" t="n">
        <v>46028</v>
      </c>
      <c r="C5" s="32" t="s">
        <v>149</v>
      </c>
      <c r="D5" s="37" t="str">
        <f aca="false">IF($C5="","",IFERROR(INDEX('Dự án'!$B$4:$B$203,MATCH($C5,'Dự án'!$A$4:$A$203,0)),""))</f>
        <v>Kho lạnh Long An</v>
      </c>
      <c r="E5" s="32" t="s">
        <v>218</v>
      </c>
      <c r="F5" s="32" t="s">
        <v>219</v>
      </c>
      <c r="G5" s="32" t="s">
        <v>220</v>
      </c>
      <c r="H5" s="34" t="n">
        <v>1800</v>
      </c>
      <c r="I5" s="34" t="n">
        <v>620000</v>
      </c>
      <c r="J5" s="38" t="n">
        <f aca="false">IF($A5="","",$H5*$I5)</f>
        <v>1116000000</v>
      </c>
      <c r="K5" s="33" t="n">
        <v>46034</v>
      </c>
      <c r="L5" s="33"/>
      <c r="M5" s="38" t="str">
        <f aca="false">IF($A5="","",IF($L5="","",$L5-$B5))</f>
        <v/>
      </c>
      <c r="N5" s="32" t="s">
        <v>221</v>
      </c>
      <c r="O5" s="37" t="str">
        <f aca="true">IF($A5="","",IF($K5="","",IF($L5="",IF(TODAY()&gt;$K5,"Quá hạn chưa trả","Đang xử lý"),IF($L5&lt;=$K5,"Đúng hạn","Trả trễ"))))</f>
        <v>Quá hạn chưa trả</v>
      </c>
      <c r="P5" s="38" t="n">
        <f aca="false">IF($A5="","",COUNTIFS('Báo giá'!$C$4:$C$203,$A5))</f>
        <v>0</v>
      </c>
      <c r="Q5" s="38" t="str">
        <f aca="false">IF($A5="","",IF(SUMIFS('Báo giá'!$K$4:$K$203,'Báo giá'!$C$4:$C$203,$A5,'Báo giá'!$T$4:$T$203,"x")=0,"",SUMIFS('Báo giá'!$K$4:$K$203,'Báo giá'!$C$4:$C$203,$A5,'Báo giá'!$T$4:$T$203,"x")))</f>
        <v/>
      </c>
      <c r="R5" s="38" t="str">
        <f aca="false">IF($A5="","",IF(SUMIFS('Báo giá'!$L$4:$L$203,'Báo giá'!$C$4:$C$203,$A5,'Báo giá'!$T$4:$T$203,"x")=0,"",SUMIFS('Báo giá'!$L$4:$L$203,'Báo giá'!$C$4:$C$203,$A5,'Báo giá'!$T$4:$T$203,"x")))</f>
        <v/>
      </c>
      <c r="S5" s="38" t="str">
        <f aca="false">IF($A5="","",IF($R5="","",$R5-$J5))</f>
        <v/>
      </c>
      <c r="T5" s="37" t="str">
        <f aca="false">IF($A5="","",IF(COUNTIFS(PR!$C$4:$C$203,$A5)&gt;0,"Đã lập PR","Chưa lập PR"))</f>
        <v>Chưa lập PR</v>
      </c>
      <c r="U5" s="35" t="s">
        <v>148</v>
      </c>
    </row>
    <row r="6" customFormat="false" ht="15" hidden="false" customHeight="false" outlineLevel="0" collapsed="false">
      <c r="A6" s="32"/>
      <c r="B6" s="33"/>
      <c r="C6" s="32"/>
      <c r="D6" s="37" t="str">
        <f aca="false">IF($C6="","",IFERROR(INDEX('Dự án'!$B$4:$B$203,MATCH($C6,'Dự án'!$A$4:$A$203,0)),""))</f>
        <v/>
      </c>
      <c r="E6" s="32"/>
      <c r="F6" s="32"/>
      <c r="G6" s="32"/>
      <c r="H6" s="34"/>
      <c r="I6" s="34"/>
      <c r="J6" s="38" t="str">
        <f aca="false">IF($A6="","",$H6*$I6)</f>
        <v/>
      </c>
      <c r="K6" s="33"/>
      <c r="L6" s="33"/>
      <c r="M6" s="38" t="str">
        <f aca="false">IF($A6="","",IF($L6="","",$L6-$B6))</f>
        <v/>
      </c>
      <c r="N6" s="32"/>
      <c r="O6" s="37" t="str">
        <f aca="true">IF($A6="","",IF($K6="","",IF($L6="",IF(TODAY()&gt;$K6,"Quá hạn chưa trả","Đang xử lý"),IF($L6&lt;=$K6,"Đúng hạn","Trả trễ"))))</f>
        <v/>
      </c>
      <c r="P6" s="38" t="str">
        <f aca="false">IF($A6="","",COUNTIFS('Báo giá'!$C$4:$C$203,$A6))</f>
        <v/>
      </c>
      <c r="Q6" s="38" t="str">
        <f aca="false">IF($A6="","",IF(SUMIFS('Báo giá'!$K$4:$K$203,'Báo giá'!$C$4:$C$203,$A6,'Báo giá'!$T$4:$T$203,"x")=0,"",SUMIFS('Báo giá'!$K$4:$K$203,'Báo giá'!$C$4:$C$203,$A6,'Báo giá'!$T$4:$T$203,"x")))</f>
        <v/>
      </c>
      <c r="R6" s="38" t="str">
        <f aca="false">IF($A6="","",IF(SUMIFS('Báo giá'!$L$4:$L$203,'Báo giá'!$C$4:$C$203,$A6,'Báo giá'!$T$4:$T$203,"x")=0,"",SUMIFS('Báo giá'!$L$4:$L$203,'Báo giá'!$C$4:$C$203,$A6,'Báo giá'!$T$4:$T$203,"x")))</f>
        <v/>
      </c>
      <c r="S6" s="38" t="str">
        <f aca="false">IF($A6="","",IF($R6="","",$R6-$J6))</f>
        <v/>
      </c>
      <c r="T6" s="37" t="str">
        <f aca="false">IF($A6="","",IF(COUNTIFS(PR!$C$4:$C$203,$A6)&gt;0,"Đã lập PR","Chưa lập PR"))</f>
        <v/>
      </c>
      <c r="U6" s="32"/>
    </row>
    <row r="7" customFormat="false" ht="15" hidden="false" customHeight="false" outlineLevel="0" collapsed="false">
      <c r="A7" s="32"/>
      <c r="B7" s="33"/>
      <c r="C7" s="32"/>
      <c r="D7" s="37" t="str">
        <f aca="false">IF($C7="","",IFERROR(INDEX('Dự án'!$B$4:$B$203,MATCH($C7,'Dự án'!$A$4:$A$203,0)),""))</f>
        <v/>
      </c>
      <c r="E7" s="32"/>
      <c r="F7" s="32"/>
      <c r="G7" s="32"/>
      <c r="H7" s="34"/>
      <c r="I7" s="34"/>
      <c r="J7" s="38" t="str">
        <f aca="false">IF($A7="","",$H7*$I7)</f>
        <v/>
      </c>
      <c r="K7" s="33"/>
      <c r="L7" s="33"/>
      <c r="M7" s="38" t="str">
        <f aca="false">IF($A7="","",IF($L7="","",$L7-$B7))</f>
        <v/>
      </c>
      <c r="N7" s="32"/>
      <c r="O7" s="37" t="str">
        <f aca="true">IF($A7="","",IF($K7="","",IF($L7="",IF(TODAY()&gt;$K7,"Quá hạn chưa trả","Đang xử lý"),IF($L7&lt;=$K7,"Đúng hạn","Trả trễ"))))</f>
        <v/>
      </c>
      <c r="P7" s="38" t="str">
        <f aca="false">IF($A7="","",COUNTIFS('Báo giá'!$C$4:$C$203,$A7))</f>
        <v/>
      </c>
      <c r="Q7" s="38" t="str">
        <f aca="false">IF($A7="","",IF(SUMIFS('Báo giá'!$K$4:$K$203,'Báo giá'!$C$4:$C$203,$A7,'Báo giá'!$T$4:$T$203,"x")=0,"",SUMIFS('Báo giá'!$K$4:$K$203,'Báo giá'!$C$4:$C$203,$A7,'Báo giá'!$T$4:$T$203,"x")))</f>
        <v/>
      </c>
      <c r="R7" s="38" t="str">
        <f aca="false">IF($A7="","",IF(SUMIFS('Báo giá'!$L$4:$L$203,'Báo giá'!$C$4:$C$203,$A7,'Báo giá'!$T$4:$T$203,"x")=0,"",SUMIFS('Báo giá'!$L$4:$L$203,'Báo giá'!$C$4:$C$203,$A7,'Báo giá'!$T$4:$T$203,"x")))</f>
        <v/>
      </c>
      <c r="S7" s="38" t="str">
        <f aca="false">IF($A7="","",IF($R7="","",$R7-$J7))</f>
        <v/>
      </c>
      <c r="T7" s="37" t="str">
        <f aca="false">IF($A7="","",IF(COUNTIFS(PR!$C$4:$C$203,$A7)&gt;0,"Đã lập PR","Chưa lập PR"))</f>
        <v/>
      </c>
      <c r="U7" s="32"/>
    </row>
    <row r="8" customFormat="false" ht="15" hidden="false" customHeight="false" outlineLevel="0" collapsed="false">
      <c r="A8" s="32"/>
      <c r="B8" s="33"/>
      <c r="C8" s="32"/>
      <c r="D8" s="37" t="str">
        <f aca="false">IF($C8="","",IFERROR(INDEX('Dự án'!$B$4:$B$203,MATCH($C8,'Dự án'!$A$4:$A$203,0)),""))</f>
        <v/>
      </c>
      <c r="E8" s="32"/>
      <c r="F8" s="32"/>
      <c r="G8" s="32"/>
      <c r="H8" s="34"/>
      <c r="I8" s="34"/>
      <c r="J8" s="38" t="str">
        <f aca="false">IF($A8="","",$H8*$I8)</f>
        <v/>
      </c>
      <c r="K8" s="33"/>
      <c r="L8" s="33"/>
      <c r="M8" s="38" t="str">
        <f aca="false">IF($A8="","",IF($L8="","",$L8-$B8))</f>
        <v/>
      </c>
      <c r="N8" s="32"/>
      <c r="O8" s="37" t="str">
        <f aca="true">IF($A8="","",IF($K8="","",IF($L8="",IF(TODAY()&gt;$K8,"Quá hạn chưa trả","Đang xử lý"),IF($L8&lt;=$K8,"Đúng hạn","Trả trễ"))))</f>
        <v/>
      </c>
      <c r="P8" s="38" t="str">
        <f aca="false">IF($A8="","",COUNTIFS('Báo giá'!$C$4:$C$203,$A8))</f>
        <v/>
      </c>
      <c r="Q8" s="38" t="str">
        <f aca="false">IF($A8="","",IF(SUMIFS('Báo giá'!$K$4:$K$203,'Báo giá'!$C$4:$C$203,$A8,'Báo giá'!$T$4:$T$203,"x")=0,"",SUMIFS('Báo giá'!$K$4:$K$203,'Báo giá'!$C$4:$C$203,$A8,'Báo giá'!$T$4:$T$203,"x")))</f>
        <v/>
      </c>
      <c r="R8" s="38" t="str">
        <f aca="false">IF($A8="","",IF(SUMIFS('Báo giá'!$L$4:$L$203,'Báo giá'!$C$4:$C$203,$A8,'Báo giá'!$T$4:$T$203,"x")=0,"",SUMIFS('Báo giá'!$L$4:$L$203,'Báo giá'!$C$4:$C$203,$A8,'Báo giá'!$T$4:$T$203,"x")))</f>
        <v/>
      </c>
      <c r="S8" s="38" t="str">
        <f aca="false">IF($A8="","",IF($R8="","",$R8-$J8))</f>
        <v/>
      </c>
      <c r="T8" s="37" t="str">
        <f aca="false">IF($A8="","",IF(COUNTIFS(PR!$C$4:$C$203,$A8)&gt;0,"Đã lập PR","Chưa lập PR"))</f>
        <v/>
      </c>
      <c r="U8" s="32"/>
    </row>
    <row r="9" customFormat="false" ht="15" hidden="false" customHeight="false" outlineLevel="0" collapsed="false">
      <c r="A9" s="32"/>
      <c r="B9" s="33"/>
      <c r="C9" s="32"/>
      <c r="D9" s="37" t="str">
        <f aca="false">IF($C9="","",IFERROR(INDEX('Dự án'!$B$4:$B$203,MATCH($C9,'Dự án'!$A$4:$A$203,0)),""))</f>
        <v/>
      </c>
      <c r="E9" s="32"/>
      <c r="F9" s="32"/>
      <c r="G9" s="32"/>
      <c r="H9" s="34"/>
      <c r="I9" s="34"/>
      <c r="J9" s="38" t="str">
        <f aca="false">IF($A9="","",$H9*$I9)</f>
        <v/>
      </c>
      <c r="K9" s="33"/>
      <c r="L9" s="33"/>
      <c r="M9" s="38" t="str">
        <f aca="false">IF($A9="","",IF($L9="","",$L9-$B9))</f>
        <v/>
      </c>
      <c r="N9" s="32"/>
      <c r="O9" s="37" t="str">
        <f aca="true">IF($A9="","",IF($K9="","",IF($L9="",IF(TODAY()&gt;$K9,"Quá hạn chưa trả","Đang xử lý"),IF($L9&lt;=$K9,"Đúng hạn","Trả trễ"))))</f>
        <v/>
      </c>
      <c r="P9" s="38" t="str">
        <f aca="false">IF($A9="","",COUNTIFS('Báo giá'!$C$4:$C$203,$A9))</f>
        <v/>
      </c>
      <c r="Q9" s="38" t="str">
        <f aca="false">IF($A9="","",IF(SUMIFS('Báo giá'!$K$4:$K$203,'Báo giá'!$C$4:$C$203,$A9,'Báo giá'!$T$4:$T$203,"x")=0,"",SUMIFS('Báo giá'!$K$4:$K$203,'Báo giá'!$C$4:$C$203,$A9,'Báo giá'!$T$4:$T$203,"x")))</f>
        <v/>
      </c>
      <c r="R9" s="38" t="str">
        <f aca="false">IF($A9="","",IF(SUMIFS('Báo giá'!$L$4:$L$203,'Báo giá'!$C$4:$C$203,$A9,'Báo giá'!$T$4:$T$203,"x")=0,"",SUMIFS('Báo giá'!$L$4:$L$203,'Báo giá'!$C$4:$C$203,$A9,'Báo giá'!$T$4:$T$203,"x")))</f>
        <v/>
      </c>
      <c r="S9" s="38" t="str">
        <f aca="false">IF($A9="","",IF($R9="","",$R9-$J9))</f>
        <v/>
      </c>
      <c r="T9" s="37" t="str">
        <f aca="false">IF($A9="","",IF(COUNTIFS(PR!$C$4:$C$203,$A9)&gt;0,"Đã lập PR","Chưa lập PR"))</f>
        <v/>
      </c>
      <c r="U9" s="32"/>
    </row>
    <row r="10" customFormat="false" ht="15" hidden="false" customHeight="false" outlineLevel="0" collapsed="false">
      <c r="A10" s="32"/>
      <c r="B10" s="33"/>
      <c r="C10" s="32"/>
      <c r="D10" s="37" t="str">
        <f aca="false">IF($C10="","",IFERROR(INDEX('Dự án'!$B$4:$B$203,MATCH($C10,'Dự án'!$A$4:$A$203,0)),""))</f>
        <v/>
      </c>
      <c r="E10" s="32"/>
      <c r="F10" s="32"/>
      <c r="G10" s="32"/>
      <c r="H10" s="34"/>
      <c r="I10" s="34"/>
      <c r="J10" s="38" t="str">
        <f aca="false">IF($A10="","",$H10*$I10)</f>
        <v/>
      </c>
      <c r="K10" s="33"/>
      <c r="L10" s="33"/>
      <c r="M10" s="38" t="str">
        <f aca="false">IF($A10="","",IF($L10="","",$L10-$B10))</f>
        <v/>
      </c>
      <c r="N10" s="32"/>
      <c r="O10" s="37" t="str">
        <f aca="true">IF($A10="","",IF($K10="","",IF($L10="",IF(TODAY()&gt;$K10,"Quá hạn chưa trả","Đang xử lý"),IF($L10&lt;=$K10,"Đúng hạn","Trả trễ"))))</f>
        <v/>
      </c>
      <c r="P10" s="38" t="str">
        <f aca="false">IF($A10="","",COUNTIFS('Báo giá'!$C$4:$C$203,$A10))</f>
        <v/>
      </c>
      <c r="Q10" s="38" t="str">
        <f aca="false">IF($A10="","",IF(SUMIFS('Báo giá'!$K$4:$K$203,'Báo giá'!$C$4:$C$203,$A10,'Báo giá'!$T$4:$T$203,"x")=0,"",SUMIFS('Báo giá'!$K$4:$K$203,'Báo giá'!$C$4:$C$203,$A10,'Báo giá'!$T$4:$T$203,"x")))</f>
        <v/>
      </c>
      <c r="R10" s="38" t="str">
        <f aca="false">IF($A10="","",IF(SUMIFS('Báo giá'!$L$4:$L$203,'Báo giá'!$C$4:$C$203,$A10,'Báo giá'!$T$4:$T$203,"x")=0,"",SUMIFS('Báo giá'!$L$4:$L$203,'Báo giá'!$C$4:$C$203,$A10,'Báo giá'!$T$4:$T$203,"x")))</f>
        <v/>
      </c>
      <c r="S10" s="38" t="str">
        <f aca="false">IF($A10="","",IF($R10="","",$R10-$J10))</f>
        <v/>
      </c>
      <c r="T10" s="37" t="str">
        <f aca="false">IF($A10="","",IF(COUNTIFS(PR!$C$4:$C$203,$A10)&gt;0,"Đã lập PR","Chưa lập PR"))</f>
        <v/>
      </c>
      <c r="U10" s="32"/>
    </row>
    <row r="11" customFormat="false" ht="15" hidden="false" customHeight="false" outlineLevel="0" collapsed="false">
      <c r="A11" s="32"/>
      <c r="B11" s="33"/>
      <c r="C11" s="32"/>
      <c r="D11" s="37" t="str">
        <f aca="false">IF($C11="","",IFERROR(INDEX('Dự án'!$B$4:$B$203,MATCH($C11,'Dự án'!$A$4:$A$203,0)),""))</f>
        <v/>
      </c>
      <c r="E11" s="32"/>
      <c r="F11" s="32"/>
      <c r="G11" s="32"/>
      <c r="H11" s="34"/>
      <c r="I11" s="34"/>
      <c r="J11" s="38" t="str">
        <f aca="false">IF($A11="","",$H11*$I11)</f>
        <v/>
      </c>
      <c r="K11" s="33"/>
      <c r="L11" s="33"/>
      <c r="M11" s="38" t="str">
        <f aca="false">IF($A11="","",IF($L11="","",$L11-$B11))</f>
        <v/>
      </c>
      <c r="N11" s="32"/>
      <c r="O11" s="37" t="str">
        <f aca="true">IF($A11="","",IF($K11="","",IF($L11="",IF(TODAY()&gt;$K11,"Quá hạn chưa trả","Đang xử lý"),IF($L11&lt;=$K11,"Đúng hạn","Trả trễ"))))</f>
        <v/>
      </c>
      <c r="P11" s="38" t="str">
        <f aca="false">IF($A11="","",COUNTIFS('Báo giá'!$C$4:$C$203,$A11))</f>
        <v/>
      </c>
      <c r="Q11" s="38" t="str">
        <f aca="false">IF($A11="","",IF(SUMIFS('Báo giá'!$K$4:$K$203,'Báo giá'!$C$4:$C$203,$A11,'Báo giá'!$T$4:$T$203,"x")=0,"",SUMIFS('Báo giá'!$K$4:$K$203,'Báo giá'!$C$4:$C$203,$A11,'Báo giá'!$T$4:$T$203,"x")))</f>
        <v/>
      </c>
      <c r="R11" s="38" t="str">
        <f aca="false">IF($A11="","",IF(SUMIFS('Báo giá'!$L$4:$L$203,'Báo giá'!$C$4:$C$203,$A11,'Báo giá'!$T$4:$T$203,"x")=0,"",SUMIFS('Báo giá'!$L$4:$L$203,'Báo giá'!$C$4:$C$203,$A11,'Báo giá'!$T$4:$T$203,"x")))</f>
        <v/>
      </c>
      <c r="S11" s="38" t="str">
        <f aca="false">IF($A11="","",IF($R11="","",$R11-$J11))</f>
        <v/>
      </c>
      <c r="T11" s="37" t="str">
        <f aca="false">IF($A11="","",IF(COUNTIFS(PR!$C$4:$C$203,$A11)&gt;0,"Đã lập PR","Chưa lập PR"))</f>
        <v/>
      </c>
      <c r="U11" s="32"/>
    </row>
    <row r="12" customFormat="false" ht="15" hidden="false" customHeight="false" outlineLevel="0" collapsed="false">
      <c r="A12" s="32"/>
      <c r="B12" s="33"/>
      <c r="C12" s="32"/>
      <c r="D12" s="37" t="str">
        <f aca="false">IF($C12="","",IFERROR(INDEX('Dự án'!$B$4:$B$203,MATCH($C12,'Dự án'!$A$4:$A$203,0)),""))</f>
        <v/>
      </c>
      <c r="E12" s="32"/>
      <c r="F12" s="32"/>
      <c r="G12" s="32"/>
      <c r="H12" s="34"/>
      <c r="I12" s="34"/>
      <c r="J12" s="38" t="str">
        <f aca="false">IF($A12="","",$H12*$I12)</f>
        <v/>
      </c>
      <c r="K12" s="33"/>
      <c r="L12" s="33"/>
      <c r="M12" s="38" t="str">
        <f aca="false">IF($A12="","",IF($L12="","",$L12-$B12))</f>
        <v/>
      </c>
      <c r="N12" s="32"/>
      <c r="O12" s="37" t="str">
        <f aca="true">IF($A12="","",IF($K12="","",IF($L12="",IF(TODAY()&gt;$K12,"Quá hạn chưa trả","Đang xử lý"),IF($L12&lt;=$K12,"Đúng hạn","Trả trễ"))))</f>
        <v/>
      </c>
      <c r="P12" s="38" t="str">
        <f aca="false">IF($A12="","",COUNTIFS('Báo giá'!$C$4:$C$203,$A12))</f>
        <v/>
      </c>
      <c r="Q12" s="38" t="str">
        <f aca="false">IF($A12="","",IF(SUMIFS('Báo giá'!$K$4:$K$203,'Báo giá'!$C$4:$C$203,$A12,'Báo giá'!$T$4:$T$203,"x")=0,"",SUMIFS('Báo giá'!$K$4:$K$203,'Báo giá'!$C$4:$C$203,$A12,'Báo giá'!$T$4:$T$203,"x")))</f>
        <v/>
      </c>
      <c r="R12" s="38" t="str">
        <f aca="false">IF($A12="","",IF(SUMIFS('Báo giá'!$L$4:$L$203,'Báo giá'!$C$4:$C$203,$A12,'Báo giá'!$T$4:$T$203,"x")=0,"",SUMIFS('Báo giá'!$L$4:$L$203,'Báo giá'!$C$4:$C$203,$A12,'Báo giá'!$T$4:$T$203,"x")))</f>
        <v/>
      </c>
      <c r="S12" s="38" t="str">
        <f aca="false">IF($A12="","",IF($R12="","",$R12-$J12))</f>
        <v/>
      </c>
      <c r="T12" s="37" t="str">
        <f aca="false">IF($A12="","",IF(COUNTIFS(PR!$C$4:$C$203,$A12)&gt;0,"Đã lập PR","Chưa lập PR"))</f>
        <v/>
      </c>
      <c r="U12" s="32"/>
    </row>
    <row r="13" customFormat="false" ht="15" hidden="false" customHeight="false" outlineLevel="0" collapsed="false">
      <c r="A13" s="32"/>
      <c r="B13" s="33"/>
      <c r="C13" s="32"/>
      <c r="D13" s="37" t="str">
        <f aca="false">IF($C13="","",IFERROR(INDEX('Dự án'!$B$4:$B$203,MATCH($C13,'Dự án'!$A$4:$A$203,0)),""))</f>
        <v/>
      </c>
      <c r="E13" s="32"/>
      <c r="F13" s="32"/>
      <c r="G13" s="32"/>
      <c r="H13" s="34"/>
      <c r="I13" s="34"/>
      <c r="J13" s="38" t="str">
        <f aca="false">IF($A13="","",$H13*$I13)</f>
        <v/>
      </c>
      <c r="K13" s="33"/>
      <c r="L13" s="33"/>
      <c r="M13" s="38" t="str">
        <f aca="false">IF($A13="","",IF($L13="","",$L13-$B13))</f>
        <v/>
      </c>
      <c r="N13" s="32"/>
      <c r="O13" s="37" t="str">
        <f aca="true">IF($A13="","",IF($K13="","",IF($L13="",IF(TODAY()&gt;$K13,"Quá hạn chưa trả","Đang xử lý"),IF($L13&lt;=$K13,"Đúng hạn","Trả trễ"))))</f>
        <v/>
      </c>
      <c r="P13" s="38" t="str">
        <f aca="false">IF($A13="","",COUNTIFS('Báo giá'!$C$4:$C$203,$A13))</f>
        <v/>
      </c>
      <c r="Q13" s="38" t="str">
        <f aca="false">IF($A13="","",IF(SUMIFS('Báo giá'!$K$4:$K$203,'Báo giá'!$C$4:$C$203,$A13,'Báo giá'!$T$4:$T$203,"x")=0,"",SUMIFS('Báo giá'!$K$4:$K$203,'Báo giá'!$C$4:$C$203,$A13,'Báo giá'!$T$4:$T$203,"x")))</f>
        <v/>
      </c>
      <c r="R13" s="38" t="str">
        <f aca="false">IF($A13="","",IF(SUMIFS('Báo giá'!$L$4:$L$203,'Báo giá'!$C$4:$C$203,$A13,'Báo giá'!$T$4:$T$203,"x")=0,"",SUMIFS('Báo giá'!$L$4:$L$203,'Báo giá'!$C$4:$C$203,$A13,'Báo giá'!$T$4:$T$203,"x")))</f>
        <v/>
      </c>
      <c r="S13" s="38" t="str">
        <f aca="false">IF($A13="","",IF($R13="","",$R13-$J13))</f>
        <v/>
      </c>
      <c r="T13" s="37" t="str">
        <f aca="false">IF($A13="","",IF(COUNTIFS(PR!$C$4:$C$203,$A13)&gt;0,"Đã lập PR","Chưa lập PR"))</f>
        <v/>
      </c>
      <c r="U13" s="32"/>
    </row>
    <row r="14" customFormat="false" ht="15" hidden="false" customHeight="false" outlineLevel="0" collapsed="false">
      <c r="A14" s="32"/>
      <c r="B14" s="33"/>
      <c r="C14" s="32"/>
      <c r="D14" s="37" t="str">
        <f aca="false">IF($C14="","",IFERROR(INDEX('Dự án'!$B$4:$B$203,MATCH($C14,'Dự án'!$A$4:$A$203,0)),""))</f>
        <v/>
      </c>
      <c r="E14" s="32"/>
      <c r="F14" s="32"/>
      <c r="G14" s="32"/>
      <c r="H14" s="34"/>
      <c r="I14" s="34"/>
      <c r="J14" s="38" t="str">
        <f aca="false">IF($A14="","",$H14*$I14)</f>
        <v/>
      </c>
      <c r="K14" s="33"/>
      <c r="L14" s="33"/>
      <c r="M14" s="38" t="str">
        <f aca="false">IF($A14="","",IF($L14="","",$L14-$B14))</f>
        <v/>
      </c>
      <c r="N14" s="32"/>
      <c r="O14" s="37" t="str">
        <f aca="true">IF($A14="","",IF($K14="","",IF($L14="",IF(TODAY()&gt;$K14,"Quá hạn chưa trả","Đang xử lý"),IF($L14&lt;=$K14,"Đúng hạn","Trả trễ"))))</f>
        <v/>
      </c>
      <c r="P14" s="38" t="str">
        <f aca="false">IF($A14="","",COUNTIFS('Báo giá'!$C$4:$C$203,$A14))</f>
        <v/>
      </c>
      <c r="Q14" s="38" t="str">
        <f aca="false">IF($A14="","",IF(SUMIFS('Báo giá'!$K$4:$K$203,'Báo giá'!$C$4:$C$203,$A14,'Báo giá'!$T$4:$T$203,"x")=0,"",SUMIFS('Báo giá'!$K$4:$K$203,'Báo giá'!$C$4:$C$203,$A14,'Báo giá'!$T$4:$T$203,"x")))</f>
        <v/>
      </c>
      <c r="R14" s="38" t="str">
        <f aca="false">IF($A14="","",IF(SUMIFS('Báo giá'!$L$4:$L$203,'Báo giá'!$C$4:$C$203,$A14,'Báo giá'!$T$4:$T$203,"x")=0,"",SUMIFS('Báo giá'!$L$4:$L$203,'Báo giá'!$C$4:$C$203,$A14,'Báo giá'!$T$4:$T$203,"x")))</f>
        <v/>
      </c>
      <c r="S14" s="38" t="str">
        <f aca="false">IF($A14="","",IF($R14="","",$R14-$J14))</f>
        <v/>
      </c>
      <c r="T14" s="37" t="str">
        <f aca="false">IF($A14="","",IF(COUNTIFS(PR!$C$4:$C$203,$A14)&gt;0,"Đã lập PR","Chưa lập PR"))</f>
        <v/>
      </c>
      <c r="U14" s="32"/>
    </row>
    <row r="15" customFormat="false" ht="15" hidden="false" customHeight="false" outlineLevel="0" collapsed="false">
      <c r="A15" s="32"/>
      <c r="B15" s="33"/>
      <c r="C15" s="32"/>
      <c r="D15" s="37" t="str">
        <f aca="false">IF($C15="","",IFERROR(INDEX('Dự án'!$B$4:$B$203,MATCH($C15,'Dự án'!$A$4:$A$203,0)),""))</f>
        <v/>
      </c>
      <c r="E15" s="32"/>
      <c r="F15" s="32"/>
      <c r="G15" s="32"/>
      <c r="H15" s="34"/>
      <c r="I15" s="34"/>
      <c r="J15" s="38" t="str">
        <f aca="false">IF($A15="","",$H15*$I15)</f>
        <v/>
      </c>
      <c r="K15" s="33"/>
      <c r="L15" s="33"/>
      <c r="M15" s="38" t="str">
        <f aca="false">IF($A15="","",IF($L15="","",$L15-$B15))</f>
        <v/>
      </c>
      <c r="N15" s="32"/>
      <c r="O15" s="37" t="str">
        <f aca="true">IF($A15="","",IF($K15="","",IF($L15="",IF(TODAY()&gt;$K15,"Quá hạn chưa trả","Đang xử lý"),IF($L15&lt;=$K15,"Đúng hạn","Trả trễ"))))</f>
        <v/>
      </c>
      <c r="P15" s="38" t="str">
        <f aca="false">IF($A15="","",COUNTIFS('Báo giá'!$C$4:$C$203,$A15))</f>
        <v/>
      </c>
      <c r="Q15" s="38" t="str">
        <f aca="false">IF($A15="","",IF(SUMIFS('Báo giá'!$K$4:$K$203,'Báo giá'!$C$4:$C$203,$A15,'Báo giá'!$T$4:$T$203,"x")=0,"",SUMIFS('Báo giá'!$K$4:$K$203,'Báo giá'!$C$4:$C$203,$A15,'Báo giá'!$T$4:$T$203,"x")))</f>
        <v/>
      </c>
      <c r="R15" s="38" t="str">
        <f aca="false">IF($A15="","",IF(SUMIFS('Báo giá'!$L$4:$L$203,'Báo giá'!$C$4:$C$203,$A15,'Báo giá'!$T$4:$T$203,"x")=0,"",SUMIFS('Báo giá'!$L$4:$L$203,'Báo giá'!$C$4:$C$203,$A15,'Báo giá'!$T$4:$T$203,"x")))</f>
        <v/>
      </c>
      <c r="S15" s="38" t="str">
        <f aca="false">IF($A15="","",IF($R15="","",$R15-$J15))</f>
        <v/>
      </c>
      <c r="T15" s="37" t="str">
        <f aca="false">IF($A15="","",IF(COUNTIFS(PR!$C$4:$C$203,$A15)&gt;0,"Đã lập PR","Chưa lập PR"))</f>
        <v/>
      </c>
      <c r="U15" s="32"/>
    </row>
    <row r="16" customFormat="false" ht="15" hidden="false" customHeight="false" outlineLevel="0" collapsed="false">
      <c r="A16" s="32"/>
      <c r="B16" s="33"/>
      <c r="C16" s="32"/>
      <c r="D16" s="37" t="str">
        <f aca="false">IF($C16="","",IFERROR(INDEX('Dự án'!$B$4:$B$203,MATCH($C16,'Dự án'!$A$4:$A$203,0)),""))</f>
        <v/>
      </c>
      <c r="E16" s="32"/>
      <c r="F16" s="32"/>
      <c r="G16" s="32"/>
      <c r="H16" s="34"/>
      <c r="I16" s="34"/>
      <c r="J16" s="38" t="str">
        <f aca="false">IF($A16="","",$H16*$I16)</f>
        <v/>
      </c>
      <c r="K16" s="33"/>
      <c r="L16" s="33"/>
      <c r="M16" s="38" t="str">
        <f aca="false">IF($A16="","",IF($L16="","",$L16-$B16))</f>
        <v/>
      </c>
      <c r="N16" s="32"/>
      <c r="O16" s="37" t="str">
        <f aca="true">IF($A16="","",IF($K16="","",IF($L16="",IF(TODAY()&gt;$K16,"Quá hạn chưa trả","Đang xử lý"),IF($L16&lt;=$K16,"Đúng hạn","Trả trễ"))))</f>
        <v/>
      </c>
      <c r="P16" s="38" t="str">
        <f aca="false">IF($A16="","",COUNTIFS('Báo giá'!$C$4:$C$203,$A16))</f>
        <v/>
      </c>
      <c r="Q16" s="38" t="str">
        <f aca="false">IF($A16="","",IF(SUMIFS('Báo giá'!$K$4:$K$203,'Báo giá'!$C$4:$C$203,$A16,'Báo giá'!$T$4:$T$203,"x")=0,"",SUMIFS('Báo giá'!$K$4:$K$203,'Báo giá'!$C$4:$C$203,$A16,'Báo giá'!$T$4:$T$203,"x")))</f>
        <v/>
      </c>
      <c r="R16" s="38" t="str">
        <f aca="false">IF($A16="","",IF(SUMIFS('Báo giá'!$L$4:$L$203,'Báo giá'!$C$4:$C$203,$A16,'Báo giá'!$T$4:$T$203,"x")=0,"",SUMIFS('Báo giá'!$L$4:$L$203,'Báo giá'!$C$4:$C$203,$A16,'Báo giá'!$T$4:$T$203,"x")))</f>
        <v/>
      </c>
      <c r="S16" s="38" t="str">
        <f aca="false">IF($A16="","",IF($R16="","",$R16-$J16))</f>
        <v/>
      </c>
      <c r="T16" s="37" t="str">
        <f aca="false">IF($A16="","",IF(COUNTIFS(PR!$C$4:$C$203,$A16)&gt;0,"Đã lập PR","Chưa lập PR"))</f>
        <v/>
      </c>
      <c r="U16" s="32"/>
    </row>
    <row r="17" customFormat="false" ht="15" hidden="false" customHeight="false" outlineLevel="0" collapsed="false">
      <c r="A17" s="32"/>
      <c r="B17" s="33"/>
      <c r="C17" s="32"/>
      <c r="D17" s="37" t="str">
        <f aca="false">IF($C17="","",IFERROR(INDEX('Dự án'!$B$4:$B$203,MATCH($C17,'Dự án'!$A$4:$A$203,0)),""))</f>
        <v/>
      </c>
      <c r="E17" s="32"/>
      <c r="F17" s="32"/>
      <c r="G17" s="32"/>
      <c r="H17" s="34"/>
      <c r="I17" s="34"/>
      <c r="J17" s="38" t="str">
        <f aca="false">IF($A17="","",$H17*$I17)</f>
        <v/>
      </c>
      <c r="K17" s="33"/>
      <c r="L17" s="33"/>
      <c r="M17" s="38" t="str">
        <f aca="false">IF($A17="","",IF($L17="","",$L17-$B17))</f>
        <v/>
      </c>
      <c r="N17" s="32"/>
      <c r="O17" s="37" t="str">
        <f aca="true">IF($A17="","",IF($K17="","",IF($L17="",IF(TODAY()&gt;$K17,"Quá hạn chưa trả","Đang xử lý"),IF($L17&lt;=$K17,"Đúng hạn","Trả trễ"))))</f>
        <v/>
      </c>
      <c r="P17" s="38" t="str">
        <f aca="false">IF($A17="","",COUNTIFS('Báo giá'!$C$4:$C$203,$A17))</f>
        <v/>
      </c>
      <c r="Q17" s="38" t="str">
        <f aca="false">IF($A17="","",IF(SUMIFS('Báo giá'!$K$4:$K$203,'Báo giá'!$C$4:$C$203,$A17,'Báo giá'!$T$4:$T$203,"x")=0,"",SUMIFS('Báo giá'!$K$4:$K$203,'Báo giá'!$C$4:$C$203,$A17,'Báo giá'!$T$4:$T$203,"x")))</f>
        <v/>
      </c>
      <c r="R17" s="38" t="str">
        <f aca="false">IF($A17="","",IF(SUMIFS('Báo giá'!$L$4:$L$203,'Báo giá'!$C$4:$C$203,$A17,'Báo giá'!$T$4:$T$203,"x")=0,"",SUMIFS('Báo giá'!$L$4:$L$203,'Báo giá'!$C$4:$C$203,$A17,'Báo giá'!$T$4:$T$203,"x")))</f>
        <v/>
      </c>
      <c r="S17" s="38" t="str">
        <f aca="false">IF($A17="","",IF($R17="","",$R17-$J17))</f>
        <v/>
      </c>
      <c r="T17" s="37" t="str">
        <f aca="false">IF($A17="","",IF(COUNTIFS(PR!$C$4:$C$203,$A17)&gt;0,"Đã lập PR","Chưa lập PR"))</f>
        <v/>
      </c>
      <c r="U17" s="32"/>
    </row>
    <row r="18" customFormat="false" ht="15" hidden="false" customHeight="false" outlineLevel="0" collapsed="false">
      <c r="A18" s="32"/>
      <c r="B18" s="33"/>
      <c r="C18" s="32"/>
      <c r="D18" s="37" t="str">
        <f aca="false">IF($C18="","",IFERROR(INDEX('Dự án'!$B$4:$B$203,MATCH($C18,'Dự án'!$A$4:$A$203,0)),""))</f>
        <v/>
      </c>
      <c r="E18" s="32"/>
      <c r="F18" s="32"/>
      <c r="G18" s="32"/>
      <c r="H18" s="34"/>
      <c r="I18" s="34"/>
      <c r="J18" s="38" t="str">
        <f aca="false">IF($A18="","",$H18*$I18)</f>
        <v/>
      </c>
      <c r="K18" s="33"/>
      <c r="L18" s="33"/>
      <c r="M18" s="38" t="str">
        <f aca="false">IF($A18="","",IF($L18="","",$L18-$B18))</f>
        <v/>
      </c>
      <c r="N18" s="32"/>
      <c r="O18" s="37" t="str">
        <f aca="true">IF($A18="","",IF($K18="","",IF($L18="",IF(TODAY()&gt;$K18,"Quá hạn chưa trả","Đang xử lý"),IF($L18&lt;=$K18,"Đúng hạn","Trả trễ"))))</f>
        <v/>
      </c>
      <c r="P18" s="38" t="str">
        <f aca="false">IF($A18="","",COUNTIFS('Báo giá'!$C$4:$C$203,$A18))</f>
        <v/>
      </c>
      <c r="Q18" s="38" t="str">
        <f aca="false">IF($A18="","",IF(SUMIFS('Báo giá'!$K$4:$K$203,'Báo giá'!$C$4:$C$203,$A18,'Báo giá'!$T$4:$T$203,"x")=0,"",SUMIFS('Báo giá'!$K$4:$K$203,'Báo giá'!$C$4:$C$203,$A18,'Báo giá'!$T$4:$T$203,"x")))</f>
        <v/>
      </c>
      <c r="R18" s="38" t="str">
        <f aca="false">IF($A18="","",IF(SUMIFS('Báo giá'!$L$4:$L$203,'Báo giá'!$C$4:$C$203,$A18,'Báo giá'!$T$4:$T$203,"x")=0,"",SUMIFS('Báo giá'!$L$4:$L$203,'Báo giá'!$C$4:$C$203,$A18,'Báo giá'!$T$4:$T$203,"x")))</f>
        <v/>
      </c>
      <c r="S18" s="38" t="str">
        <f aca="false">IF($A18="","",IF($R18="","",$R18-$J18))</f>
        <v/>
      </c>
      <c r="T18" s="37" t="str">
        <f aca="false">IF($A18="","",IF(COUNTIFS(PR!$C$4:$C$203,$A18)&gt;0,"Đã lập PR","Chưa lập PR"))</f>
        <v/>
      </c>
      <c r="U18" s="32"/>
    </row>
    <row r="19" customFormat="false" ht="15" hidden="false" customHeight="false" outlineLevel="0" collapsed="false">
      <c r="A19" s="32"/>
      <c r="B19" s="33"/>
      <c r="C19" s="32"/>
      <c r="D19" s="37" t="str">
        <f aca="false">IF($C19="","",IFERROR(INDEX('Dự án'!$B$4:$B$203,MATCH($C19,'Dự án'!$A$4:$A$203,0)),""))</f>
        <v/>
      </c>
      <c r="E19" s="32"/>
      <c r="F19" s="32"/>
      <c r="G19" s="32"/>
      <c r="H19" s="34"/>
      <c r="I19" s="34"/>
      <c r="J19" s="38" t="str">
        <f aca="false">IF($A19="","",$H19*$I19)</f>
        <v/>
      </c>
      <c r="K19" s="33"/>
      <c r="L19" s="33"/>
      <c r="M19" s="38" t="str">
        <f aca="false">IF($A19="","",IF($L19="","",$L19-$B19))</f>
        <v/>
      </c>
      <c r="N19" s="32"/>
      <c r="O19" s="37" t="str">
        <f aca="true">IF($A19="","",IF($K19="","",IF($L19="",IF(TODAY()&gt;$K19,"Quá hạn chưa trả","Đang xử lý"),IF($L19&lt;=$K19,"Đúng hạn","Trả trễ"))))</f>
        <v/>
      </c>
      <c r="P19" s="38" t="str">
        <f aca="false">IF($A19="","",COUNTIFS('Báo giá'!$C$4:$C$203,$A19))</f>
        <v/>
      </c>
      <c r="Q19" s="38" t="str">
        <f aca="false">IF($A19="","",IF(SUMIFS('Báo giá'!$K$4:$K$203,'Báo giá'!$C$4:$C$203,$A19,'Báo giá'!$T$4:$T$203,"x")=0,"",SUMIFS('Báo giá'!$K$4:$K$203,'Báo giá'!$C$4:$C$203,$A19,'Báo giá'!$T$4:$T$203,"x")))</f>
        <v/>
      </c>
      <c r="R19" s="38" t="str">
        <f aca="false">IF($A19="","",IF(SUMIFS('Báo giá'!$L$4:$L$203,'Báo giá'!$C$4:$C$203,$A19,'Báo giá'!$T$4:$T$203,"x")=0,"",SUMIFS('Báo giá'!$L$4:$L$203,'Báo giá'!$C$4:$C$203,$A19,'Báo giá'!$T$4:$T$203,"x")))</f>
        <v/>
      </c>
      <c r="S19" s="38" t="str">
        <f aca="false">IF($A19="","",IF($R19="","",$R19-$J19))</f>
        <v/>
      </c>
      <c r="T19" s="37" t="str">
        <f aca="false">IF($A19="","",IF(COUNTIFS(PR!$C$4:$C$203,$A19)&gt;0,"Đã lập PR","Chưa lập PR"))</f>
        <v/>
      </c>
      <c r="U19" s="32"/>
    </row>
    <row r="20" customFormat="false" ht="15" hidden="false" customHeight="false" outlineLevel="0" collapsed="false">
      <c r="A20" s="32"/>
      <c r="B20" s="33"/>
      <c r="C20" s="32"/>
      <c r="D20" s="37" t="str">
        <f aca="false">IF($C20="","",IFERROR(INDEX('Dự án'!$B$4:$B$203,MATCH($C20,'Dự án'!$A$4:$A$203,0)),""))</f>
        <v/>
      </c>
      <c r="E20" s="32"/>
      <c r="F20" s="32"/>
      <c r="G20" s="32"/>
      <c r="H20" s="34"/>
      <c r="I20" s="34"/>
      <c r="J20" s="38" t="str">
        <f aca="false">IF($A20="","",$H20*$I20)</f>
        <v/>
      </c>
      <c r="K20" s="33"/>
      <c r="L20" s="33"/>
      <c r="M20" s="38" t="str">
        <f aca="false">IF($A20="","",IF($L20="","",$L20-$B20))</f>
        <v/>
      </c>
      <c r="N20" s="32"/>
      <c r="O20" s="37" t="str">
        <f aca="true">IF($A20="","",IF($K20="","",IF($L20="",IF(TODAY()&gt;$K20,"Quá hạn chưa trả","Đang xử lý"),IF($L20&lt;=$K20,"Đúng hạn","Trả trễ"))))</f>
        <v/>
      </c>
      <c r="P20" s="38" t="str">
        <f aca="false">IF($A20="","",COUNTIFS('Báo giá'!$C$4:$C$203,$A20))</f>
        <v/>
      </c>
      <c r="Q20" s="38" t="str">
        <f aca="false">IF($A20="","",IF(SUMIFS('Báo giá'!$K$4:$K$203,'Báo giá'!$C$4:$C$203,$A20,'Báo giá'!$T$4:$T$203,"x")=0,"",SUMIFS('Báo giá'!$K$4:$K$203,'Báo giá'!$C$4:$C$203,$A20,'Báo giá'!$T$4:$T$203,"x")))</f>
        <v/>
      </c>
      <c r="R20" s="38" t="str">
        <f aca="false">IF($A20="","",IF(SUMIFS('Báo giá'!$L$4:$L$203,'Báo giá'!$C$4:$C$203,$A20,'Báo giá'!$T$4:$T$203,"x")=0,"",SUMIFS('Báo giá'!$L$4:$L$203,'Báo giá'!$C$4:$C$203,$A20,'Báo giá'!$T$4:$T$203,"x")))</f>
        <v/>
      </c>
      <c r="S20" s="38" t="str">
        <f aca="false">IF($A20="","",IF($R20="","",$R20-$J20))</f>
        <v/>
      </c>
      <c r="T20" s="37" t="str">
        <f aca="false">IF($A20="","",IF(COUNTIFS(PR!$C$4:$C$203,$A20)&gt;0,"Đã lập PR","Chưa lập PR"))</f>
        <v/>
      </c>
      <c r="U20" s="32"/>
    </row>
    <row r="21" customFormat="false" ht="15" hidden="false" customHeight="false" outlineLevel="0" collapsed="false">
      <c r="A21" s="32"/>
      <c r="B21" s="33"/>
      <c r="C21" s="32"/>
      <c r="D21" s="37" t="str">
        <f aca="false">IF($C21="","",IFERROR(INDEX('Dự án'!$B$4:$B$203,MATCH($C21,'Dự án'!$A$4:$A$203,0)),""))</f>
        <v/>
      </c>
      <c r="E21" s="32"/>
      <c r="F21" s="32"/>
      <c r="G21" s="32"/>
      <c r="H21" s="34"/>
      <c r="I21" s="34"/>
      <c r="J21" s="38" t="str">
        <f aca="false">IF($A21="","",$H21*$I21)</f>
        <v/>
      </c>
      <c r="K21" s="33"/>
      <c r="L21" s="33"/>
      <c r="M21" s="38" t="str">
        <f aca="false">IF($A21="","",IF($L21="","",$L21-$B21))</f>
        <v/>
      </c>
      <c r="N21" s="32"/>
      <c r="O21" s="37" t="str">
        <f aca="true">IF($A21="","",IF($K21="","",IF($L21="",IF(TODAY()&gt;$K21,"Quá hạn chưa trả","Đang xử lý"),IF($L21&lt;=$K21,"Đúng hạn","Trả trễ"))))</f>
        <v/>
      </c>
      <c r="P21" s="38" t="str">
        <f aca="false">IF($A21="","",COUNTIFS('Báo giá'!$C$4:$C$203,$A21))</f>
        <v/>
      </c>
      <c r="Q21" s="38" t="str">
        <f aca="false">IF($A21="","",IF(SUMIFS('Báo giá'!$K$4:$K$203,'Báo giá'!$C$4:$C$203,$A21,'Báo giá'!$T$4:$T$203,"x")=0,"",SUMIFS('Báo giá'!$K$4:$K$203,'Báo giá'!$C$4:$C$203,$A21,'Báo giá'!$T$4:$T$203,"x")))</f>
        <v/>
      </c>
      <c r="R21" s="38" t="str">
        <f aca="false">IF($A21="","",IF(SUMIFS('Báo giá'!$L$4:$L$203,'Báo giá'!$C$4:$C$203,$A21,'Báo giá'!$T$4:$T$203,"x")=0,"",SUMIFS('Báo giá'!$L$4:$L$203,'Báo giá'!$C$4:$C$203,$A21,'Báo giá'!$T$4:$T$203,"x")))</f>
        <v/>
      </c>
      <c r="S21" s="38" t="str">
        <f aca="false">IF($A21="","",IF($R21="","",$R21-$J21))</f>
        <v/>
      </c>
      <c r="T21" s="37" t="str">
        <f aca="false">IF($A21="","",IF(COUNTIFS(PR!$C$4:$C$203,$A21)&gt;0,"Đã lập PR","Chưa lập PR"))</f>
        <v/>
      </c>
      <c r="U21" s="32"/>
    </row>
    <row r="22" customFormat="false" ht="15" hidden="false" customHeight="false" outlineLevel="0" collapsed="false">
      <c r="A22" s="32"/>
      <c r="B22" s="33"/>
      <c r="C22" s="32"/>
      <c r="D22" s="37" t="str">
        <f aca="false">IF($C22="","",IFERROR(INDEX('Dự án'!$B$4:$B$203,MATCH($C22,'Dự án'!$A$4:$A$203,0)),""))</f>
        <v/>
      </c>
      <c r="E22" s="32"/>
      <c r="F22" s="32"/>
      <c r="G22" s="32"/>
      <c r="H22" s="34"/>
      <c r="I22" s="34"/>
      <c r="J22" s="38" t="str">
        <f aca="false">IF($A22="","",$H22*$I22)</f>
        <v/>
      </c>
      <c r="K22" s="33"/>
      <c r="L22" s="33"/>
      <c r="M22" s="38" t="str">
        <f aca="false">IF($A22="","",IF($L22="","",$L22-$B22))</f>
        <v/>
      </c>
      <c r="N22" s="32"/>
      <c r="O22" s="37" t="str">
        <f aca="true">IF($A22="","",IF($K22="","",IF($L22="",IF(TODAY()&gt;$K22,"Quá hạn chưa trả","Đang xử lý"),IF($L22&lt;=$K22,"Đúng hạn","Trả trễ"))))</f>
        <v/>
      </c>
      <c r="P22" s="38" t="str">
        <f aca="false">IF($A22="","",COUNTIFS('Báo giá'!$C$4:$C$203,$A22))</f>
        <v/>
      </c>
      <c r="Q22" s="38" t="str">
        <f aca="false">IF($A22="","",IF(SUMIFS('Báo giá'!$K$4:$K$203,'Báo giá'!$C$4:$C$203,$A22,'Báo giá'!$T$4:$T$203,"x")=0,"",SUMIFS('Báo giá'!$K$4:$K$203,'Báo giá'!$C$4:$C$203,$A22,'Báo giá'!$T$4:$T$203,"x")))</f>
        <v/>
      </c>
      <c r="R22" s="38" t="str">
        <f aca="false">IF($A22="","",IF(SUMIFS('Báo giá'!$L$4:$L$203,'Báo giá'!$C$4:$C$203,$A22,'Báo giá'!$T$4:$T$203,"x")=0,"",SUMIFS('Báo giá'!$L$4:$L$203,'Báo giá'!$C$4:$C$203,$A22,'Báo giá'!$T$4:$T$203,"x")))</f>
        <v/>
      </c>
      <c r="S22" s="38" t="str">
        <f aca="false">IF($A22="","",IF($R22="","",$R22-$J22))</f>
        <v/>
      </c>
      <c r="T22" s="37" t="str">
        <f aca="false">IF($A22="","",IF(COUNTIFS(PR!$C$4:$C$203,$A22)&gt;0,"Đã lập PR","Chưa lập PR"))</f>
        <v/>
      </c>
      <c r="U22" s="32"/>
    </row>
    <row r="23" customFormat="false" ht="15" hidden="false" customHeight="false" outlineLevel="0" collapsed="false">
      <c r="A23" s="32"/>
      <c r="B23" s="33"/>
      <c r="C23" s="32"/>
      <c r="D23" s="37" t="str">
        <f aca="false">IF($C23="","",IFERROR(INDEX('Dự án'!$B$4:$B$203,MATCH($C23,'Dự án'!$A$4:$A$203,0)),""))</f>
        <v/>
      </c>
      <c r="E23" s="32"/>
      <c r="F23" s="32"/>
      <c r="G23" s="32"/>
      <c r="H23" s="34"/>
      <c r="I23" s="34"/>
      <c r="J23" s="38" t="str">
        <f aca="false">IF($A23="","",$H23*$I23)</f>
        <v/>
      </c>
      <c r="K23" s="33"/>
      <c r="L23" s="33"/>
      <c r="M23" s="38" t="str">
        <f aca="false">IF($A23="","",IF($L23="","",$L23-$B23))</f>
        <v/>
      </c>
      <c r="N23" s="32"/>
      <c r="O23" s="37" t="str">
        <f aca="true">IF($A23="","",IF($K23="","",IF($L23="",IF(TODAY()&gt;$K23,"Quá hạn chưa trả","Đang xử lý"),IF($L23&lt;=$K23,"Đúng hạn","Trả trễ"))))</f>
        <v/>
      </c>
      <c r="P23" s="38" t="str">
        <f aca="false">IF($A23="","",COUNTIFS('Báo giá'!$C$4:$C$203,$A23))</f>
        <v/>
      </c>
      <c r="Q23" s="38" t="str">
        <f aca="false">IF($A23="","",IF(SUMIFS('Báo giá'!$K$4:$K$203,'Báo giá'!$C$4:$C$203,$A23,'Báo giá'!$T$4:$T$203,"x")=0,"",SUMIFS('Báo giá'!$K$4:$K$203,'Báo giá'!$C$4:$C$203,$A23,'Báo giá'!$T$4:$T$203,"x")))</f>
        <v/>
      </c>
      <c r="R23" s="38" t="str">
        <f aca="false">IF($A23="","",IF(SUMIFS('Báo giá'!$L$4:$L$203,'Báo giá'!$C$4:$C$203,$A23,'Báo giá'!$T$4:$T$203,"x")=0,"",SUMIFS('Báo giá'!$L$4:$L$203,'Báo giá'!$C$4:$C$203,$A23,'Báo giá'!$T$4:$T$203,"x")))</f>
        <v/>
      </c>
      <c r="S23" s="38" t="str">
        <f aca="false">IF($A23="","",IF($R23="","",$R23-$J23))</f>
        <v/>
      </c>
      <c r="T23" s="37" t="str">
        <f aca="false">IF($A23="","",IF(COUNTIFS(PR!$C$4:$C$203,$A23)&gt;0,"Đã lập PR","Chưa lập PR"))</f>
        <v/>
      </c>
      <c r="U23" s="32"/>
    </row>
    <row r="24" customFormat="false" ht="15" hidden="false" customHeight="false" outlineLevel="0" collapsed="false">
      <c r="A24" s="32"/>
      <c r="B24" s="33"/>
      <c r="C24" s="32"/>
      <c r="D24" s="37" t="str">
        <f aca="false">IF($C24="","",IFERROR(INDEX('Dự án'!$B$4:$B$203,MATCH($C24,'Dự án'!$A$4:$A$203,0)),""))</f>
        <v/>
      </c>
      <c r="E24" s="32"/>
      <c r="F24" s="32"/>
      <c r="G24" s="32"/>
      <c r="H24" s="34"/>
      <c r="I24" s="34"/>
      <c r="J24" s="38" t="str">
        <f aca="false">IF($A24="","",$H24*$I24)</f>
        <v/>
      </c>
      <c r="K24" s="33"/>
      <c r="L24" s="33"/>
      <c r="M24" s="38" t="str">
        <f aca="false">IF($A24="","",IF($L24="","",$L24-$B24))</f>
        <v/>
      </c>
      <c r="N24" s="32"/>
      <c r="O24" s="37" t="str">
        <f aca="true">IF($A24="","",IF($K24="","",IF($L24="",IF(TODAY()&gt;$K24,"Quá hạn chưa trả","Đang xử lý"),IF($L24&lt;=$K24,"Đúng hạn","Trả trễ"))))</f>
        <v/>
      </c>
      <c r="P24" s="38" t="str">
        <f aca="false">IF($A24="","",COUNTIFS('Báo giá'!$C$4:$C$203,$A24))</f>
        <v/>
      </c>
      <c r="Q24" s="38" t="str">
        <f aca="false">IF($A24="","",IF(SUMIFS('Báo giá'!$K$4:$K$203,'Báo giá'!$C$4:$C$203,$A24,'Báo giá'!$T$4:$T$203,"x")=0,"",SUMIFS('Báo giá'!$K$4:$K$203,'Báo giá'!$C$4:$C$203,$A24,'Báo giá'!$T$4:$T$203,"x")))</f>
        <v/>
      </c>
      <c r="R24" s="38" t="str">
        <f aca="false">IF($A24="","",IF(SUMIFS('Báo giá'!$L$4:$L$203,'Báo giá'!$C$4:$C$203,$A24,'Báo giá'!$T$4:$T$203,"x")=0,"",SUMIFS('Báo giá'!$L$4:$L$203,'Báo giá'!$C$4:$C$203,$A24,'Báo giá'!$T$4:$T$203,"x")))</f>
        <v/>
      </c>
      <c r="S24" s="38" t="str">
        <f aca="false">IF($A24="","",IF($R24="","",$R24-$J24))</f>
        <v/>
      </c>
      <c r="T24" s="37" t="str">
        <f aca="false">IF($A24="","",IF(COUNTIFS(PR!$C$4:$C$203,$A24)&gt;0,"Đã lập PR","Chưa lập PR"))</f>
        <v/>
      </c>
      <c r="U24" s="32"/>
    </row>
    <row r="25" customFormat="false" ht="15" hidden="false" customHeight="false" outlineLevel="0" collapsed="false">
      <c r="A25" s="32"/>
      <c r="B25" s="33"/>
      <c r="C25" s="32"/>
      <c r="D25" s="37" t="str">
        <f aca="false">IF($C25="","",IFERROR(INDEX('Dự án'!$B$4:$B$203,MATCH($C25,'Dự án'!$A$4:$A$203,0)),""))</f>
        <v/>
      </c>
      <c r="E25" s="32"/>
      <c r="F25" s="32"/>
      <c r="G25" s="32"/>
      <c r="H25" s="34"/>
      <c r="I25" s="34"/>
      <c r="J25" s="38" t="str">
        <f aca="false">IF($A25="","",$H25*$I25)</f>
        <v/>
      </c>
      <c r="K25" s="33"/>
      <c r="L25" s="33"/>
      <c r="M25" s="38" t="str">
        <f aca="false">IF($A25="","",IF($L25="","",$L25-$B25))</f>
        <v/>
      </c>
      <c r="N25" s="32"/>
      <c r="O25" s="37" t="str">
        <f aca="true">IF($A25="","",IF($K25="","",IF($L25="",IF(TODAY()&gt;$K25,"Quá hạn chưa trả","Đang xử lý"),IF($L25&lt;=$K25,"Đúng hạn","Trả trễ"))))</f>
        <v/>
      </c>
      <c r="P25" s="38" t="str">
        <f aca="false">IF($A25="","",COUNTIFS('Báo giá'!$C$4:$C$203,$A25))</f>
        <v/>
      </c>
      <c r="Q25" s="38" t="str">
        <f aca="false">IF($A25="","",IF(SUMIFS('Báo giá'!$K$4:$K$203,'Báo giá'!$C$4:$C$203,$A25,'Báo giá'!$T$4:$T$203,"x")=0,"",SUMIFS('Báo giá'!$K$4:$K$203,'Báo giá'!$C$4:$C$203,$A25,'Báo giá'!$T$4:$T$203,"x")))</f>
        <v/>
      </c>
      <c r="R25" s="38" t="str">
        <f aca="false">IF($A25="","",IF(SUMIFS('Báo giá'!$L$4:$L$203,'Báo giá'!$C$4:$C$203,$A25,'Báo giá'!$T$4:$T$203,"x")=0,"",SUMIFS('Báo giá'!$L$4:$L$203,'Báo giá'!$C$4:$C$203,$A25,'Báo giá'!$T$4:$T$203,"x")))</f>
        <v/>
      </c>
      <c r="S25" s="38" t="str">
        <f aca="false">IF($A25="","",IF($R25="","",$R25-$J25))</f>
        <v/>
      </c>
      <c r="T25" s="37" t="str">
        <f aca="false">IF($A25="","",IF(COUNTIFS(PR!$C$4:$C$203,$A25)&gt;0,"Đã lập PR","Chưa lập PR"))</f>
        <v/>
      </c>
      <c r="U25" s="32"/>
    </row>
    <row r="26" customFormat="false" ht="15" hidden="false" customHeight="false" outlineLevel="0" collapsed="false">
      <c r="A26" s="32"/>
      <c r="B26" s="33"/>
      <c r="C26" s="32"/>
      <c r="D26" s="37" t="str">
        <f aca="false">IF($C26="","",IFERROR(INDEX('Dự án'!$B$4:$B$203,MATCH($C26,'Dự án'!$A$4:$A$203,0)),""))</f>
        <v/>
      </c>
      <c r="E26" s="32"/>
      <c r="F26" s="32"/>
      <c r="G26" s="32"/>
      <c r="H26" s="34"/>
      <c r="I26" s="34"/>
      <c r="J26" s="38" t="str">
        <f aca="false">IF($A26="","",$H26*$I26)</f>
        <v/>
      </c>
      <c r="K26" s="33"/>
      <c r="L26" s="33"/>
      <c r="M26" s="38" t="str">
        <f aca="false">IF($A26="","",IF($L26="","",$L26-$B26))</f>
        <v/>
      </c>
      <c r="N26" s="32"/>
      <c r="O26" s="37" t="str">
        <f aca="true">IF($A26="","",IF($K26="","",IF($L26="",IF(TODAY()&gt;$K26,"Quá hạn chưa trả","Đang xử lý"),IF($L26&lt;=$K26,"Đúng hạn","Trả trễ"))))</f>
        <v/>
      </c>
      <c r="P26" s="38" t="str">
        <f aca="false">IF($A26="","",COUNTIFS('Báo giá'!$C$4:$C$203,$A26))</f>
        <v/>
      </c>
      <c r="Q26" s="38" t="str">
        <f aca="false">IF($A26="","",IF(SUMIFS('Báo giá'!$K$4:$K$203,'Báo giá'!$C$4:$C$203,$A26,'Báo giá'!$T$4:$T$203,"x")=0,"",SUMIFS('Báo giá'!$K$4:$K$203,'Báo giá'!$C$4:$C$203,$A26,'Báo giá'!$T$4:$T$203,"x")))</f>
        <v/>
      </c>
      <c r="R26" s="38" t="str">
        <f aca="false">IF($A26="","",IF(SUMIFS('Báo giá'!$L$4:$L$203,'Báo giá'!$C$4:$C$203,$A26,'Báo giá'!$T$4:$T$203,"x")=0,"",SUMIFS('Báo giá'!$L$4:$L$203,'Báo giá'!$C$4:$C$203,$A26,'Báo giá'!$T$4:$T$203,"x")))</f>
        <v/>
      </c>
      <c r="S26" s="38" t="str">
        <f aca="false">IF($A26="","",IF($R26="","",$R26-$J26))</f>
        <v/>
      </c>
      <c r="T26" s="37" t="str">
        <f aca="false">IF($A26="","",IF(COUNTIFS(PR!$C$4:$C$203,$A26)&gt;0,"Đã lập PR","Chưa lập PR"))</f>
        <v/>
      </c>
      <c r="U26" s="32"/>
    </row>
    <row r="27" customFormat="false" ht="15" hidden="false" customHeight="false" outlineLevel="0" collapsed="false">
      <c r="A27" s="32"/>
      <c r="B27" s="33"/>
      <c r="C27" s="32"/>
      <c r="D27" s="37" t="str">
        <f aca="false">IF($C27="","",IFERROR(INDEX('Dự án'!$B$4:$B$203,MATCH($C27,'Dự án'!$A$4:$A$203,0)),""))</f>
        <v/>
      </c>
      <c r="E27" s="32"/>
      <c r="F27" s="32"/>
      <c r="G27" s="32"/>
      <c r="H27" s="34"/>
      <c r="I27" s="34"/>
      <c r="J27" s="38" t="str">
        <f aca="false">IF($A27="","",$H27*$I27)</f>
        <v/>
      </c>
      <c r="K27" s="33"/>
      <c r="L27" s="33"/>
      <c r="M27" s="38" t="str">
        <f aca="false">IF($A27="","",IF($L27="","",$L27-$B27))</f>
        <v/>
      </c>
      <c r="N27" s="32"/>
      <c r="O27" s="37" t="str">
        <f aca="true">IF($A27="","",IF($K27="","",IF($L27="",IF(TODAY()&gt;$K27,"Quá hạn chưa trả","Đang xử lý"),IF($L27&lt;=$K27,"Đúng hạn","Trả trễ"))))</f>
        <v/>
      </c>
      <c r="P27" s="38" t="str">
        <f aca="false">IF($A27="","",COUNTIFS('Báo giá'!$C$4:$C$203,$A27))</f>
        <v/>
      </c>
      <c r="Q27" s="38" t="str">
        <f aca="false">IF($A27="","",IF(SUMIFS('Báo giá'!$K$4:$K$203,'Báo giá'!$C$4:$C$203,$A27,'Báo giá'!$T$4:$T$203,"x")=0,"",SUMIFS('Báo giá'!$K$4:$K$203,'Báo giá'!$C$4:$C$203,$A27,'Báo giá'!$T$4:$T$203,"x")))</f>
        <v/>
      </c>
      <c r="R27" s="38" t="str">
        <f aca="false">IF($A27="","",IF(SUMIFS('Báo giá'!$L$4:$L$203,'Báo giá'!$C$4:$C$203,$A27,'Báo giá'!$T$4:$T$203,"x")=0,"",SUMIFS('Báo giá'!$L$4:$L$203,'Báo giá'!$C$4:$C$203,$A27,'Báo giá'!$T$4:$T$203,"x")))</f>
        <v/>
      </c>
      <c r="S27" s="38" t="str">
        <f aca="false">IF($A27="","",IF($R27="","",$R27-$J27))</f>
        <v/>
      </c>
      <c r="T27" s="37" t="str">
        <f aca="false">IF($A27="","",IF(COUNTIFS(PR!$C$4:$C$203,$A27)&gt;0,"Đã lập PR","Chưa lập PR"))</f>
        <v/>
      </c>
      <c r="U27" s="32"/>
    </row>
    <row r="28" customFormat="false" ht="15" hidden="false" customHeight="false" outlineLevel="0" collapsed="false">
      <c r="A28" s="32"/>
      <c r="B28" s="33"/>
      <c r="C28" s="32"/>
      <c r="D28" s="37" t="str">
        <f aca="false">IF($C28="","",IFERROR(INDEX('Dự án'!$B$4:$B$203,MATCH($C28,'Dự án'!$A$4:$A$203,0)),""))</f>
        <v/>
      </c>
      <c r="E28" s="32"/>
      <c r="F28" s="32"/>
      <c r="G28" s="32"/>
      <c r="H28" s="34"/>
      <c r="I28" s="34"/>
      <c r="J28" s="38" t="str">
        <f aca="false">IF($A28="","",$H28*$I28)</f>
        <v/>
      </c>
      <c r="K28" s="33"/>
      <c r="L28" s="33"/>
      <c r="M28" s="38" t="str">
        <f aca="false">IF($A28="","",IF($L28="","",$L28-$B28))</f>
        <v/>
      </c>
      <c r="N28" s="32"/>
      <c r="O28" s="37" t="str">
        <f aca="true">IF($A28="","",IF($K28="","",IF($L28="",IF(TODAY()&gt;$K28,"Quá hạn chưa trả","Đang xử lý"),IF($L28&lt;=$K28,"Đúng hạn","Trả trễ"))))</f>
        <v/>
      </c>
      <c r="P28" s="38" t="str">
        <f aca="false">IF($A28="","",COUNTIFS('Báo giá'!$C$4:$C$203,$A28))</f>
        <v/>
      </c>
      <c r="Q28" s="38" t="str">
        <f aca="false">IF($A28="","",IF(SUMIFS('Báo giá'!$K$4:$K$203,'Báo giá'!$C$4:$C$203,$A28,'Báo giá'!$T$4:$T$203,"x")=0,"",SUMIFS('Báo giá'!$K$4:$K$203,'Báo giá'!$C$4:$C$203,$A28,'Báo giá'!$T$4:$T$203,"x")))</f>
        <v/>
      </c>
      <c r="R28" s="38" t="str">
        <f aca="false">IF($A28="","",IF(SUMIFS('Báo giá'!$L$4:$L$203,'Báo giá'!$C$4:$C$203,$A28,'Báo giá'!$T$4:$T$203,"x")=0,"",SUMIFS('Báo giá'!$L$4:$L$203,'Báo giá'!$C$4:$C$203,$A28,'Báo giá'!$T$4:$T$203,"x")))</f>
        <v/>
      </c>
      <c r="S28" s="38" t="str">
        <f aca="false">IF($A28="","",IF($R28="","",$R28-$J28))</f>
        <v/>
      </c>
      <c r="T28" s="37" t="str">
        <f aca="false">IF($A28="","",IF(COUNTIFS(PR!$C$4:$C$203,$A28)&gt;0,"Đã lập PR","Chưa lập PR"))</f>
        <v/>
      </c>
      <c r="U28" s="32"/>
    </row>
    <row r="29" customFormat="false" ht="15" hidden="false" customHeight="false" outlineLevel="0" collapsed="false">
      <c r="A29" s="32"/>
      <c r="B29" s="33"/>
      <c r="C29" s="32"/>
      <c r="D29" s="37" t="str">
        <f aca="false">IF($C29="","",IFERROR(INDEX('Dự án'!$B$4:$B$203,MATCH($C29,'Dự án'!$A$4:$A$203,0)),""))</f>
        <v/>
      </c>
      <c r="E29" s="32"/>
      <c r="F29" s="32"/>
      <c r="G29" s="32"/>
      <c r="H29" s="34"/>
      <c r="I29" s="34"/>
      <c r="J29" s="38" t="str">
        <f aca="false">IF($A29="","",$H29*$I29)</f>
        <v/>
      </c>
      <c r="K29" s="33"/>
      <c r="L29" s="33"/>
      <c r="M29" s="38" t="str">
        <f aca="false">IF($A29="","",IF($L29="","",$L29-$B29))</f>
        <v/>
      </c>
      <c r="N29" s="32"/>
      <c r="O29" s="37" t="str">
        <f aca="true">IF($A29="","",IF($K29="","",IF($L29="",IF(TODAY()&gt;$K29,"Quá hạn chưa trả","Đang xử lý"),IF($L29&lt;=$K29,"Đúng hạn","Trả trễ"))))</f>
        <v/>
      </c>
      <c r="P29" s="38" t="str">
        <f aca="false">IF($A29="","",COUNTIFS('Báo giá'!$C$4:$C$203,$A29))</f>
        <v/>
      </c>
      <c r="Q29" s="38" t="str">
        <f aca="false">IF($A29="","",IF(SUMIFS('Báo giá'!$K$4:$K$203,'Báo giá'!$C$4:$C$203,$A29,'Báo giá'!$T$4:$T$203,"x")=0,"",SUMIFS('Báo giá'!$K$4:$K$203,'Báo giá'!$C$4:$C$203,$A29,'Báo giá'!$T$4:$T$203,"x")))</f>
        <v/>
      </c>
      <c r="R29" s="38" t="str">
        <f aca="false">IF($A29="","",IF(SUMIFS('Báo giá'!$L$4:$L$203,'Báo giá'!$C$4:$C$203,$A29,'Báo giá'!$T$4:$T$203,"x")=0,"",SUMIFS('Báo giá'!$L$4:$L$203,'Báo giá'!$C$4:$C$203,$A29,'Báo giá'!$T$4:$T$203,"x")))</f>
        <v/>
      </c>
      <c r="S29" s="38" t="str">
        <f aca="false">IF($A29="","",IF($R29="","",$R29-$J29))</f>
        <v/>
      </c>
      <c r="T29" s="37" t="str">
        <f aca="false">IF($A29="","",IF(COUNTIFS(PR!$C$4:$C$203,$A29)&gt;0,"Đã lập PR","Chưa lập PR"))</f>
        <v/>
      </c>
      <c r="U29" s="32"/>
    </row>
    <row r="30" customFormat="false" ht="15" hidden="false" customHeight="false" outlineLevel="0" collapsed="false">
      <c r="A30" s="32"/>
      <c r="B30" s="33"/>
      <c r="C30" s="32"/>
      <c r="D30" s="37" t="str">
        <f aca="false">IF($C30="","",IFERROR(INDEX('Dự án'!$B$4:$B$203,MATCH($C30,'Dự án'!$A$4:$A$203,0)),""))</f>
        <v/>
      </c>
      <c r="E30" s="32"/>
      <c r="F30" s="32"/>
      <c r="G30" s="32"/>
      <c r="H30" s="34"/>
      <c r="I30" s="34"/>
      <c r="J30" s="38" t="str">
        <f aca="false">IF($A30="","",$H30*$I30)</f>
        <v/>
      </c>
      <c r="K30" s="33"/>
      <c r="L30" s="33"/>
      <c r="M30" s="38" t="str">
        <f aca="false">IF($A30="","",IF($L30="","",$L30-$B30))</f>
        <v/>
      </c>
      <c r="N30" s="32"/>
      <c r="O30" s="37" t="str">
        <f aca="true">IF($A30="","",IF($K30="","",IF($L30="",IF(TODAY()&gt;$K30,"Quá hạn chưa trả","Đang xử lý"),IF($L30&lt;=$K30,"Đúng hạn","Trả trễ"))))</f>
        <v/>
      </c>
      <c r="P30" s="38" t="str">
        <f aca="false">IF($A30="","",COUNTIFS('Báo giá'!$C$4:$C$203,$A30))</f>
        <v/>
      </c>
      <c r="Q30" s="38" t="str">
        <f aca="false">IF($A30="","",IF(SUMIFS('Báo giá'!$K$4:$K$203,'Báo giá'!$C$4:$C$203,$A30,'Báo giá'!$T$4:$T$203,"x")=0,"",SUMIFS('Báo giá'!$K$4:$K$203,'Báo giá'!$C$4:$C$203,$A30,'Báo giá'!$T$4:$T$203,"x")))</f>
        <v/>
      </c>
      <c r="R30" s="38" t="str">
        <f aca="false">IF($A30="","",IF(SUMIFS('Báo giá'!$L$4:$L$203,'Báo giá'!$C$4:$C$203,$A30,'Báo giá'!$T$4:$T$203,"x")=0,"",SUMIFS('Báo giá'!$L$4:$L$203,'Báo giá'!$C$4:$C$203,$A30,'Báo giá'!$T$4:$T$203,"x")))</f>
        <v/>
      </c>
      <c r="S30" s="38" t="str">
        <f aca="false">IF($A30="","",IF($R30="","",$R30-$J30))</f>
        <v/>
      </c>
      <c r="T30" s="37" t="str">
        <f aca="false">IF($A30="","",IF(COUNTIFS(PR!$C$4:$C$203,$A30)&gt;0,"Đã lập PR","Chưa lập PR"))</f>
        <v/>
      </c>
      <c r="U30" s="32"/>
    </row>
    <row r="31" customFormat="false" ht="15" hidden="false" customHeight="false" outlineLevel="0" collapsed="false">
      <c r="A31" s="32"/>
      <c r="B31" s="33"/>
      <c r="C31" s="32"/>
      <c r="D31" s="37" t="str">
        <f aca="false">IF($C31="","",IFERROR(INDEX('Dự án'!$B$4:$B$203,MATCH($C31,'Dự án'!$A$4:$A$203,0)),""))</f>
        <v/>
      </c>
      <c r="E31" s="32"/>
      <c r="F31" s="32"/>
      <c r="G31" s="32"/>
      <c r="H31" s="34"/>
      <c r="I31" s="34"/>
      <c r="J31" s="38" t="str">
        <f aca="false">IF($A31="","",$H31*$I31)</f>
        <v/>
      </c>
      <c r="K31" s="33"/>
      <c r="L31" s="33"/>
      <c r="M31" s="38" t="str">
        <f aca="false">IF($A31="","",IF($L31="","",$L31-$B31))</f>
        <v/>
      </c>
      <c r="N31" s="32"/>
      <c r="O31" s="37" t="str">
        <f aca="true">IF($A31="","",IF($K31="","",IF($L31="",IF(TODAY()&gt;$K31,"Quá hạn chưa trả","Đang xử lý"),IF($L31&lt;=$K31,"Đúng hạn","Trả trễ"))))</f>
        <v/>
      </c>
      <c r="P31" s="38" t="str">
        <f aca="false">IF($A31="","",COUNTIFS('Báo giá'!$C$4:$C$203,$A31))</f>
        <v/>
      </c>
      <c r="Q31" s="38" t="str">
        <f aca="false">IF($A31="","",IF(SUMIFS('Báo giá'!$K$4:$K$203,'Báo giá'!$C$4:$C$203,$A31,'Báo giá'!$T$4:$T$203,"x")=0,"",SUMIFS('Báo giá'!$K$4:$K$203,'Báo giá'!$C$4:$C$203,$A31,'Báo giá'!$T$4:$T$203,"x")))</f>
        <v/>
      </c>
      <c r="R31" s="38" t="str">
        <f aca="false">IF($A31="","",IF(SUMIFS('Báo giá'!$L$4:$L$203,'Báo giá'!$C$4:$C$203,$A31,'Báo giá'!$T$4:$T$203,"x")=0,"",SUMIFS('Báo giá'!$L$4:$L$203,'Báo giá'!$C$4:$C$203,$A31,'Báo giá'!$T$4:$T$203,"x")))</f>
        <v/>
      </c>
      <c r="S31" s="38" t="str">
        <f aca="false">IF($A31="","",IF($R31="","",$R31-$J31))</f>
        <v/>
      </c>
      <c r="T31" s="37" t="str">
        <f aca="false">IF($A31="","",IF(COUNTIFS(PR!$C$4:$C$203,$A31)&gt;0,"Đã lập PR","Chưa lập PR"))</f>
        <v/>
      </c>
      <c r="U31" s="32"/>
    </row>
    <row r="32" customFormat="false" ht="15" hidden="false" customHeight="false" outlineLevel="0" collapsed="false">
      <c r="A32" s="32"/>
      <c r="B32" s="33"/>
      <c r="C32" s="32"/>
      <c r="D32" s="37" t="str">
        <f aca="false">IF($C32="","",IFERROR(INDEX('Dự án'!$B$4:$B$203,MATCH($C32,'Dự án'!$A$4:$A$203,0)),""))</f>
        <v/>
      </c>
      <c r="E32" s="32"/>
      <c r="F32" s="32"/>
      <c r="G32" s="32"/>
      <c r="H32" s="34"/>
      <c r="I32" s="34"/>
      <c r="J32" s="38" t="str">
        <f aca="false">IF($A32="","",$H32*$I32)</f>
        <v/>
      </c>
      <c r="K32" s="33"/>
      <c r="L32" s="33"/>
      <c r="M32" s="38" t="str">
        <f aca="false">IF($A32="","",IF($L32="","",$L32-$B32))</f>
        <v/>
      </c>
      <c r="N32" s="32"/>
      <c r="O32" s="37" t="str">
        <f aca="true">IF($A32="","",IF($K32="","",IF($L32="",IF(TODAY()&gt;$K32,"Quá hạn chưa trả","Đang xử lý"),IF($L32&lt;=$K32,"Đúng hạn","Trả trễ"))))</f>
        <v/>
      </c>
      <c r="P32" s="38" t="str">
        <f aca="false">IF($A32="","",COUNTIFS('Báo giá'!$C$4:$C$203,$A32))</f>
        <v/>
      </c>
      <c r="Q32" s="38" t="str">
        <f aca="false">IF($A32="","",IF(SUMIFS('Báo giá'!$K$4:$K$203,'Báo giá'!$C$4:$C$203,$A32,'Báo giá'!$T$4:$T$203,"x")=0,"",SUMIFS('Báo giá'!$K$4:$K$203,'Báo giá'!$C$4:$C$203,$A32,'Báo giá'!$T$4:$T$203,"x")))</f>
        <v/>
      </c>
      <c r="R32" s="38" t="str">
        <f aca="false">IF($A32="","",IF(SUMIFS('Báo giá'!$L$4:$L$203,'Báo giá'!$C$4:$C$203,$A32,'Báo giá'!$T$4:$T$203,"x")=0,"",SUMIFS('Báo giá'!$L$4:$L$203,'Báo giá'!$C$4:$C$203,$A32,'Báo giá'!$T$4:$T$203,"x")))</f>
        <v/>
      </c>
      <c r="S32" s="38" t="str">
        <f aca="false">IF($A32="","",IF($R32="","",$R32-$J32))</f>
        <v/>
      </c>
      <c r="T32" s="37" t="str">
        <f aca="false">IF($A32="","",IF(COUNTIFS(PR!$C$4:$C$203,$A32)&gt;0,"Đã lập PR","Chưa lập PR"))</f>
        <v/>
      </c>
      <c r="U32" s="32"/>
    </row>
    <row r="33" customFormat="false" ht="15" hidden="false" customHeight="false" outlineLevel="0" collapsed="false">
      <c r="A33" s="32"/>
      <c r="B33" s="33"/>
      <c r="C33" s="32"/>
      <c r="D33" s="37" t="str">
        <f aca="false">IF($C33="","",IFERROR(INDEX('Dự án'!$B$4:$B$203,MATCH($C33,'Dự án'!$A$4:$A$203,0)),""))</f>
        <v/>
      </c>
      <c r="E33" s="32"/>
      <c r="F33" s="32"/>
      <c r="G33" s="32"/>
      <c r="H33" s="34"/>
      <c r="I33" s="34"/>
      <c r="J33" s="38" t="str">
        <f aca="false">IF($A33="","",$H33*$I33)</f>
        <v/>
      </c>
      <c r="K33" s="33"/>
      <c r="L33" s="33"/>
      <c r="M33" s="38" t="str">
        <f aca="false">IF($A33="","",IF($L33="","",$L33-$B33))</f>
        <v/>
      </c>
      <c r="N33" s="32"/>
      <c r="O33" s="37" t="str">
        <f aca="true">IF($A33="","",IF($K33="","",IF($L33="",IF(TODAY()&gt;$K33,"Quá hạn chưa trả","Đang xử lý"),IF($L33&lt;=$K33,"Đúng hạn","Trả trễ"))))</f>
        <v/>
      </c>
      <c r="P33" s="38" t="str">
        <f aca="false">IF($A33="","",COUNTIFS('Báo giá'!$C$4:$C$203,$A33))</f>
        <v/>
      </c>
      <c r="Q33" s="38" t="str">
        <f aca="false">IF($A33="","",IF(SUMIFS('Báo giá'!$K$4:$K$203,'Báo giá'!$C$4:$C$203,$A33,'Báo giá'!$T$4:$T$203,"x")=0,"",SUMIFS('Báo giá'!$K$4:$K$203,'Báo giá'!$C$4:$C$203,$A33,'Báo giá'!$T$4:$T$203,"x")))</f>
        <v/>
      </c>
      <c r="R33" s="38" t="str">
        <f aca="false">IF($A33="","",IF(SUMIFS('Báo giá'!$L$4:$L$203,'Báo giá'!$C$4:$C$203,$A33,'Báo giá'!$T$4:$T$203,"x")=0,"",SUMIFS('Báo giá'!$L$4:$L$203,'Báo giá'!$C$4:$C$203,$A33,'Báo giá'!$T$4:$T$203,"x")))</f>
        <v/>
      </c>
      <c r="S33" s="38" t="str">
        <f aca="false">IF($A33="","",IF($R33="","",$R33-$J33))</f>
        <v/>
      </c>
      <c r="T33" s="37" t="str">
        <f aca="false">IF($A33="","",IF(COUNTIFS(PR!$C$4:$C$203,$A33)&gt;0,"Đã lập PR","Chưa lập PR"))</f>
        <v/>
      </c>
      <c r="U33" s="32"/>
    </row>
    <row r="34" customFormat="false" ht="15" hidden="false" customHeight="false" outlineLevel="0" collapsed="false">
      <c r="A34" s="32"/>
      <c r="B34" s="33"/>
      <c r="C34" s="32"/>
      <c r="D34" s="37" t="str">
        <f aca="false">IF($C34="","",IFERROR(INDEX('Dự án'!$B$4:$B$203,MATCH($C34,'Dự án'!$A$4:$A$203,0)),""))</f>
        <v/>
      </c>
      <c r="E34" s="32"/>
      <c r="F34" s="32"/>
      <c r="G34" s="32"/>
      <c r="H34" s="34"/>
      <c r="I34" s="34"/>
      <c r="J34" s="38" t="str">
        <f aca="false">IF($A34="","",$H34*$I34)</f>
        <v/>
      </c>
      <c r="K34" s="33"/>
      <c r="L34" s="33"/>
      <c r="M34" s="38" t="str">
        <f aca="false">IF($A34="","",IF($L34="","",$L34-$B34))</f>
        <v/>
      </c>
      <c r="N34" s="32"/>
      <c r="O34" s="37" t="str">
        <f aca="true">IF($A34="","",IF($K34="","",IF($L34="",IF(TODAY()&gt;$K34,"Quá hạn chưa trả","Đang xử lý"),IF($L34&lt;=$K34,"Đúng hạn","Trả trễ"))))</f>
        <v/>
      </c>
      <c r="P34" s="38" t="str">
        <f aca="false">IF($A34="","",COUNTIFS('Báo giá'!$C$4:$C$203,$A34))</f>
        <v/>
      </c>
      <c r="Q34" s="38" t="str">
        <f aca="false">IF($A34="","",IF(SUMIFS('Báo giá'!$K$4:$K$203,'Báo giá'!$C$4:$C$203,$A34,'Báo giá'!$T$4:$T$203,"x")=0,"",SUMIFS('Báo giá'!$K$4:$K$203,'Báo giá'!$C$4:$C$203,$A34,'Báo giá'!$T$4:$T$203,"x")))</f>
        <v/>
      </c>
      <c r="R34" s="38" t="str">
        <f aca="false">IF($A34="","",IF(SUMIFS('Báo giá'!$L$4:$L$203,'Báo giá'!$C$4:$C$203,$A34,'Báo giá'!$T$4:$T$203,"x")=0,"",SUMIFS('Báo giá'!$L$4:$L$203,'Báo giá'!$C$4:$C$203,$A34,'Báo giá'!$T$4:$T$203,"x")))</f>
        <v/>
      </c>
      <c r="S34" s="38" t="str">
        <f aca="false">IF($A34="","",IF($R34="","",$R34-$J34))</f>
        <v/>
      </c>
      <c r="T34" s="37" t="str">
        <f aca="false">IF($A34="","",IF(COUNTIFS(PR!$C$4:$C$203,$A34)&gt;0,"Đã lập PR","Chưa lập PR"))</f>
        <v/>
      </c>
      <c r="U34" s="32"/>
    </row>
    <row r="35" customFormat="false" ht="15" hidden="false" customHeight="false" outlineLevel="0" collapsed="false">
      <c r="A35" s="32"/>
      <c r="B35" s="33"/>
      <c r="C35" s="32"/>
      <c r="D35" s="37" t="str">
        <f aca="false">IF($C35="","",IFERROR(INDEX('Dự án'!$B$4:$B$203,MATCH($C35,'Dự án'!$A$4:$A$203,0)),""))</f>
        <v/>
      </c>
      <c r="E35" s="32"/>
      <c r="F35" s="32"/>
      <c r="G35" s="32"/>
      <c r="H35" s="34"/>
      <c r="I35" s="34"/>
      <c r="J35" s="38" t="str">
        <f aca="false">IF($A35="","",$H35*$I35)</f>
        <v/>
      </c>
      <c r="K35" s="33"/>
      <c r="L35" s="33"/>
      <c r="M35" s="38" t="str">
        <f aca="false">IF($A35="","",IF($L35="","",$L35-$B35))</f>
        <v/>
      </c>
      <c r="N35" s="32"/>
      <c r="O35" s="37" t="str">
        <f aca="true">IF($A35="","",IF($K35="","",IF($L35="",IF(TODAY()&gt;$K35,"Quá hạn chưa trả","Đang xử lý"),IF($L35&lt;=$K35,"Đúng hạn","Trả trễ"))))</f>
        <v/>
      </c>
      <c r="P35" s="38" t="str">
        <f aca="false">IF($A35="","",COUNTIFS('Báo giá'!$C$4:$C$203,$A35))</f>
        <v/>
      </c>
      <c r="Q35" s="38" t="str">
        <f aca="false">IF($A35="","",IF(SUMIFS('Báo giá'!$K$4:$K$203,'Báo giá'!$C$4:$C$203,$A35,'Báo giá'!$T$4:$T$203,"x")=0,"",SUMIFS('Báo giá'!$K$4:$K$203,'Báo giá'!$C$4:$C$203,$A35,'Báo giá'!$T$4:$T$203,"x")))</f>
        <v/>
      </c>
      <c r="R35" s="38" t="str">
        <f aca="false">IF($A35="","",IF(SUMIFS('Báo giá'!$L$4:$L$203,'Báo giá'!$C$4:$C$203,$A35,'Báo giá'!$T$4:$T$203,"x")=0,"",SUMIFS('Báo giá'!$L$4:$L$203,'Báo giá'!$C$4:$C$203,$A35,'Báo giá'!$T$4:$T$203,"x")))</f>
        <v/>
      </c>
      <c r="S35" s="38" t="str">
        <f aca="false">IF($A35="","",IF($R35="","",$R35-$J35))</f>
        <v/>
      </c>
      <c r="T35" s="37" t="str">
        <f aca="false">IF($A35="","",IF(COUNTIFS(PR!$C$4:$C$203,$A35)&gt;0,"Đã lập PR","Chưa lập PR"))</f>
        <v/>
      </c>
      <c r="U35" s="32"/>
    </row>
    <row r="36" customFormat="false" ht="15" hidden="false" customHeight="false" outlineLevel="0" collapsed="false">
      <c r="A36" s="32"/>
      <c r="B36" s="33"/>
      <c r="C36" s="32"/>
      <c r="D36" s="37" t="str">
        <f aca="false">IF($C36="","",IFERROR(INDEX('Dự án'!$B$4:$B$203,MATCH($C36,'Dự án'!$A$4:$A$203,0)),""))</f>
        <v/>
      </c>
      <c r="E36" s="32"/>
      <c r="F36" s="32"/>
      <c r="G36" s="32"/>
      <c r="H36" s="34"/>
      <c r="I36" s="34"/>
      <c r="J36" s="38" t="str">
        <f aca="false">IF($A36="","",$H36*$I36)</f>
        <v/>
      </c>
      <c r="K36" s="33"/>
      <c r="L36" s="33"/>
      <c r="M36" s="38" t="str">
        <f aca="false">IF($A36="","",IF($L36="","",$L36-$B36))</f>
        <v/>
      </c>
      <c r="N36" s="32"/>
      <c r="O36" s="37" t="str">
        <f aca="true">IF($A36="","",IF($K36="","",IF($L36="",IF(TODAY()&gt;$K36,"Quá hạn chưa trả","Đang xử lý"),IF($L36&lt;=$K36,"Đúng hạn","Trả trễ"))))</f>
        <v/>
      </c>
      <c r="P36" s="38" t="str">
        <f aca="false">IF($A36="","",COUNTIFS('Báo giá'!$C$4:$C$203,$A36))</f>
        <v/>
      </c>
      <c r="Q36" s="38" t="str">
        <f aca="false">IF($A36="","",IF(SUMIFS('Báo giá'!$K$4:$K$203,'Báo giá'!$C$4:$C$203,$A36,'Báo giá'!$T$4:$T$203,"x")=0,"",SUMIFS('Báo giá'!$K$4:$K$203,'Báo giá'!$C$4:$C$203,$A36,'Báo giá'!$T$4:$T$203,"x")))</f>
        <v/>
      </c>
      <c r="R36" s="38" t="str">
        <f aca="false">IF($A36="","",IF(SUMIFS('Báo giá'!$L$4:$L$203,'Báo giá'!$C$4:$C$203,$A36,'Báo giá'!$T$4:$T$203,"x")=0,"",SUMIFS('Báo giá'!$L$4:$L$203,'Báo giá'!$C$4:$C$203,$A36,'Báo giá'!$T$4:$T$203,"x")))</f>
        <v/>
      </c>
      <c r="S36" s="38" t="str">
        <f aca="false">IF($A36="","",IF($R36="","",$R36-$J36))</f>
        <v/>
      </c>
      <c r="T36" s="37" t="str">
        <f aca="false">IF($A36="","",IF(COUNTIFS(PR!$C$4:$C$203,$A36)&gt;0,"Đã lập PR","Chưa lập PR"))</f>
        <v/>
      </c>
      <c r="U36" s="32"/>
    </row>
    <row r="37" customFormat="false" ht="15" hidden="false" customHeight="false" outlineLevel="0" collapsed="false">
      <c r="A37" s="32"/>
      <c r="B37" s="33"/>
      <c r="C37" s="32"/>
      <c r="D37" s="37" t="str">
        <f aca="false">IF($C37="","",IFERROR(INDEX('Dự án'!$B$4:$B$203,MATCH($C37,'Dự án'!$A$4:$A$203,0)),""))</f>
        <v/>
      </c>
      <c r="E37" s="32"/>
      <c r="F37" s="32"/>
      <c r="G37" s="32"/>
      <c r="H37" s="34"/>
      <c r="I37" s="34"/>
      <c r="J37" s="38" t="str">
        <f aca="false">IF($A37="","",$H37*$I37)</f>
        <v/>
      </c>
      <c r="K37" s="33"/>
      <c r="L37" s="33"/>
      <c r="M37" s="38" t="str">
        <f aca="false">IF($A37="","",IF($L37="","",$L37-$B37))</f>
        <v/>
      </c>
      <c r="N37" s="32"/>
      <c r="O37" s="37" t="str">
        <f aca="true">IF($A37="","",IF($K37="","",IF($L37="",IF(TODAY()&gt;$K37,"Quá hạn chưa trả","Đang xử lý"),IF($L37&lt;=$K37,"Đúng hạn","Trả trễ"))))</f>
        <v/>
      </c>
      <c r="P37" s="38" t="str">
        <f aca="false">IF($A37="","",COUNTIFS('Báo giá'!$C$4:$C$203,$A37))</f>
        <v/>
      </c>
      <c r="Q37" s="38" t="str">
        <f aca="false">IF($A37="","",IF(SUMIFS('Báo giá'!$K$4:$K$203,'Báo giá'!$C$4:$C$203,$A37,'Báo giá'!$T$4:$T$203,"x")=0,"",SUMIFS('Báo giá'!$K$4:$K$203,'Báo giá'!$C$4:$C$203,$A37,'Báo giá'!$T$4:$T$203,"x")))</f>
        <v/>
      </c>
      <c r="R37" s="38" t="str">
        <f aca="false">IF($A37="","",IF(SUMIFS('Báo giá'!$L$4:$L$203,'Báo giá'!$C$4:$C$203,$A37,'Báo giá'!$T$4:$T$203,"x")=0,"",SUMIFS('Báo giá'!$L$4:$L$203,'Báo giá'!$C$4:$C$203,$A37,'Báo giá'!$T$4:$T$203,"x")))</f>
        <v/>
      </c>
      <c r="S37" s="38" t="str">
        <f aca="false">IF($A37="","",IF($R37="","",$R37-$J37))</f>
        <v/>
      </c>
      <c r="T37" s="37" t="str">
        <f aca="false">IF($A37="","",IF(COUNTIFS(PR!$C$4:$C$203,$A37)&gt;0,"Đã lập PR","Chưa lập PR"))</f>
        <v/>
      </c>
      <c r="U37" s="32"/>
    </row>
    <row r="38" customFormat="false" ht="15" hidden="false" customHeight="false" outlineLevel="0" collapsed="false">
      <c r="A38" s="32"/>
      <c r="B38" s="33"/>
      <c r="C38" s="32"/>
      <c r="D38" s="37" t="str">
        <f aca="false">IF($C38="","",IFERROR(INDEX('Dự án'!$B$4:$B$203,MATCH($C38,'Dự án'!$A$4:$A$203,0)),""))</f>
        <v/>
      </c>
      <c r="E38" s="32"/>
      <c r="F38" s="32"/>
      <c r="G38" s="32"/>
      <c r="H38" s="34"/>
      <c r="I38" s="34"/>
      <c r="J38" s="38" t="str">
        <f aca="false">IF($A38="","",$H38*$I38)</f>
        <v/>
      </c>
      <c r="K38" s="33"/>
      <c r="L38" s="33"/>
      <c r="M38" s="38" t="str">
        <f aca="false">IF($A38="","",IF($L38="","",$L38-$B38))</f>
        <v/>
      </c>
      <c r="N38" s="32"/>
      <c r="O38" s="37" t="str">
        <f aca="true">IF($A38="","",IF($K38="","",IF($L38="",IF(TODAY()&gt;$K38,"Quá hạn chưa trả","Đang xử lý"),IF($L38&lt;=$K38,"Đúng hạn","Trả trễ"))))</f>
        <v/>
      </c>
      <c r="P38" s="38" t="str">
        <f aca="false">IF($A38="","",COUNTIFS('Báo giá'!$C$4:$C$203,$A38))</f>
        <v/>
      </c>
      <c r="Q38" s="38" t="str">
        <f aca="false">IF($A38="","",IF(SUMIFS('Báo giá'!$K$4:$K$203,'Báo giá'!$C$4:$C$203,$A38,'Báo giá'!$T$4:$T$203,"x")=0,"",SUMIFS('Báo giá'!$K$4:$K$203,'Báo giá'!$C$4:$C$203,$A38,'Báo giá'!$T$4:$T$203,"x")))</f>
        <v/>
      </c>
      <c r="R38" s="38" t="str">
        <f aca="false">IF($A38="","",IF(SUMIFS('Báo giá'!$L$4:$L$203,'Báo giá'!$C$4:$C$203,$A38,'Báo giá'!$T$4:$T$203,"x")=0,"",SUMIFS('Báo giá'!$L$4:$L$203,'Báo giá'!$C$4:$C$203,$A38,'Báo giá'!$T$4:$T$203,"x")))</f>
        <v/>
      </c>
      <c r="S38" s="38" t="str">
        <f aca="false">IF($A38="","",IF($R38="","",$R38-$J38))</f>
        <v/>
      </c>
      <c r="T38" s="37" t="str">
        <f aca="false">IF($A38="","",IF(COUNTIFS(PR!$C$4:$C$203,$A38)&gt;0,"Đã lập PR","Chưa lập PR"))</f>
        <v/>
      </c>
      <c r="U38" s="32"/>
    </row>
    <row r="39" customFormat="false" ht="15" hidden="false" customHeight="false" outlineLevel="0" collapsed="false">
      <c r="A39" s="32"/>
      <c r="B39" s="33"/>
      <c r="C39" s="32"/>
      <c r="D39" s="37" t="str">
        <f aca="false">IF($C39="","",IFERROR(INDEX('Dự án'!$B$4:$B$203,MATCH($C39,'Dự án'!$A$4:$A$203,0)),""))</f>
        <v/>
      </c>
      <c r="E39" s="32"/>
      <c r="F39" s="32"/>
      <c r="G39" s="32"/>
      <c r="H39" s="34"/>
      <c r="I39" s="34"/>
      <c r="J39" s="38" t="str">
        <f aca="false">IF($A39="","",$H39*$I39)</f>
        <v/>
      </c>
      <c r="K39" s="33"/>
      <c r="L39" s="33"/>
      <c r="M39" s="38" t="str">
        <f aca="false">IF($A39="","",IF($L39="","",$L39-$B39))</f>
        <v/>
      </c>
      <c r="N39" s="32"/>
      <c r="O39" s="37" t="str">
        <f aca="true">IF($A39="","",IF($K39="","",IF($L39="",IF(TODAY()&gt;$K39,"Quá hạn chưa trả","Đang xử lý"),IF($L39&lt;=$K39,"Đúng hạn","Trả trễ"))))</f>
        <v/>
      </c>
      <c r="P39" s="38" t="str">
        <f aca="false">IF($A39="","",COUNTIFS('Báo giá'!$C$4:$C$203,$A39))</f>
        <v/>
      </c>
      <c r="Q39" s="38" t="str">
        <f aca="false">IF($A39="","",IF(SUMIFS('Báo giá'!$K$4:$K$203,'Báo giá'!$C$4:$C$203,$A39,'Báo giá'!$T$4:$T$203,"x")=0,"",SUMIFS('Báo giá'!$K$4:$K$203,'Báo giá'!$C$4:$C$203,$A39,'Báo giá'!$T$4:$T$203,"x")))</f>
        <v/>
      </c>
      <c r="R39" s="38" t="str">
        <f aca="false">IF($A39="","",IF(SUMIFS('Báo giá'!$L$4:$L$203,'Báo giá'!$C$4:$C$203,$A39,'Báo giá'!$T$4:$T$203,"x")=0,"",SUMIFS('Báo giá'!$L$4:$L$203,'Báo giá'!$C$4:$C$203,$A39,'Báo giá'!$T$4:$T$203,"x")))</f>
        <v/>
      </c>
      <c r="S39" s="38" t="str">
        <f aca="false">IF($A39="","",IF($R39="","",$R39-$J39))</f>
        <v/>
      </c>
      <c r="T39" s="37" t="str">
        <f aca="false">IF($A39="","",IF(COUNTIFS(PR!$C$4:$C$203,$A39)&gt;0,"Đã lập PR","Chưa lập PR"))</f>
        <v/>
      </c>
      <c r="U39" s="32"/>
    </row>
    <row r="40" customFormat="false" ht="15" hidden="false" customHeight="false" outlineLevel="0" collapsed="false">
      <c r="A40" s="32"/>
      <c r="B40" s="33"/>
      <c r="C40" s="32"/>
      <c r="D40" s="37" t="str">
        <f aca="false">IF($C40="","",IFERROR(INDEX('Dự án'!$B$4:$B$203,MATCH($C40,'Dự án'!$A$4:$A$203,0)),""))</f>
        <v/>
      </c>
      <c r="E40" s="32"/>
      <c r="F40" s="32"/>
      <c r="G40" s="32"/>
      <c r="H40" s="34"/>
      <c r="I40" s="34"/>
      <c r="J40" s="38" t="str">
        <f aca="false">IF($A40="","",$H40*$I40)</f>
        <v/>
      </c>
      <c r="K40" s="33"/>
      <c r="L40" s="33"/>
      <c r="M40" s="38" t="str">
        <f aca="false">IF($A40="","",IF($L40="","",$L40-$B40))</f>
        <v/>
      </c>
      <c r="N40" s="32"/>
      <c r="O40" s="37" t="str">
        <f aca="true">IF($A40="","",IF($K40="","",IF($L40="",IF(TODAY()&gt;$K40,"Quá hạn chưa trả","Đang xử lý"),IF($L40&lt;=$K40,"Đúng hạn","Trả trễ"))))</f>
        <v/>
      </c>
      <c r="P40" s="38" t="str">
        <f aca="false">IF($A40="","",COUNTIFS('Báo giá'!$C$4:$C$203,$A40))</f>
        <v/>
      </c>
      <c r="Q40" s="38" t="str">
        <f aca="false">IF($A40="","",IF(SUMIFS('Báo giá'!$K$4:$K$203,'Báo giá'!$C$4:$C$203,$A40,'Báo giá'!$T$4:$T$203,"x")=0,"",SUMIFS('Báo giá'!$K$4:$K$203,'Báo giá'!$C$4:$C$203,$A40,'Báo giá'!$T$4:$T$203,"x")))</f>
        <v/>
      </c>
      <c r="R40" s="38" t="str">
        <f aca="false">IF($A40="","",IF(SUMIFS('Báo giá'!$L$4:$L$203,'Báo giá'!$C$4:$C$203,$A40,'Báo giá'!$T$4:$T$203,"x")=0,"",SUMIFS('Báo giá'!$L$4:$L$203,'Báo giá'!$C$4:$C$203,$A40,'Báo giá'!$T$4:$T$203,"x")))</f>
        <v/>
      </c>
      <c r="S40" s="38" t="str">
        <f aca="false">IF($A40="","",IF($R40="","",$R40-$J40))</f>
        <v/>
      </c>
      <c r="T40" s="37" t="str">
        <f aca="false">IF($A40="","",IF(COUNTIFS(PR!$C$4:$C$203,$A40)&gt;0,"Đã lập PR","Chưa lập PR"))</f>
        <v/>
      </c>
      <c r="U40" s="32"/>
    </row>
    <row r="41" customFormat="false" ht="15" hidden="false" customHeight="false" outlineLevel="0" collapsed="false">
      <c r="A41" s="32"/>
      <c r="B41" s="33"/>
      <c r="C41" s="32"/>
      <c r="D41" s="37" t="str">
        <f aca="false">IF($C41="","",IFERROR(INDEX('Dự án'!$B$4:$B$203,MATCH($C41,'Dự án'!$A$4:$A$203,0)),""))</f>
        <v/>
      </c>
      <c r="E41" s="32"/>
      <c r="F41" s="32"/>
      <c r="G41" s="32"/>
      <c r="H41" s="34"/>
      <c r="I41" s="34"/>
      <c r="J41" s="38" t="str">
        <f aca="false">IF($A41="","",$H41*$I41)</f>
        <v/>
      </c>
      <c r="K41" s="33"/>
      <c r="L41" s="33"/>
      <c r="M41" s="38" t="str">
        <f aca="false">IF($A41="","",IF($L41="","",$L41-$B41))</f>
        <v/>
      </c>
      <c r="N41" s="32"/>
      <c r="O41" s="37" t="str">
        <f aca="true">IF($A41="","",IF($K41="","",IF($L41="",IF(TODAY()&gt;$K41,"Quá hạn chưa trả","Đang xử lý"),IF($L41&lt;=$K41,"Đúng hạn","Trả trễ"))))</f>
        <v/>
      </c>
      <c r="P41" s="38" t="str">
        <f aca="false">IF($A41="","",COUNTIFS('Báo giá'!$C$4:$C$203,$A41))</f>
        <v/>
      </c>
      <c r="Q41" s="38" t="str">
        <f aca="false">IF($A41="","",IF(SUMIFS('Báo giá'!$K$4:$K$203,'Báo giá'!$C$4:$C$203,$A41,'Báo giá'!$T$4:$T$203,"x")=0,"",SUMIFS('Báo giá'!$K$4:$K$203,'Báo giá'!$C$4:$C$203,$A41,'Báo giá'!$T$4:$T$203,"x")))</f>
        <v/>
      </c>
      <c r="R41" s="38" t="str">
        <f aca="false">IF($A41="","",IF(SUMIFS('Báo giá'!$L$4:$L$203,'Báo giá'!$C$4:$C$203,$A41,'Báo giá'!$T$4:$T$203,"x")=0,"",SUMIFS('Báo giá'!$L$4:$L$203,'Báo giá'!$C$4:$C$203,$A41,'Báo giá'!$T$4:$T$203,"x")))</f>
        <v/>
      </c>
      <c r="S41" s="38" t="str">
        <f aca="false">IF($A41="","",IF($R41="","",$R41-$J41))</f>
        <v/>
      </c>
      <c r="T41" s="37" t="str">
        <f aca="false">IF($A41="","",IF(COUNTIFS(PR!$C$4:$C$203,$A41)&gt;0,"Đã lập PR","Chưa lập PR"))</f>
        <v/>
      </c>
      <c r="U41" s="32"/>
    </row>
    <row r="42" customFormat="false" ht="15" hidden="false" customHeight="false" outlineLevel="0" collapsed="false">
      <c r="A42" s="32"/>
      <c r="B42" s="33"/>
      <c r="C42" s="32"/>
      <c r="D42" s="37" t="str">
        <f aca="false">IF($C42="","",IFERROR(INDEX('Dự án'!$B$4:$B$203,MATCH($C42,'Dự án'!$A$4:$A$203,0)),""))</f>
        <v/>
      </c>
      <c r="E42" s="32"/>
      <c r="F42" s="32"/>
      <c r="G42" s="32"/>
      <c r="H42" s="34"/>
      <c r="I42" s="34"/>
      <c r="J42" s="38" t="str">
        <f aca="false">IF($A42="","",$H42*$I42)</f>
        <v/>
      </c>
      <c r="K42" s="33"/>
      <c r="L42" s="33"/>
      <c r="M42" s="38" t="str">
        <f aca="false">IF($A42="","",IF($L42="","",$L42-$B42))</f>
        <v/>
      </c>
      <c r="N42" s="32"/>
      <c r="O42" s="37" t="str">
        <f aca="true">IF($A42="","",IF($K42="","",IF($L42="",IF(TODAY()&gt;$K42,"Quá hạn chưa trả","Đang xử lý"),IF($L42&lt;=$K42,"Đúng hạn","Trả trễ"))))</f>
        <v/>
      </c>
      <c r="P42" s="38" t="str">
        <f aca="false">IF($A42="","",COUNTIFS('Báo giá'!$C$4:$C$203,$A42))</f>
        <v/>
      </c>
      <c r="Q42" s="38" t="str">
        <f aca="false">IF($A42="","",IF(SUMIFS('Báo giá'!$K$4:$K$203,'Báo giá'!$C$4:$C$203,$A42,'Báo giá'!$T$4:$T$203,"x")=0,"",SUMIFS('Báo giá'!$K$4:$K$203,'Báo giá'!$C$4:$C$203,$A42,'Báo giá'!$T$4:$T$203,"x")))</f>
        <v/>
      </c>
      <c r="R42" s="38" t="str">
        <f aca="false">IF($A42="","",IF(SUMIFS('Báo giá'!$L$4:$L$203,'Báo giá'!$C$4:$C$203,$A42,'Báo giá'!$T$4:$T$203,"x")=0,"",SUMIFS('Báo giá'!$L$4:$L$203,'Báo giá'!$C$4:$C$203,$A42,'Báo giá'!$T$4:$T$203,"x")))</f>
        <v/>
      </c>
      <c r="S42" s="38" t="str">
        <f aca="false">IF($A42="","",IF($R42="","",$R42-$J42))</f>
        <v/>
      </c>
      <c r="T42" s="37" t="str">
        <f aca="false">IF($A42="","",IF(COUNTIFS(PR!$C$4:$C$203,$A42)&gt;0,"Đã lập PR","Chưa lập PR"))</f>
        <v/>
      </c>
      <c r="U42" s="32"/>
    </row>
    <row r="43" customFormat="false" ht="15" hidden="false" customHeight="false" outlineLevel="0" collapsed="false">
      <c r="A43" s="32"/>
      <c r="B43" s="33"/>
      <c r="C43" s="32"/>
      <c r="D43" s="37" t="str">
        <f aca="false">IF($C43="","",IFERROR(INDEX('Dự án'!$B$4:$B$203,MATCH($C43,'Dự án'!$A$4:$A$203,0)),""))</f>
        <v/>
      </c>
      <c r="E43" s="32"/>
      <c r="F43" s="32"/>
      <c r="G43" s="32"/>
      <c r="H43" s="34"/>
      <c r="I43" s="34"/>
      <c r="J43" s="38" t="str">
        <f aca="false">IF($A43="","",$H43*$I43)</f>
        <v/>
      </c>
      <c r="K43" s="33"/>
      <c r="L43" s="33"/>
      <c r="M43" s="38" t="str">
        <f aca="false">IF($A43="","",IF($L43="","",$L43-$B43))</f>
        <v/>
      </c>
      <c r="N43" s="32"/>
      <c r="O43" s="37" t="str">
        <f aca="true">IF($A43="","",IF($K43="","",IF($L43="",IF(TODAY()&gt;$K43,"Quá hạn chưa trả","Đang xử lý"),IF($L43&lt;=$K43,"Đúng hạn","Trả trễ"))))</f>
        <v/>
      </c>
      <c r="P43" s="38" t="str">
        <f aca="false">IF($A43="","",COUNTIFS('Báo giá'!$C$4:$C$203,$A43))</f>
        <v/>
      </c>
      <c r="Q43" s="38" t="str">
        <f aca="false">IF($A43="","",IF(SUMIFS('Báo giá'!$K$4:$K$203,'Báo giá'!$C$4:$C$203,$A43,'Báo giá'!$T$4:$T$203,"x")=0,"",SUMIFS('Báo giá'!$K$4:$K$203,'Báo giá'!$C$4:$C$203,$A43,'Báo giá'!$T$4:$T$203,"x")))</f>
        <v/>
      </c>
      <c r="R43" s="38" t="str">
        <f aca="false">IF($A43="","",IF(SUMIFS('Báo giá'!$L$4:$L$203,'Báo giá'!$C$4:$C$203,$A43,'Báo giá'!$T$4:$T$203,"x")=0,"",SUMIFS('Báo giá'!$L$4:$L$203,'Báo giá'!$C$4:$C$203,$A43,'Báo giá'!$T$4:$T$203,"x")))</f>
        <v/>
      </c>
      <c r="S43" s="38" t="str">
        <f aca="false">IF($A43="","",IF($R43="","",$R43-$J43))</f>
        <v/>
      </c>
      <c r="T43" s="37" t="str">
        <f aca="false">IF($A43="","",IF(COUNTIFS(PR!$C$4:$C$203,$A43)&gt;0,"Đã lập PR","Chưa lập PR"))</f>
        <v/>
      </c>
      <c r="U43" s="32"/>
    </row>
    <row r="44" customFormat="false" ht="15" hidden="false" customHeight="false" outlineLevel="0" collapsed="false">
      <c r="A44" s="32"/>
      <c r="B44" s="33"/>
      <c r="C44" s="32"/>
      <c r="D44" s="37" t="str">
        <f aca="false">IF($C44="","",IFERROR(INDEX('Dự án'!$B$4:$B$203,MATCH($C44,'Dự án'!$A$4:$A$203,0)),""))</f>
        <v/>
      </c>
      <c r="E44" s="32"/>
      <c r="F44" s="32"/>
      <c r="G44" s="32"/>
      <c r="H44" s="34"/>
      <c r="I44" s="34"/>
      <c r="J44" s="38" t="str">
        <f aca="false">IF($A44="","",$H44*$I44)</f>
        <v/>
      </c>
      <c r="K44" s="33"/>
      <c r="L44" s="33"/>
      <c r="M44" s="38" t="str">
        <f aca="false">IF($A44="","",IF($L44="","",$L44-$B44))</f>
        <v/>
      </c>
      <c r="N44" s="32"/>
      <c r="O44" s="37" t="str">
        <f aca="true">IF($A44="","",IF($K44="","",IF($L44="",IF(TODAY()&gt;$K44,"Quá hạn chưa trả","Đang xử lý"),IF($L44&lt;=$K44,"Đúng hạn","Trả trễ"))))</f>
        <v/>
      </c>
      <c r="P44" s="38" t="str">
        <f aca="false">IF($A44="","",COUNTIFS('Báo giá'!$C$4:$C$203,$A44))</f>
        <v/>
      </c>
      <c r="Q44" s="38" t="str">
        <f aca="false">IF($A44="","",IF(SUMIFS('Báo giá'!$K$4:$K$203,'Báo giá'!$C$4:$C$203,$A44,'Báo giá'!$T$4:$T$203,"x")=0,"",SUMIFS('Báo giá'!$K$4:$K$203,'Báo giá'!$C$4:$C$203,$A44,'Báo giá'!$T$4:$T$203,"x")))</f>
        <v/>
      </c>
      <c r="R44" s="38" t="str">
        <f aca="false">IF($A44="","",IF(SUMIFS('Báo giá'!$L$4:$L$203,'Báo giá'!$C$4:$C$203,$A44,'Báo giá'!$T$4:$T$203,"x")=0,"",SUMIFS('Báo giá'!$L$4:$L$203,'Báo giá'!$C$4:$C$203,$A44,'Báo giá'!$T$4:$T$203,"x")))</f>
        <v/>
      </c>
      <c r="S44" s="38" t="str">
        <f aca="false">IF($A44="","",IF($R44="","",$R44-$J44))</f>
        <v/>
      </c>
      <c r="T44" s="37" t="str">
        <f aca="false">IF($A44="","",IF(COUNTIFS(PR!$C$4:$C$203,$A44)&gt;0,"Đã lập PR","Chưa lập PR"))</f>
        <v/>
      </c>
      <c r="U44" s="32"/>
    </row>
    <row r="45" customFormat="false" ht="15" hidden="false" customHeight="false" outlineLevel="0" collapsed="false">
      <c r="A45" s="32"/>
      <c r="B45" s="33"/>
      <c r="C45" s="32"/>
      <c r="D45" s="37" t="str">
        <f aca="false">IF($C45="","",IFERROR(INDEX('Dự án'!$B$4:$B$203,MATCH($C45,'Dự án'!$A$4:$A$203,0)),""))</f>
        <v/>
      </c>
      <c r="E45" s="32"/>
      <c r="F45" s="32"/>
      <c r="G45" s="32"/>
      <c r="H45" s="34"/>
      <c r="I45" s="34"/>
      <c r="J45" s="38" t="str">
        <f aca="false">IF($A45="","",$H45*$I45)</f>
        <v/>
      </c>
      <c r="K45" s="33"/>
      <c r="L45" s="33"/>
      <c r="M45" s="38" t="str">
        <f aca="false">IF($A45="","",IF($L45="","",$L45-$B45))</f>
        <v/>
      </c>
      <c r="N45" s="32"/>
      <c r="O45" s="37" t="str">
        <f aca="true">IF($A45="","",IF($K45="","",IF($L45="",IF(TODAY()&gt;$K45,"Quá hạn chưa trả","Đang xử lý"),IF($L45&lt;=$K45,"Đúng hạn","Trả trễ"))))</f>
        <v/>
      </c>
      <c r="P45" s="38" t="str">
        <f aca="false">IF($A45="","",COUNTIFS('Báo giá'!$C$4:$C$203,$A45))</f>
        <v/>
      </c>
      <c r="Q45" s="38" t="str">
        <f aca="false">IF($A45="","",IF(SUMIFS('Báo giá'!$K$4:$K$203,'Báo giá'!$C$4:$C$203,$A45,'Báo giá'!$T$4:$T$203,"x")=0,"",SUMIFS('Báo giá'!$K$4:$K$203,'Báo giá'!$C$4:$C$203,$A45,'Báo giá'!$T$4:$T$203,"x")))</f>
        <v/>
      </c>
      <c r="R45" s="38" t="str">
        <f aca="false">IF($A45="","",IF(SUMIFS('Báo giá'!$L$4:$L$203,'Báo giá'!$C$4:$C$203,$A45,'Báo giá'!$T$4:$T$203,"x")=0,"",SUMIFS('Báo giá'!$L$4:$L$203,'Báo giá'!$C$4:$C$203,$A45,'Báo giá'!$T$4:$T$203,"x")))</f>
        <v/>
      </c>
      <c r="S45" s="38" t="str">
        <f aca="false">IF($A45="","",IF($R45="","",$R45-$J45))</f>
        <v/>
      </c>
      <c r="T45" s="37" t="str">
        <f aca="false">IF($A45="","",IF(COUNTIFS(PR!$C$4:$C$203,$A45)&gt;0,"Đã lập PR","Chưa lập PR"))</f>
        <v/>
      </c>
      <c r="U45" s="32"/>
    </row>
    <row r="46" customFormat="false" ht="15" hidden="false" customHeight="false" outlineLevel="0" collapsed="false">
      <c r="A46" s="32"/>
      <c r="B46" s="33"/>
      <c r="C46" s="32"/>
      <c r="D46" s="37" t="str">
        <f aca="false">IF($C46="","",IFERROR(INDEX('Dự án'!$B$4:$B$203,MATCH($C46,'Dự án'!$A$4:$A$203,0)),""))</f>
        <v/>
      </c>
      <c r="E46" s="32"/>
      <c r="F46" s="32"/>
      <c r="G46" s="32"/>
      <c r="H46" s="34"/>
      <c r="I46" s="34"/>
      <c r="J46" s="38" t="str">
        <f aca="false">IF($A46="","",$H46*$I46)</f>
        <v/>
      </c>
      <c r="K46" s="33"/>
      <c r="L46" s="33"/>
      <c r="M46" s="38" t="str">
        <f aca="false">IF($A46="","",IF($L46="","",$L46-$B46))</f>
        <v/>
      </c>
      <c r="N46" s="32"/>
      <c r="O46" s="37" t="str">
        <f aca="true">IF($A46="","",IF($K46="","",IF($L46="",IF(TODAY()&gt;$K46,"Quá hạn chưa trả","Đang xử lý"),IF($L46&lt;=$K46,"Đúng hạn","Trả trễ"))))</f>
        <v/>
      </c>
      <c r="P46" s="38" t="str">
        <f aca="false">IF($A46="","",COUNTIFS('Báo giá'!$C$4:$C$203,$A46))</f>
        <v/>
      </c>
      <c r="Q46" s="38" t="str">
        <f aca="false">IF($A46="","",IF(SUMIFS('Báo giá'!$K$4:$K$203,'Báo giá'!$C$4:$C$203,$A46,'Báo giá'!$T$4:$T$203,"x")=0,"",SUMIFS('Báo giá'!$K$4:$K$203,'Báo giá'!$C$4:$C$203,$A46,'Báo giá'!$T$4:$T$203,"x")))</f>
        <v/>
      </c>
      <c r="R46" s="38" t="str">
        <f aca="false">IF($A46="","",IF(SUMIFS('Báo giá'!$L$4:$L$203,'Báo giá'!$C$4:$C$203,$A46,'Báo giá'!$T$4:$T$203,"x")=0,"",SUMIFS('Báo giá'!$L$4:$L$203,'Báo giá'!$C$4:$C$203,$A46,'Báo giá'!$T$4:$T$203,"x")))</f>
        <v/>
      </c>
      <c r="S46" s="38" t="str">
        <f aca="false">IF($A46="","",IF($R46="","",$R46-$J46))</f>
        <v/>
      </c>
      <c r="T46" s="37" t="str">
        <f aca="false">IF($A46="","",IF(COUNTIFS(PR!$C$4:$C$203,$A46)&gt;0,"Đã lập PR","Chưa lập PR"))</f>
        <v/>
      </c>
      <c r="U46" s="32"/>
    </row>
    <row r="47" customFormat="false" ht="15" hidden="false" customHeight="false" outlineLevel="0" collapsed="false">
      <c r="A47" s="32"/>
      <c r="B47" s="33"/>
      <c r="C47" s="32"/>
      <c r="D47" s="37" t="str">
        <f aca="false">IF($C47="","",IFERROR(INDEX('Dự án'!$B$4:$B$203,MATCH($C47,'Dự án'!$A$4:$A$203,0)),""))</f>
        <v/>
      </c>
      <c r="E47" s="32"/>
      <c r="F47" s="32"/>
      <c r="G47" s="32"/>
      <c r="H47" s="34"/>
      <c r="I47" s="34"/>
      <c r="J47" s="38" t="str">
        <f aca="false">IF($A47="","",$H47*$I47)</f>
        <v/>
      </c>
      <c r="K47" s="33"/>
      <c r="L47" s="33"/>
      <c r="M47" s="38" t="str">
        <f aca="false">IF($A47="","",IF($L47="","",$L47-$B47))</f>
        <v/>
      </c>
      <c r="N47" s="32"/>
      <c r="O47" s="37" t="str">
        <f aca="true">IF($A47="","",IF($K47="","",IF($L47="",IF(TODAY()&gt;$K47,"Quá hạn chưa trả","Đang xử lý"),IF($L47&lt;=$K47,"Đúng hạn","Trả trễ"))))</f>
        <v/>
      </c>
      <c r="P47" s="38" t="str">
        <f aca="false">IF($A47="","",COUNTIFS('Báo giá'!$C$4:$C$203,$A47))</f>
        <v/>
      </c>
      <c r="Q47" s="38" t="str">
        <f aca="false">IF($A47="","",IF(SUMIFS('Báo giá'!$K$4:$K$203,'Báo giá'!$C$4:$C$203,$A47,'Báo giá'!$T$4:$T$203,"x")=0,"",SUMIFS('Báo giá'!$K$4:$K$203,'Báo giá'!$C$4:$C$203,$A47,'Báo giá'!$T$4:$T$203,"x")))</f>
        <v/>
      </c>
      <c r="R47" s="38" t="str">
        <f aca="false">IF($A47="","",IF(SUMIFS('Báo giá'!$L$4:$L$203,'Báo giá'!$C$4:$C$203,$A47,'Báo giá'!$T$4:$T$203,"x")=0,"",SUMIFS('Báo giá'!$L$4:$L$203,'Báo giá'!$C$4:$C$203,$A47,'Báo giá'!$T$4:$T$203,"x")))</f>
        <v/>
      </c>
      <c r="S47" s="38" t="str">
        <f aca="false">IF($A47="","",IF($R47="","",$R47-$J47))</f>
        <v/>
      </c>
      <c r="T47" s="37" t="str">
        <f aca="false">IF($A47="","",IF(COUNTIFS(PR!$C$4:$C$203,$A47)&gt;0,"Đã lập PR","Chưa lập PR"))</f>
        <v/>
      </c>
      <c r="U47" s="32"/>
    </row>
    <row r="48" customFormat="false" ht="15" hidden="false" customHeight="false" outlineLevel="0" collapsed="false">
      <c r="A48" s="32"/>
      <c r="B48" s="33"/>
      <c r="C48" s="32"/>
      <c r="D48" s="37" t="str">
        <f aca="false">IF($C48="","",IFERROR(INDEX('Dự án'!$B$4:$B$203,MATCH($C48,'Dự án'!$A$4:$A$203,0)),""))</f>
        <v/>
      </c>
      <c r="E48" s="32"/>
      <c r="F48" s="32"/>
      <c r="G48" s="32"/>
      <c r="H48" s="34"/>
      <c r="I48" s="34"/>
      <c r="J48" s="38" t="str">
        <f aca="false">IF($A48="","",$H48*$I48)</f>
        <v/>
      </c>
      <c r="K48" s="33"/>
      <c r="L48" s="33"/>
      <c r="M48" s="38" t="str">
        <f aca="false">IF($A48="","",IF($L48="","",$L48-$B48))</f>
        <v/>
      </c>
      <c r="N48" s="32"/>
      <c r="O48" s="37" t="str">
        <f aca="true">IF($A48="","",IF($K48="","",IF($L48="",IF(TODAY()&gt;$K48,"Quá hạn chưa trả","Đang xử lý"),IF($L48&lt;=$K48,"Đúng hạn","Trả trễ"))))</f>
        <v/>
      </c>
      <c r="P48" s="38" t="str">
        <f aca="false">IF($A48="","",COUNTIFS('Báo giá'!$C$4:$C$203,$A48))</f>
        <v/>
      </c>
      <c r="Q48" s="38" t="str">
        <f aca="false">IF($A48="","",IF(SUMIFS('Báo giá'!$K$4:$K$203,'Báo giá'!$C$4:$C$203,$A48,'Báo giá'!$T$4:$T$203,"x")=0,"",SUMIFS('Báo giá'!$K$4:$K$203,'Báo giá'!$C$4:$C$203,$A48,'Báo giá'!$T$4:$T$203,"x")))</f>
        <v/>
      </c>
      <c r="R48" s="38" t="str">
        <f aca="false">IF($A48="","",IF(SUMIFS('Báo giá'!$L$4:$L$203,'Báo giá'!$C$4:$C$203,$A48,'Báo giá'!$T$4:$T$203,"x")=0,"",SUMIFS('Báo giá'!$L$4:$L$203,'Báo giá'!$C$4:$C$203,$A48,'Báo giá'!$T$4:$T$203,"x")))</f>
        <v/>
      </c>
      <c r="S48" s="38" t="str">
        <f aca="false">IF($A48="","",IF($R48="","",$R48-$J48))</f>
        <v/>
      </c>
      <c r="T48" s="37" t="str">
        <f aca="false">IF($A48="","",IF(COUNTIFS(PR!$C$4:$C$203,$A48)&gt;0,"Đã lập PR","Chưa lập PR"))</f>
        <v/>
      </c>
      <c r="U48" s="32"/>
    </row>
    <row r="49" customFormat="false" ht="15" hidden="false" customHeight="false" outlineLevel="0" collapsed="false">
      <c r="A49" s="32"/>
      <c r="B49" s="33"/>
      <c r="C49" s="32"/>
      <c r="D49" s="37" t="str">
        <f aca="false">IF($C49="","",IFERROR(INDEX('Dự án'!$B$4:$B$203,MATCH($C49,'Dự án'!$A$4:$A$203,0)),""))</f>
        <v/>
      </c>
      <c r="E49" s="32"/>
      <c r="F49" s="32"/>
      <c r="G49" s="32"/>
      <c r="H49" s="34"/>
      <c r="I49" s="34"/>
      <c r="J49" s="38" t="str">
        <f aca="false">IF($A49="","",$H49*$I49)</f>
        <v/>
      </c>
      <c r="K49" s="33"/>
      <c r="L49" s="33"/>
      <c r="M49" s="38" t="str">
        <f aca="false">IF($A49="","",IF($L49="","",$L49-$B49))</f>
        <v/>
      </c>
      <c r="N49" s="32"/>
      <c r="O49" s="37" t="str">
        <f aca="true">IF($A49="","",IF($K49="","",IF($L49="",IF(TODAY()&gt;$K49,"Quá hạn chưa trả","Đang xử lý"),IF($L49&lt;=$K49,"Đúng hạn","Trả trễ"))))</f>
        <v/>
      </c>
      <c r="P49" s="38" t="str">
        <f aca="false">IF($A49="","",COUNTIFS('Báo giá'!$C$4:$C$203,$A49))</f>
        <v/>
      </c>
      <c r="Q49" s="38" t="str">
        <f aca="false">IF($A49="","",IF(SUMIFS('Báo giá'!$K$4:$K$203,'Báo giá'!$C$4:$C$203,$A49,'Báo giá'!$T$4:$T$203,"x")=0,"",SUMIFS('Báo giá'!$K$4:$K$203,'Báo giá'!$C$4:$C$203,$A49,'Báo giá'!$T$4:$T$203,"x")))</f>
        <v/>
      </c>
      <c r="R49" s="38" t="str">
        <f aca="false">IF($A49="","",IF(SUMIFS('Báo giá'!$L$4:$L$203,'Báo giá'!$C$4:$C$203,$A49,'Báo giá'!$T$4:$T$203,"x")=0,"",SUMIFS('Báo giá'!$L$4:$L$203,'Báo giá'!$C$4:$C$203,$A49,'Báo giá'!$T$4:$T$203,"x")))</f>
        <v/>
      </c>
      <c r="S49" s="38" t="str">
        <f aca="false">IF($A49="","",IF($R49="","",$R49-$J49))</f>
        <v/>
      </c>
      <c r="T49" s="37" t="str">
        <f aca="false">IF($A49="","",IF(COUNTIFS(PR!$C$4:$C$203,$A49)&gt;0,"Đã lập PR","Chưa lập PR"))</f>
        <v/>
      </c>
      <c r="U49" s="32"/>
    </row>
    <row r="50" customFormat="false" ht="15" hidden="false" customHeight="false" outlineLevel="0" collapsed="false">
      <c r="A50" s="32"/>
      <c r="B50" s="33"/>
      <c r="C50" s="32"/>
      <c r="D50" s="37" t="str">
        <f aca="false">IF($C50="","",IFERROR(INDEX('Dự án'!$B$4:$B$203,MATCH($C50,'Dự án'!$A$4:$A$203,0)),""))</f>
        <v/>
      </c>
      <c r="E50" s="32"/>
      <c r="F50" s="32"/>
      <c r="G50" s="32"/>
      <c r="H50" s="34"/>
      <c r="I50" s="34"/>
      <c r="J50" s="38" t="str">
        <f aca="false">IF($A50="","",$H50*$I50)</f>
        <v/>
      </c>
      <c r="K50" s="33"/>
      <c r="L50" s="33"/>
      <c r="M50" s="38" t="str">
        <f aca="false">IF($A50="","",IF($L50="","",$L50-$B50))</f>
        <v/>
      </c>
      <c r="N50" s="32"/>
      <c r="O50" s="37" t="str">
        <f aca="true">IF($A50="","",IF($K50="","",IF($L50="",IF(TODAY()&gt;$K50,"Quá hạn chưa trả","Đang xử lý"),IF($L50&lt;=$K50,"Đúng hạn","Trả trễ"))))</f>
        <v/>
      </c>
      <c r="P50" s="38" t="str">
        <f aca="false">IF($A50="","",COUNTIFS('Báo giá'!$C$4:$C$203,$A50))</f>
        <v/>
      </c>
      <c r="Q50" s="38" t="str">
        <f aca="false">IF($A50="","",IF(SUMIFS('Báo giá'!$K$4:$K$203,'Báo giá'!$C$4:$C$203,$A50,'Báo giá'!$T$4:$T$203,"x")=0,"",SUMIFS('Báo giá'!$K$4:$K$203,'Báo giá'!$C$4:$C$203,$A50,'Báo giá'!$T$4:$T$203,"x")))</f>
        <v/>
      </c>
      <c r="R50" s="38" t="str">
        <f aca="false">IF($A50="","",IF(SUMIFS('Báo giá'!$L$4:$L$203,'Báo giá'!$C$4:$C$203,$A50,'Báo giá'!$T$4:$T$203,"x")=0,"",SUMIFS('Báo giá'!$L$4:$L$203,'Báo giá'!$C$4:$C$203,$A50,'Báo giá'!$T$4:$T$203,"x")))</f>
        <v/>
      </c>
      <c r="S50" s="38" t="str">
        <f aca="false">IF($A50="","",IF($R50="","",$R50-$J50))</f>
        <v/>
      </c>
      <c r="T50" s="37" t="str">
        <f aca="false">IF($A50="","",IF(COUNTIFS(PR!$C$4:$C$203,$A50)&gt;0,"Đã lập PR","Chưa lập PR"))</f>
        <v/>
      </c>
      <c r="U50" s="32"/>
    </row>
    <row r="51" customFormat="false" ht="15" hidden="false" customHeight="false" outlineLevel="0" collapsed="false">
      <c r="A51" s="32"/>
      <c r="B51" s="33"/>
      <c r="C51" s="32"/>
      <c r="D51" s="37" t="str">
        <f aca="false">IF($C51="","",IFERROR(INDEX('Dự án'!$B$4:$B$203,MATCH($C51,'Dự án'!$A$4:$A$203,0)),""))</f>
        <v/>
      </c>
      <c r="E51" s="32"/>
      <c r="F51" s="32"/>
      <c r="G51" s="32"/>
      <c r="H51" s="34"/>
      <c r="I51" s="34"/>
      <c r="J51" s="38" t="str">
        <f aca="false">IF($A51="","",$H51*$I51)</f>
        <v/>
      </c>
      <c r="K51" s="33"/>
      <c r="L51" s="33"/>
      <c r="M51" s="38" t="str">
        <f aca="false">IF($A51="","",IF($L51="","",$L51-$B51))</f>
        <v/>
      </c>
      <c r="N51" s="32"/>
      <c r="O51" s="37" t="str">
        <f aca="true">IF($A51="","",IF($K51="","",IF($L51="",IF(TODAY()&gt;$K51,"Quá hạn chưa trả","Đang xử lý"),IF($L51&lt;=$K51,"Đúng hạn","Trả trễ"))))</f>
        <v/>
      </c>
      <c r="P51" s="38" t="str">
        <f aca="false">IF($A51="","",COUNTIFS('Báo giá'!$C$4:$C$203,$A51))</f>
        <v/>
      </c>
      <c r="Q51" s="38" t="str">
        <f aca="false">IF($A51="","",IF(SUMIFS('Báo giá'!$K$4:$K$203,'Báo giá'!$C$4:$C$203,$A51,'Báo giá'!$T$4:$T$203,"x")=0,"",SUMIFS('Báo giá'!$K$4:$K$203,'Báo giá'!$C$4:$C$203,$A51,'Báo giá'!$T$4:$T$203,"x")))</f>
        <v/>
      </c>
      <c r="R51" s="38" t="str">
        <f aca="false">IF($A51="","",IF(SUMIFS('Báo giá'!$L$4:$L$203,'Báo giá'!$C$4:$C$203,$A51,'Báo giá'!$T$4:$T$203,"x")=0,"",SUMIFS('Báo giá'!$L$4:$L$203,'Báo giá'!$C$4:$C$203,$A51,'Báo giá'!$T$4:$T$203,"x")))</f>
        <v/>
      </c>
      <c r="S51" s="38" t="str">
        <f aca="false">IF($A51="","",IF($R51="","",$R51-$J51))</f>
        <v/>
      </c>
      <c r="T51" s="37" t="str">
        <f aca="false">IF($A51="","",IF(COUNTIFS(PR!$C$4:$C$203,$A51)&gt;0,"Đã lập PR","Chưa lập PR"))</f>
        <v/>
      </c>
      <c r="U51" s="32"/>
    </row>
    <row r="52" customFormat="false" ht="15" hidden="false" customHeight="false" outlineLevel="0" collapsed="false">
      <c r="A52" s="32"/>
      <c r="B52" s="33"/>
      <c r="C52" s="32"/>
      <c r="D52" s="37" t="str">
        <f aca="false">IF($C52="","",IFERROR(INDEX('Dự án'!$B$4:$B$203,MATCH($C52,'Dự án'!$A$4:$A$203,0)),""))</f>
        <v/>
      </c>
      <c r="E52" s="32"/>
      <c r="F52" s="32"/>
      <c r="G52" s="32"/>
      <c r="H52" s="34"/>
      <c r="I52" s="34"/>
      <c r="J52" s="38" t="str">
        <f aca="false">IF($A52="","",$H52*$I52)</f>
        <v/>
      </c>
      <c r="K52" s="33"/>
      <c r="L52" s="33"/>
      <c r="M52" s="38" t="str">
        <f aca="false">IF($A52="","",IF($L52="","",$L52-$B52))</f>
        <v/>
      </c>
      <c r="N52" s="32"/>
      <c r="O52" s="37" t="str">
        <f aca="true">IF($A52="","",IF($K52="","",IF($L52="",IF(TODAY()&gt;$K52,"Quá hạn chưa trả","Đang xử lý"),IF($L52&lt;=$K52,"Đúng hạn","Trả trễ"))))</f>
        <v/>
      </c>
      <c r="P52" s="38" t="str">
        <f aca="false">IF($A52="","",COUNTIFS('Báo giá'!$C$4:$C$203,$A52))</f>
        <v/>
      </c>
      <c r="Q52" s="38" t="str">
        <f aca="false">IF($A52="","",IF(SUMIFS('Báo giá'!$K$4:$K$203,'Báo giá'!$C$4:$C$203,$A52,'Báo giá'!$T$4:$T$203,"x")=0,"",SUMIFS('Báo giá'!$K$4:$K$203,'Báo giá'!$C$4:$C$203,$A52,'Báo giá'!$T$4:$T$203,"x")))</f>
        <v/>
      </c>
      <c r="R52" s="38" t="str">
        <f aca="false">IF($A52="","",IF(SUMIFS('Báo giá'!$L$4:$L$203,'Báo giá'!$C$4:$C$203,$A52,'Báo giá'!$T$4:$T$203,"x")=0,"",SUMIFS('Báo giá'!$L$4:$L$203,'Báo giá'!$C$4:$C$203,$A52,'Báo giá'!$T$4:$T$203,"x")))</f>
        <v/>
      </c>
      <c r="S52" s="38" t="str">
        <f aca="false">IF($A52="","",IF($R52="","",$R52-$J52))</f>
        <v/>
      </c>
      <c r="T52" s="37" t="str">
        <f aca="false">IF($A52="","",IF(COUNTIFS(PR!$C$4:$C$203,$A52)&gt;0,"Đã lập PR","Chưa lập PR"))</f>
        <v/>
      </c>
      <c r="U52" s="32"/>
    </row>
    <row r="53" customFormat="false" ht="15" hidden="false" customHeight="false" outlineLevel="0" collapsed="false">
      <c r="A53" s="32"/>
      <c r="B53" s="33"/>
      <c r="C53" s="32"/>
      <c r="D53" s="37" t="str">
        <f aca="false">IF($C53="","",IFERROR(INDEX('Dự án'!$B$4:$B$203,MATCH($C53,'Dự án'!$A$4:$A$203,0)),""))</f>
        <v/>
      </c>
      <c r="E53" s="32"/>
      <c r="F53" s="32"/>
      <c r="G53" s="32"/>
      <c r="H53" s="34"/>
      <c r="I53" s="34"/>
      <c r="J53" s="38" t="str">
        <f aca="false">IF($A53="","",$H53*$I53)</f>
        <v/>
      </c>
      <c r="K53" s="33"/>
      <c r="L53" s="33"/>
      <c r="M53" s="38" t="str">
        <f aca="false">IF($A53="","",IF($L53="","",$L53-$B53))</f>
        <v/>
      </c>
      <c r="N53" s="32"/>
      <c r="O53" s="37" t="str">
        <f aca="true">IF($A53="","",IF($K53="","",IF($L53="",IF(TODAY()&gt;$K53,"Quá hạn chưa trả","Đang xử lý"),IF($L53&lt;=$K53,"Đúng hạn","Trả trễ"))))</f>
        <v/>
      </c>
      <c r="P53" s="38" t="str">
        <f aca="false">IF($A53="","",COUNTIFS('Báo giá'!$C$4:$C$203,$A53))</f>
        <v/>
      </c>
      <c r="Q53" s="38" t="str">
        <f aca="false">IF($A53="","",IF(SUMIFS('Báo giá'!$K$4:$K$203,'Báo giá'!$C$4:$C$203,$A53,'Báo giá'!$T$4:$T$203,"x")=0,"",SUMIFS('Báo giá'!$K$4:$K$203,'Báo giá'!$C$4:$C$203,$A53,'Báo giá'!$T$4:$T$203,"x")))</f>
        <v/>
      </c>
      <c r="R53" s="38" t="str">
        <f aca="false">IF($A53="","",IF(SUMIFS('Báo giá'!$L$4:$L$203,'Báo giá'!$C$4:$C$203,$A53,'Báo giá'!$T$4:$T$203,"x")=0,"",SUMIFS('Báo giá'!$L$4:$L$203,'Báo giá'!$C$4:$C$203,$A53,'Báo giá'!$T$4:$T$203,"x")))</f>
        <v/>
      </c>
      <c r="S53" s="38" t="str">
        <f aca="false">IF($A53="","",IF($R53="","",$R53-$J53))</f>
        <v/>
      </c>
      <c r="T53" s="37" t="str">
        <f aca="false">IF($A53="","",IF(COUNTIFS(PR!$C$4:$C$203,$A53)&gt;0,"Đã lập PR","Chưa lập PR"))</f>
        <v/>
      </c>
      <c r="U53" s="32"/>
    </row>
    <row r="54" customFormat="false" ht="15" hidden="false" customHeight="false" outlineLevel="0" collapsed="false">
      <c r="A54" s="32"/>
      <c r="B54" s="33"/>
      <c r="C54" s="32"/>
      <c r="D54" s="37" t="str">
        <f aca="false">IF($C54="","",IFERROR(INDEX('Dự án'!$B$4:$B$203,MATCH($C54,'Dự án'!$A$4:$A$203,0)),""))</f>
        <v/>
      </c>
      <c r="E54" s="32"/>
      <c r="F54" s="32"/>
      <c r="G54" s="32"/>
      <c r="H54" s="34"/>
      <c r="I54" s="34"/>
      <c r="J54" s="38" t="str">
        <f aca="false">IF($A54="","",$H54*$I54)</f>
        <v/>
      </c>
      <c r="K54" s="33"/>
      <c r="L54" s="33"/>
      <c r="M54" s="38" t="str">
        <f aca="false">IF($A54="","",IF($L54="","",$L54-$B54))</f>
        <v/>
      </c>
      <c r="N54" s="32"/>
      <c r="O54" s="37" t="str">
        <f aca="true">IF($A54="","",IF($K54="","",IF($L54="",IF(TODAY()&gt;$K54,"Quá hạn chưa trả","Đang xử lý"),IF($L54&lt;=$K54,"Đúng hạn","Trả trễ"))))</f>
        <v/>
      </c>
      <c r="P54" s="38" t="str">
        <f aca="false">IF($A54="","",COUNTIFS('Báo giá'!$C$4:$C$203,$A54))</f>
        <v/>
      </c>
      <c r="Q54" s="38" t="str">
        <f aca="false">IF($A54="","",IF(SUMIFS('Báo giá'!$K$4:$K$203,'Báo giá'!$C$4:$C$203,$A54,'Báo giá'!$T$4:$T$203,"x")=0,"",SUMIFS('Báo giá'!$K$4:$K$203,'Báo giá'!$C$4:$C$203,$A54,'Báo giá'!$T$4:$T$203,"x")))</f>
        <v/>
      </c>
      <c r="R54" s="38" t="str">
        <f aca="false">IF($A54="","",IF(SUMIFS('Báo giá'!$L$4:$L$203,'Báo giá'!$C$4:$C$203,$A54,'Báo giá'!$T$4:$T$203,"x")=0,"",SUMIFS('Báo giá'!$L$4:$L$203,'Báo giá'!$C$4:$C$203,$A54,'Báo giá'!$T$4:$T$203,"x")))</f>
        <v/>
      </c>
      <c r="S54" s="38" t="str">
        <f aca="false">IF($A54="","",IF($R54="","",$R54-$J54))</f>
        <v/>
      </c>
      <c r="T54" s="37" t="str">
        <f aca="false">IF($A54="","",IF(COUNTIFS(PR!$C$4:$C$203,$A54)&gt;0,"Đã lập PR","Chưa lập PR"))</f>
        <v/>
      </c>
      <c r="U54" s="32"/>
    </row>
    <row r="55" customFormat="false" ht="15" hidden="false" customHeight="false" outlineLevel="0" collapsed="false">
      <c r="A55" s="32"/>
      <c r="B55" s="33"/>
      <c r="C55" s="32"/>
      <c r="D55" s="37" t="str">
        <f aca="false">IF($C55="","",IFERROR(INDEX('Dự án'!$B$4:$B$203,MATCH($C55,'Dự án'!$A$4:$A$203,0)),""))</f>
        <v/>
      </c>
      <c r="E55" s="32"/>
      <c r="F55" s="32"/>
      <c r="G55" s="32"/>
      <c r="H55" s="34"/>
      <c r="I55" s="34"/>
      <c r="J55" s="38" t="str">
        <f aca="false">IF($A55="","",$H55*$I55)</f>
        <v/>
      </c>
      <c r="K55" s="33"/>
      <c r="L55" s="33"/>
      <c r="M55" s="38" t="str">
        <f aca="false">IF($A55="","",IF($L55="","",$L55-$B55))</f>
        <v/>
      </c>
      <c r="N55" s="32"/>
      <c r="O55" s="37" t="str">
        <f aca="true">IF($A55="","",IF($K55="","",IF($L55="",IF(TODAY()&gt;$K55,"Quá hạn chưa trả","Đang xử lý"),IF($L55&lt;=$K55,"Đúng hạn","Trả trễ"))))</f>
        <v/>
      </c>
      <c r="P55" s="38" t="str">
        <f aca="false">IF($A55="","",COUNTIFS('Báo giá'!$C$4:$C$203,$A55))</f>
        <v/>
      </c>
      <c r="Q55" s="38" t="str">
        <f aca="false">IF($A55="","",IF(SUMIFS('Báo giá'!$K$4:$K$203,'Báo giá'!$C$4:$C$203,$A55,'Báo giá'!$T$4:$T$203,"x")=0,"",SUMIFS('Báo giá'!$K$4:$K$203,'Báo giá'!$C$4:$C$203,$A55,'Báo giá'!$T$4:$T$203,"x")))</f>
        <v/>
      </c>
      <c r="R55" s="38" t="str">
        <f aca="false">IF($A55="","",IF(SUMIFS('Báo giá'!$L$4:$L$203,'Báo giá'!$C$4:$C$203,$A55,'Báo giá'!$T$4:$T$203,"x")=0,"",SUMIFS('Báo giá'!$L$4:$L$203,'Báo giá'!$C$4:$C$203,$A55,'Báo giá'!$T$4:$T$203,"x")))</f>
        <v/>
      </c>
      <c r="S55" s="38" t="str">
        <f aca="false">IF($A55="","",IF($R55="","",$R55-$J55))</f>
        <v/>
      </c>
      <c r="T55" s="37" t="str">
        <f aca="false">IF($A55="","",IF(COUNTIFS(PR!$C$4:$C$203,$A55)&gt;0,"Đã lập PR","Chưa lập PR"))</f>
        <v/>
      </c>
      <c r="U55" s="32"/>
    </row>
    <row r="56" customFormat="false" ht="15" hidden="false" customHeight="false" outlineLevel="0" collapsed="false">
      <c r="A56" s="32"/>
      <c r="B56" s="33"/>
      <c r="C56" s="32"/>
      <c r="D56" s="37" t="str">
        <f aca="false">IF($C56="","",IFERROR(INDEX('Dự án'!$B$4:$B$203,MATCH($C56,'Dự án'!$A$4:$A$203,0)),""))</f>
        <v/>
      </c>
      <c r="E56" s="32"/>
      <c r="F56" s="32"/>
      <c r="G56" s="32"/>
      <c r="H56" s="34"/>
      <c r="I56" s="34"/>
      <c r="J56" s="38" t="str">
        <f aca="false">IF($A56="","",$H56*$I56)</f>
        <v/>
      </c>
      <c r="K56" s="33"/>
      <c r="L56" s="33"/>
      <c r="M56" s="38" t="str">
        <f aca="false">IF($A56="","",IF($L56="","",$L56-$B56))</f>
        <v/>
      </c>
      <c r="N56" s="32"/>
      <c r="O56" s="37" t="str">
        <f aca="true">IF($A56="","",IF($K56="","",IF($L56="",IF(TODAY()&gt;$K56,"Quá hạn chưa trả","Đang xử lý"),IF($L56&lt;=$K56,"Đúng hạn","Trả trễ"))))</f>
        <v/>
      </c>
      <c r="P56" s="38" t="str">
        <f aca="false">IF($A56="","",COUNTIFS('Báo giá'!$C$4:$C$203,$A56))</f>
        <v/>
      </c>
      <c r="Q56" s="38" t="str">
        <f aca="false">IF($A56="","",IF(SUMIFS('Báo giá'!$K$4:$K$203,'Báo giá'!$C$4:$C$203,$A56,'Báo giá'!$T$4:$T$203,"x")=0,"",SUMIFS('Báo giá'!$K$4:$K$203,'Báo giá'!$C$4:$C$203,$A56,'Báo giá'!$T$4:$T$203,"x")))</f>
        <v/>
      </c>
      <c r="R56" s="38" t="str">
        <f aca="false">IF($A56="","",IF(SUMIFS('Báo giá'!$L$4:$L$203,'Báo giá'!$C$4:$C$203,$A56,'Báo giá'!$T$4:$T$203,"x")=0,"",SUMIFS('Báo giá'!$L$4:$L$203,'Báo giá'!$C$4:$C$203,$A56,'Báo giá'!$T$4:$T$203,"x")))</f>
        <v/>
      </c>
      <c r="S56" s="38" t="str">
        <f aca="false">IF($A56="","",IF($R56="","",$R56-$J56))</f>
        <v/>
      </c>
      <c r="T56" s="37" t="str">
        <f aca="false">IF($A56="","",IF(COUNTIFS(PR!$C$4:$C$203,$A56)&gt;0,"Đã lập PR","Chưa lập PR"))</f>
        <v/>
      </c>
      <c r="U56" s="32"/>
    </row>
    <row r="57" customFormat="false" ht="15" hidden="false" customHeight="false" outlineLevel="0" collapsed="false">
      <c r="A57" s="32"/>
      <c r="B57" s="33"/>
      <c r="C57" s="32"/>
      <c r="D57" s="37" t="str">
        <f aca="false">IF($C57="","",IFERROR(INDEX('Dự án'!$B$4:$B$203,MATCH($C57,'Dự án'!$A$4:$A$203,0)),""))</f>
        <v/>
      </c>
      <c r="E57" s="32"/>
      <c r="F57" s="32"/>
      <c r="G57" s="32"/>
      <c r="H57" s="34"/>
      <c r="I57" s="34"/>
      <c r="J57" s="38" t="str">
        <f aca="false">IF($A57="","",$H57*$I57)</f>
        <v/>
      </c>
      <c r="K57" s="33"/>
      <c r="L57" s="33"/>
      <c r="M57" s="38" t="str">
        <f aca="false">IF($A57="","",IF($L57="","",$L57-$B57))</f>
        <v/>
      </c>
      <c r="N57" s="32"/>
      <c r="O57" s="37" t="str">
        <f aca="true">IF($A57="","",IF($K57="","",IF($L57="",IF(TODAY()&gt;$K57,"Quá hạn chưa trả","Đang xử lý"),IF($L57&lt;=$K57,"Đúng hạn","Trả trễ"))))</f>
        <v/>
      </c>
      <c r="P57" s="38" t="str">
        <f aca="false">IF($A57="","",COUNTIFS('Báo giá'!$C$4:$C$203,$A57))</f>
        <v/>
      </c>
      <c r="Q57" s="38" t="str">
        <f aca="false">IF($A57="","",IF(SUMIFS('Báo giá'!$K$4:$K$203,'Báo giá'!$C$4:$C$203,$A57,'Báo giá'!$T$4:$T$203,"x")=0,"",SUMIFS('Báo giá'!$K$4:$K$203,'Báo giá'!$C$4:$C$203,$A57,'Báo giá'!$T$4:$T$203,"x")))</f>
        <v/>
      </c>
      <c r="R57" s="38" t="str">
        <f aca="false">IF($A57="","",IF(SUMIFS('Báo giá'!$L$4:$L$203,'Báo giá'!$C$4:$C$203,$A57,'Báo giá'!$T$4:$T$203,"x")=0,"",SUMIFS('Báo giá'!$L$4:$L$203,'Báo giá'!$C$4:$C$203,$A57,'Báo giá'!$T$4:$T$203,"x")))</f>
        <v/>
      </c>
      <c r="S57" s="38" t="str">
        <f aca="false">IF($A57="","",IF($R57="","",$R57-$J57))</f>
        <v/>
      </c>
      <c r="T57" s="37" t="str">
        <f aca="false">IF($A57="","",IF(COUNTIFS(PR!$C$4:$C$203,$A57)&gt;0,"Đã lập PR","Chưa lập PR"))</f>
        <v/>
      </c>
      <c r="U57" s="32"/>
    </row>
    <row r="58" customFormat="false" ht="15" hidden="false" customHeight="false" outlineLevel="0" collapsed="false">
      <c r="A58" s="32"/>
      <c r="B58" s="33"/>
      <c r="C58" s="32"/>
      <c r="D58" s="37" t="str">
        <f aca="false">IF($C58="","",IFERROR(INDEX('Dự án'!$B$4:$B$203,MATCH($C58,'Dự án'!$A$4:$A$203,0)),""))</f>
        <v/>
      </c>
      <c r="E58" s="32"/>
      <c r="F58" s="32"/>
      <c r="G58" s="32"/>
      <c r="H58" s="34"/>
      <c r="I58" s="34"/>
      <c r="J58" s="38" t="str">
        <f aca="false">IF($A58="","",$H58*$I58)</f>
        <v/>
      </c>
      <c r="K58" s="33"/>
      <c r="L58" s="33"/>
      <c r="M58" s="38" t="str">
        <f aca="false">IF($A58="","",IF($L58="","",$L58-$B58))</f>
        <v/>
      </c>
      <c r="N58" s="32"/>
      <c r="O58" s="37" t="str">
        <f aca="true">IF($A58="","",IF($K58="","",IF($L58="",IF(TODAY()&gt;$K58,"Quá hạn chưa trả","Đang xử lý"),IF($L58&lt;=$K58,"Đúng hạn","Trả trễ"))))</f>
        <v/>
      </c>
      <c r="P58" s="38" t="str">
        <f aca="false">IF($A58="","",COUNTIFS('Báo giá'!$C$4:$C$203,$A58))</f>
        <v/>
      </c>
      <c r="Q58" s="38" t="str">
        <f aca="false">IF($A58="","",IF(SUMIFS('Báo giá'!$K$4:$K$203,'Báo giá'!$C$4:$C$203,$A58,'Báo giá'!$T$4:$T$203,"x")=0,"",SUMIFS('Báo giá'!$K$4:$K$203,'Báo giá'!$C$4:$C$203,$A58,'Báo giá'!$T$4:$T$203,"x")))</f>
        <v/>
      </c>
      <c r="R58" s="38" t="str">
        <f aca="false">IF($A58="","",IF(SUMIFS('Báo giá'!$L$4:$L$203,'Báo giá'!$C$4:$C$203,$A58,'Báo giá'!$T$4:$T$203,"x")=0,"",SUMIFS('Báo giá'!$L$4:$L$203,'Báo giá'!$C$4:$C$203,$A58,'Báo giá'!$T$4:$T$203,"x")))</f>
        <v/>
      </c>
      <c r="S58" s="38" t="str">
        <f aca="false">IF($A58="","",IF($R58="","",$R58-$J58))</f>
        <v/>
      </c>
      <c r="T58" s="37" t="str">
        <f aca="false">IF($A58="","",IF(COUNTIFS(PR!$C$4:$C$203,$A58)&gt;0,"Đã lập PR","Chưa lập PR"))</f>
        <v/>
      </c>
      <c r="U58" s="32"/>
    </row>
    <row r="59" customFormat="false" ht="15" hidden="false" customHeight="false" outlineLevel="0" collapsed="false">
      <c r="A59" s="32"/>
      <c r="B59" s="33"/>
      <c r="C59" s="32"/>
      <c r="D59" s="37" t="str">
        <f aca="false">IF($C59="","",IFERROR(INDEX('Dự án'!$B$4:$B$203,MATCH($C59,'Dự án'!$A$4:$A$203,0)),""))</f>
        <v/>
      </c>
      <c r="E59" s="32"/>
      <c r="F59" s="32"/>
      <c r="G59" s="32"/>
      <c r="H59" s="34"/>
      <c r="I59" s="34"/>
      <c r="J59" s="38" t="str">
        <f aca="false">IF($A59="","",$H59*$I59)</f>
        <v/>
      </c>
      <c r="K59" s="33"/>
      <c r="L59" s="33"/>
      <c r="M59" s="38" t="str">
        <f aca="false">IF($A59="","",IF($L59="","",$L59-$B59))</f>
        <v/>
      </c>
      <c r="N59" s="32"/>
      <c r="O59" s="37" t="str">
        <f aca="true">IF($A59="","",IF($K59="","",IF($L59="",IF(TODAY()&gt;$K59,"Quá hạn chưa trả","Đang xử lý"),IF($L59&lt;=$K59,"Đúng hạn","Trả trễ"))))</f>
        <v/>
      </c>
      <c r="P59" s="38" t="str">
        <f aca="false">IF($A59="","",COUNTIFS('Báo giá'!$C$4:$C$203,$A59))</f>
        <v/>
      </c>
      <c r="Q59" s="38" t="str">
        <f aca="false">IF($A59="","",IF(SUMIFS('Báo giá'!$K$4:$K$203,'Báo giá'!$C$4:$C$203,$A59,'Báo giá'!$T$4:$T$203,"x")=0,"",SUMIFS('Báo giá'!$K$4:$K$203,'Báo giá'!$C$4:$C$203,$A59,'Báo giá'!$T$4:$T$203,"x")))</f>
        <v/>
      </c>
      <c r="R59" s="38" t="str">
        <f aca="false">IF($A59="","",IF(SUMIFS('Báo giá'!$L$4:$L$203,'Báo giá'!$C$4:$C$203,$A59,'Báo giá'!$T$4:$T$203,"x")=0,"",SUMIFS('Báo giá'!$L$4:$L$203,'Báo giá'!$C$4:$C$203,$A59,'Báo giá'!$T$4:$T$203,"x")))</f>
        <v/>
      </c>
      <c r="S59" s="38" t="str">
        <f aca="false">IF($A59="","",IF($R59="","",$R59-$J59))</f>
        <v/>
      </c>
      <c r="T59" s="37" t="str">
        <f aca="false">IF($A59="","",IF(COUNTIFS(PR!$C$4:$C$203,$A59)&gt;0,"Đã lập PR","Chưa lập PR"))</f>
        <v/>
      </c>
      <c r="U59" s="32"/>
    </row>
    <row r="60" customFormat="false" ht="15" hidden="false" customHeight="false" outlineLevel="0" collapsed="false">
      <c r="A60" s="32"/>
      <c r="B60" s="33"/>
      <c r="C60" s="32"/>
      <c r="D60" s="37" t="str">
        <f aca="false">IF($C60="","",IFERROR(INDEX('Dự án'!$B$4:$B$203,MATCH($C60,'Dự án'!$A$4:$A$203,0)),""))</f>
        <v/>
      </c>
      <c r="E60" s="32"/>
      <c r="F60" s="32"/>
      <c r="G60" s="32"/>
      <c r="H60" s="34"/>
      <c r="I60" s="34"/>
      <c r="J60" s="38" t="str">
        <f aca="false">IF($A60="","",$H60*$I60)</f>
        <v/>
      </c>
      <c r="K60" s="33"/>
      <c r="L60" s="33"/>
      <c r="M60" s="38" t="str">
        <f aca="false">IF($A60="","",IF($L60="","",$L60-$B60))</f>
        <v/>
      </c>
      <c r="N60" s="32"/>
      <c r="O60" s="37" t="str">
        <f aca="true">IF($A60="","",IF($K60="","",IF($L60="",IF(TODAY()&gt;$K60,"Quá hạn chưa trả","Đang xử lý"),IF($L60&lt;=$K60,"Đúng hạn","Trả trễ"))))</f>
        <v/>
      </c>
      <c r="P60" s="38" t="str">
        <f aca="false">IF($A60="","",COUNTIFS('Báo giá'!$C$4:$C$203,$A60))</f>
        <v/>
      </c>
      <c r="Q60" s="38" t="str">
        <f aca="false">IF($A60="","",IF(SUMIFS('Báo giá'!$K$4:$K$203,'Báo giá'!$C$4:$C$203,$A60,'Báo giá'!$T$4:$T$203,"x")=0,"",SUMIFS('Báo giá'!$K$4:$K$203,'Báo giá'!$C$4:$C$203,$A60,'Báo giá'!$T$4:$T$203,"x")))</f>
        <v/>
      </c>
      <c r="R60" s="38" t="str">
        <f aca="false">IF($A60="","",IF(SUMIFS('Báo giá'!$L$4:$L$203,'Báo giá'!$C$4:$C$203,$A60,'Báo giá'!$T$4:$T$203,"x")=0,"",SUMIFS('Báo giá'!$L$4:$L$203,'Báo giá'!$C$4:$C$203,$A60,'Báo giá'!$T$4:$T$203,"x")))</f>
        <v/>
      </c>
      <c r="S60" s="38" t="str">
        <f aca="false">IF($A60="","",IF($R60="","",$R60-$J60))</f>
        <v/>
      </c>
      <c r="T60" s="37" t="str">
        <f aca="false">IF($A60="","",IF(COUNTIFS(PR!$C$4:$C$203,$A60)&gt;0,"Đã lập PR","Chưa lập PR"))</f>
        <v/>
      </c>
      <c r="U60" s="32"/>
    </row>
    <row r="61" customFormat="false" ht="15" hidden="false" customHeight="false" outlineLevel="0" collapsed="false">
      <c r="A61" s="32"/>
      <c r="B61" s="33"/>
      <c r="C61" s="32"/>
      <c r="D61" s="37" t="str">
        <f aca="false">IF($C61="","",IFERROR(INDEX('Dự án'!$B$4:$B$203,MATCH($C61,'Dự án'!$A$4:$A$203,0)),""))</f>
        <v/>
      </c>
      <c r="E61" s="32"/>
      <c r="F61" s="32"/>
      <c r="G61" s="32"/>
      <c r="H61" s="34"/>
      <c r="I61" s="34"/>
      <c r="J61" s="38" t="str">
        <f aca="false">IF($A61="","",$H61*$I61)</f>
        <v/>
      </c>
      <c r="K61" s="33"/>
      <c r="L61" s="33"/>
      <c r="M61" s="38" t="str">
        <f aca="false">IF($A61="","",IF($L61="","",$L61-$B61))</f>
        <v/>
      </c>
      <c r="N61" s="32"/>
      <c r="O61" s="37" t="str">
        <f aca="true">IF($A61="","",IF($K61="","",IF($L61="",IF(TODAY()&gt;$K61,"Quá hạn chưa trả","Đang xử lý"),IF($L61&lt;=$K61,"Đúng hạn","Trả trễ"))))</f>
        <v/>
      </c>
      <c r="P61" s="38" t="str">
        <f aca="false">IF($A61="","",COUNTIFS('Báo giá'!$C$4:$C$203,$A61))</f>
        <v/>
      </c>
      <c r="Q61" s="38" t="str">
        <f aca="false">IF($A61="","",IF(SUMIFS('Báo giá'!$K$4:$K$203,'Báo giá'!$C$4:$C$203,$A61,'Báo giá'!$T$4:$T$203,"x")=0,"",SUMIFS('Báo giá'!$K$4:$K$203,'Báo giá'!$C$4:$C$203,$A61,'Báo giá'!$T$4:$T$203,"x")))</f>
        <v/>
      </c>
      <c r="R61" s="38" t="str">
        <f aca="false">IF($A61="","",IF(SUMIFS('Báo giá'!$L$4:$L$203,'Báo giá'!$C$4:$C$203,$A61,'Báo giá'!$T$4:$T$203,"x")=0,"",SUMIFS('Báo giá'!$L$4:$L$203,'Báo giá'!$C$4:$C$203,$A61,'Báo giá'!$T$4:$T$203,"x")))</f>
        <v/>
      </c>
      <c r="S61" s="38" t="str">
        <f aca="false">IF($A61="","",IF($R61="","",$R61-$J61))</f>
        <v/>
      </c>
      <c r="T61" s="37" t="str">
        <f aca="false">IF($A61="","",IF(COUNTIFS(PR!$C$4:$C$203,$A61)&gt;0,"Đã lập PR","Chưa lập PR"))</f>
        <v/>
      </c>
      <c r="U61" s="32"/>
    </row>
    <row r="62" customFormat="false" ht="15" hidden="false" customHeight="false" outlineLevel="0" collapsed="false">
      <c r="A62" s="32"/>
      <c r="B62" s="33"/>
      <c r="C62" s="32"/>
      <c r="D62" s="37" t="str">
        <f aca="false">IF($C62="","",IFERROR(INDEX('Dự án'!$B$4:$B$203,MATCH($C62,'Dự án'!$A$4:$A$203,0)),""))</f>
        <v/>
      </c>
      <c r="E62" s="32"/>
      <c r="F62" s="32"/>
      <c r="G62" s="32"/>
      <c r="H62" s="34"/>
      <c r="I62" s="34"/>
      <c r="J62" s="38" t="str">
        <f aca="false">IF($A62="","",$H62*$I62)</f>
        <v/>
      </c>
      <c r="K62" s="33"/>
      <c r="L62" s="33"/>
      <c r="M62" s="38" t="str">
        <f aca="false">IF($A62="","",IF($L62="","",$L62-$B62))</f>
        <v/>
      </c>
      <c r="N62" s="32"/>
      <c r="O62" s="37" t="str">
        <f aca="true">IF($A62="","",IF($K62="","",IF($L62="",IF(TODAY()&gt;$K62,"Quá hạn chưa trả","Đang xử lý"),IF($L62&lt;=$K62,"Đúng hạn","Trả trễ"))))</f>
        <v/>
      </c>
      <c r="P62" s="38" t="str">
        <f aca="false">IF($A62="","",COUNTIFS('Báo giá'!$C$4:$C$203,$A62))</f>
        <v/>
      </c>
      <c r="Q62" s="38" t="str">
        <f aca="false">IF($A62="","",IF(SUMIFS('Báo giá'!$K$4:$K$203,'Báo giá'!$C$4:$C$203,$A62,'Báo giá'!$T$4:$T$203,"x")=0,"",SUMIFS('Báo giá'!$K$4:$K$203,'Báo giá'!$C$4:$C$203,$A62,'Báo giá'!$T$4:$T$203,"x")))</f>
        <v/>
      </c>
      <c r="R62" s="38" t="str">
        <f aca="false">IF($A62="","",IF(SUMIFS('Báo giá'!$L$4:$L$203,'Báo giá'!$C$4:$C$203,$A62,'Báo giá'!$T$4:$T$203,"x")=0,"",SUMIFS('Báo giá'!$L$4:$L$203,'Báo giá'!$C$4:$C$203,$A62,'Báo giá'!$T$4:$T$203,"x")))</f>
        <v/>
      </c>
      <c r="S62" s="38" t="str">
        <f aca="false">IF($A62="","",IF($R62="","",$R62-$J62))</f>
        <v/>
      </c>
      <c r="T62" s="37" t="str">
        <f aca="false">IF($A62="","",IF(COUNTIFS(PR!$C$4:$C$203,$A62)&gt;0,"Đã lập PR","Chưa lập PR"))</f>
        <v/>
      </c>
      <c r="U62" s="32"/>
    </row>
    <row r="63" customFormat="false" ht="15" hidden="false" customHeight="false" outlineLevel="0" collapsed="false">
      <c r="A63" s="32"/>
      <c r="B63" s="33"/>
      <c r="C63" s="32"/>
      <c r="D63" s="37" t="str">
        <f aca="false">IF($C63="","",IFERROR(INDEX('Dự án'!$B$4:$B$203,MATCH($C63,'Dự án'!$A$4:$A$203,0)),""))</f>
        <v/>
      </c>
      <c r="E63" s="32"/>
      <c r="F63" s="32"/>
      <c r="G63" s="32"/>
      <c r="H63" s="34"/>
      <c r="I63" s="34"/>
      <c r="J63" s="38" t="str">
        <f aca="false">IF($A63="","",$H63*$I63)</f>
        <v/>
      </c>
      <c r="K63" s="33"/>
      <c r="L63" s="33"/>
      <c r="M63" s="38" t="str">
        <f aca="false">IF($A63="","",IF($L63="","",$L63-$B63))</f>
        <v/>
      </c>
      <c r="N63" s="32"/>
      <c r="O63" s="37" t="str">
        <f aca="true">IF($A63="","",IF($K63="","",IF($L63="",IF(TODAY()&gt;$K63,"Quá hạn chưa trả","Đang xử lý"),IF($L63&lt;=$K63,"Đúng hạn","Trả trễ"))))</f>
        <v/>
      </c>
      <c r="P63" s="38" t="str">
        <f aca="false">IF($A63="","",COUNTIFS('Báo giá'!$C$4:$C$203,$A63))</f>
        <v/>
      </c>
      <c r="Q63" s="38" t="str">
        <f aca="false">IF($A63="","",IF(SUMIFS('Báo giá'!$K$4:$K$203,'Báo giá'!$C$4:$C$203,$A63,'Báo giá'!$T$4:$T$203,"x")=0,"",SUMIFS('Báo giá'!$K$4:$K$203,'Báo giá'!$C$4:$C$203,$A63,'Báo giá'!$T$4:$T$203,"x")))</f>
        <v/>
      </c>
      <c r="R63" s="38" t="str">
        <f aca="false">IF($A63="","",IF(SUMIFS('Báo giá'!$L$4:$L$203,'Báo giá'!$C$4:$C$203,$A63,'Báo giá'!$T$4:$T$203,"x")=0,"",SUMIFS('Báo giá'!$L$4:$L$203,'Báo giá'!$C$4:$C$203,$A63,'Báo giá'!$T$4:$T$203,"x")))</f>
        <v/>
      </c>
      <c r="S63" s="38" t="str">
        <f aca="false">IF($A63="","",IF($R63="","",$R63-$J63))</f>
        <v/>
      </c>
      <c r="T63" s="37" t="str">
        <f aca="false">IF($A63="","",IF(COUNTIFS(PR!$C$4:$C$203,$A63)&gt;0,"Đã lập PR","Chưa lập PR"))</f>
        <v/>
      </c>
      <c r="U63" s="32"/>
    </row>
    <row r="64" customFormat="false" ht="15" hidden="false" customHeight="false" outlineLevel="0" collapsed="false">
      <c r="A64" s="32"/>
      <c r="B64" s="33"/>
      <c r="C64" s="32"/>
      <c r="D64" s="37" t="str">
        <f aca="false">IF($C64="","",IFERROR(INDEX('Dự án'!$B$4:$B$203,MATCH($C64,'Dự án'!$A$4:$A$203,0)),""))</f>
        <v/>
      </c>
      <c r="E64" s="32"/>
      <c r="F64" s="32"/>
      <c r="G64" s="32"/>
      <c r="H64" s="34"/>
      <c r="I64" s="34"/>
      <c r="J64" s="38" t="str">
        <f aca="false">IF($A64="","",$H64*$I64)</f>
        <v/>
      </c>
      <c r="K64" s="33"/>
      <c r="L64" s="33"/>
      <c r="M64" s="38" t="str">
        <f aca="false">IF($A64="","",IF($L64="","",$L64-$B64))</f>
        <v/>
      </c>
      <c r="N64" s="32"/>
      <c r="O64" s="37" t="str">
        <f aca="true">IF($A64="","",IF($K64="","",IF($L64="",IF(TODAY()&gt;$K64,"Quá hạn chưa trả","Đang xử lý"),IF($L64&lt;=$K64,"Đúng hạn","Trả trễ"))))</f>
        <v/>
      </c>
      <c r="P64" s="38" t="str">
        <f aca="false">IF($A64="","",COUNTIFS('Báo giá'!$C$4:$C$203,$A64))</f>
        <v/>
      </c>
      <c r="Q64" s="38" t="str">
        <f aca="false">IF($A64="","",IF(SUMIFS('Báo giá'!$K$4:$K$203,'Báo giá'!$C$4:$C$203,$A64,'Báo giá'!$T$4:$T$203,"x")=0,"",SUMIFS('Báo giá'!$K$4:$K$203,'Báo giá'!$C$4:$C$203,$A64,'Báo giá'!$T$4:$T$203,"x")))</f>
        <v/>
      </c>
      <c r="R64" s="38" t="str">
        <f aca="false">IF($A64="","",IF(SUMIFS('Báo giá'!$L$4:$L$203,'Báo giá'!$C$4:$C$203,$A64,'Báo giá'!$T$4:$T$203,"x")=0,"",SUMIFS('Báo giá'!$L$4:$L$203,'Báo giá'!$C$4:$C$203,$A64,'Báo giá'!$T$4:$T$203,"x")))</f>
        <v/>
      </c>
      <c r="S64" s="38" t="str">
        <f aca="false">IF($A64="","",IF($R64="","",$R64-$J64))</f>
        <v/>
      </c>
      <c r="T64" s="37" t="str">
        <f aca="false">IF($A64="","",IF(COUNTIFS(PR!$C$4:$C$203,$A64)&gt;0,"Đã lập PR","Chưa lập PR"))</f>
        <v/>
      </c>
      <c r="U64" s="32"/>
    </row>
    <row r="65" customFormat="false" ht="15" hidden="false" customHeight="false" outlineLevel="0" collapsed="false">
      <c r="A65" s="32"/>
      <c r="B65" s="33"/>
      <c r="C65" s="32"/>
      <c r="D65" s="37" t="str">
        <f aca="false">IF($C65="","",IFERROR(INDEX('Dự án'!$B$4:$B$203,MATCH($C65,'Dự án'!$A$4:$A$203,0)),""))</f>
        <v/>
      </c>
      <c r="E65" s="32"/>
      <c r="F65" s="32"/>
      <c r="G65" s="32"/>
      <c r="H65" s="34"/>
      <c r="I65" s="34"/>
      <c r="J65" s="38" t="str">
        <f aca="false">IF($A65="","",$H65*$I65)</f>
        <v/>
      </c>
      <c r="K65" s="33"/>
      <c r="L65" s="33"/>
      <c r="M65" s="38" t="str">
        <f aca="false">IF($A65="","",IF($L65="","",$L65-$B65))</f>
        <v/>
      </c>
      <c r="N65" s="32"/>
      <c r="O65" s="37" t="str">
        <f aca="true">IF($A65="","",IF($K65="","",IF($L65="",IF(TODAY()&gt;$K65,"Quá hạn chưa trả","Đang xử lý"),IF($L65&lt;=$K65,"Đúng hạn","Trả trễ"))))</f>
        <v/>
      </c>
      <c r="P65" s="38" t="str">
        <f aca="false">IF($A65="","",COUNTIFS('Báo giá'!$C$4:$C$203,$A65))</f>
        <v/>
      </c>
      <c r="Q65" s="38" t="str">
        <f aca="false">IF($A65="","",IF(SUMIFS('Báo giá'!$K$4:$K$203,'Báo giá'!$C$4:$C$203,$A65,'Báo giá'!$T$4:$T$203,"x")=0,"",SUMIFS('Báo giá'!$K$4:$K$203,'Báo giá'!$C$4:$C$203,$A65,'Báo giá'!$T$4:$T$203,"x")))</f>
        <v/>
      </c>
      <c r="R65" s="38" t="str">
        <f aca="false">IF($A65="","",IF(SUMIFS('Báo giá'!$L$4:$L$203,'Báo giá'!$C$4:$C$203,$A65,'Báo giá'!$T$4:$T$203,"x")=0,"",SUMIFS('Báo giá'!$L$4:$L$203,'Báo giá'!$C$4:$C$203,$A65,'Báo giá'!$T$4:$T$203,"x")))</f>
        <v/>
      </c>
      <c r="S65" s="38" t="str">
        <f aca="false">IF($A65="","",IF($R65="","",$R65-$J65))</f>
        <v/>
      </c>
      <c r="T65" s="37" t="str">
        <f aca="false">IF($A65="","",IF(COUNTIFS(PR!$C$4:$C$203,$A65)&gt;0,"Đã lập PR","Chưa lập PR"))</f>
        <v/>
      </c>
      <c r="U65" s="32"/>
    </row>
    <row r="66" customFormat="false" ht="15" hidden="false" customHeight="false" outlineLevel="0" collapsed="false">
      <c r="A66" s="32"/>
      <c r="B66" s="33"/>
      <c r="C66" s="32"/>
      <c r="D66" s="37" t="str">
        <f aca="false">IF($C66="","",IFERROR(INDEX('Dự án'!$B$4:$B$203,MATCH($C66,'Dự án'!$A$4:$A$203,0)),""))</f>
        <v/>
      </c>
      <c r="E66" s="32"/>
      <c r="F66" s="32"/>
      <c r="G66" s="32"/>
      <c r="H66" s="34"/>
      <c r="I66" s="34"/>
      <c r="J66" s="38" t="str">
        <f aca="false">IF($A66="","",$H66*$I66)</f>
        <v/>
      </c>
      <c r="K66" s="33"/>
      <c r="L66" s="33"/>
      <c r="M66" s="38" t="str">
        <f aca="false">IF($A66="","",IF($L66="","",$L66-$B66))</f>
        <v/>
      </c>
      <c r="N66" s="32"/>
      <c r="O66" s="37" t="str">
        <f aca="true">IF($A66="","",IF($K66="","",IF($L66="",IF(TODAY()&gt;$K66,"Quá hạn chưa trả","Đang xử lý"),IF($L66&lt;=$K66,"Đúng hạn","Trả trễ"))))</f>
        <v/>
      </c>
      <c r="P66" s="38" t="str">
        <f aca="false">IF($A66="","",COUNTIFS('Báo giá'!$C$4:$C$203,$A66))</f>
        <v/>
      </c>
      <c r="Q66" s="38" t="str">
        <f aca="false">IF($A66="","",IF(SUMIFS('Báo giá'!$K$4:$K$203,'Báo giá'!$C$4:$C$203,$A66,'Báo giá'!$T$4:$T$203,"x")=0,"",SUMIFS('Báo giá'!$K$4:$K$203,'Báo giá'!$C$4:$C$203,$A66,'Báo giá'!$T$4:$T$203,"x")))</f>
        <v/>
      </c>
      <c r="R66" s="38" t="str">
        <f aca="false">IF($A66="","",IF(SUMIFS('Báo giá'!$L$4:$L$203,'Báo giá'!$C$4:$C$203,$A66,'Báo giá'!$T$4:$T$203,"x")=0,"",SUMIFS('Báo giá'!$L$4:$L$203,'Báo giá'!$C$4:$C$203,$A66,'Báo giá'!$T$4:$T$203,"x")))</f>
        <v/>
      </c>
      <c r="S66" s="38" t="str">
        <f aca="false">IF($A66="","",IF($R66="","",$R66-$J66))</f>
        <v/>
      </c>
      <c r="T66" s="37" t="str">
        <f aca="false">IF($A66="","",IF(COUNTIFS(PR!$C$4:$C$203,$A66)&gt;0,"Đã lập PR","Chưa lập PR"))</f>
        <v/>
      </c>
      <c r="U66" s="32"/>
    </row>
    <row r="67" customFormat="false" ht="15" hidden="false" customHeight="false" outlineLevel="0" collapsed="false">
      <c r="A67" s="32"/>
      <c r="B67" s="33"/>
      <c r="C67" s="32"/>
      <c r="D67" s="37" t="str">
        <f aca="false">IF($C67="","",IFERROR(INDEX('Dự án'!$B$4:$B$203,MATCH($C67,'Dự án'!$A$4:$A$203,0)),""))</f>
        <v/>
      </c>
      <c r="E67" s="32"/>
      <c r="F67" s="32"/>
      <c r="G67" s="32"/>
      <c r="H67" s="34"/>
      <c r="I67" s="34"/>
      <c r="J67" s="38" t="str">
        <f aca="false">IF($A67="","",$H67*$I67)</f>
        <v/>
      </c>
      <c r="K67" s="33"/>
      <c r="L67" s="33"/>
      <c r="M67" s="38" t="str">
        <f aca="false">IF($A67="","",IF($L67="","",$L67-$B67))</f>
        <v/>
      </c>
      <c r="N67" s="32"/>
      <c r="O67" s="37" t="str">
        <f aca="true">IF($A67="","",IF($K67="","",IF($L67="",IF(TODAY()&gt;$K67,"Quá hạn chưa trả","Đang xử lý"),IF($L67&lt;=$K67,"Đúng hạn","Trả trễ"))))</f>
        <v/>
      </c>
      <c r="P67" s="38" t="str">
        <f aca="false">IF($A67="","",COUNTIFS('Báo giá'!$C$4:$C$203,$A67))</f>
        <v/>
      </c>
      <c r="Q67" s="38" t="str">
        <f aca="false">IF($A67="","",IF(SUMIFS('Báo giá'!$K$4:$K$203,'Báo giá'!$C$4:$C$203,$A67,'Báo giá'!$T$4:$T$203,"x")=0,"",SUMIFS('Báo giá'!$K$4:$K$203,'Báo giá'!$C$4:$C$203,$A67,'Báo giá'!$T$4:$T$203,"x")))</f>
        <v/>
      </c>
      <c r="R67" s="38" t="str">
        <f aca="false">IF($A67="","",IF(SUMIFS('Báo giá'!$L$4:$L$203,'Báo giá'!$C$4:$C$203,$A67,'Báo giá'!$T$4:$T$203,"x")=0,"",SUMIFS('Báo giá'!$L$4:$L$203,'Báo giá'!$C$4:$C$203,$A67,'Báo giá'!$T$4:$T$203,"x")))</f>
        <v/>
      </c>
      <c r="S67" s="38" t="str">
        <f aca="false">IF($A67="","",IF($R67="","",$R67-$J67))</f>
        <v/>
      </c>
      <c r="T67" s="37" t="str">
        <f aca="false">IF($A67="","",IF(COUNTIFS(PR!$C$4:$C$203,$A67)&gt;0,"Đã lập PR","Chưa lập PR"))</f>
        <v/>
      </c>
      <c r="U67" s="32"/>
    </row>
    <row r="68" customFormat="false" ht="15" hidden="false" customHeight="false" outlineLevel="0" collapsed="false">
      <c r="A68" s="32"/>
      <c r="B68" s="33"/>
      <c r="C68" s="32"/>
      <c r="D68" s="37" t="str">
        <f aca="false">IF($C68="","",IFERROR(INDEX('Dự án'!$B$4:$B$203,MATCH($C68,'Dự án'!$A$4:$A$203,0)),""))</f>
        <v/>
      </c>
      <c r="E68" s="32"/>
      <c r="F68" s="32"/>
      <c r="G68" s="32"/>
      <c r="H68" s="34"/>
      <c r="I68" s="34"/>
      <c r="J68" s="38" t="str">
        <f aca="false">IF($A68="","",$H68*$I68)</f>
        <v/>
      </c>
      <c r="K68" s="33"/>
      <c r="L68" s="33"/>
      <c r="M68" s="38" t="str">
        <f aca="false">IF($A68="","",IF($L68="","",$L68-$B68))</f>
        <v/>
      </c>
      <c r="N68" s="32"/>
      <c r="O68" s="37" t="str">
        <f aca="true">IF($A68="","",IF($K68="","",IF($L68="",IF(TODAY()&gt;$K68,"Quá hạn chưa trả","Đang xử lý"),IF($L68&lt;=$K68,"Đúng hạn","Trả trễ"))))</f>
        <v/>
      </c>
      <c r="P68" s="38" t="str">
        <f aca="false">IF($A68="","",COUNTIFS('Báo giá'!$C$4:$C$203,$A68))</f>
        <v/>
      </c>
      <c r="Q68" s="38" t="str">
        <f aca="false">IF($A68="","",IF(SUMIFS('Báo giá'!$K$4:$K$203,'Báo giá'!$C$4:$C$203,$A68,'Báo giá'!$T$4:$T$203,"x")=0,"",SUMIFS('Báo giá'!$K$4:$K$203,'Báo giá'!$C$4:$C$203,$A68,'Báo giá'!$T$4:$T$203,"x")))</f>
        <v/>
      </c>
      <c r="R68" s="38" t="str">
        <f aca="false">IF($A68="","",IF(SUMIFS('Báo giá'!$L$4:$L$203,'Báo giá'!$C$4:$C$203,$A68,'Báo giá'!$T$4:$T$203,"x")=0,"",SUMIFS('Báo giá'!$L$4:$L$203,'Báo giá'!$C$4:$C$203,$A68,'Báo giá'!$T$4:$T$203,"x")))</f>
        <v/>
      </c>
      <c r="S68" s="38" t="str">
        <f aca="false">IF($A68="","",IF($R68="","",$R68-$J68))</f>
        <v/>
      </c>
      <c r="T68" s="37" t="str">
        <f aca="false">IF($A68="","",IF(COUNTIFS(PR!$C$4:$C$203,$A68)&gt;0,"Đã lập PR","Chưa lập PR"))</f>
        <v/>
      </c>
      <c r="U68" s="32"/>
    </row>
    <row r="69" customFormat="false" ht="15" hidden="false" customHeight="false" outlineLevel="0" collapsed="false">
      <c r="A69" s="32"/>
      <c r="B69" s="33"/>
      <c r="C69" s="32"/>
      <c r="D69" s="37" t="str">
        <f aca="false">IF($C69="","",IFERROR(INDEX('Dự án'!$B$4:$B$203,MATCH($C69,'Dự án'!$A$4:$A$203,0)),""))</f>
        <v/>
      </c>
      <c r="E69" s="32"/>
      <c r="F69" s="32"/>
      <c r="G69" s="32"/>
      <c r="H69" s="34"/>
      <c r="I69" s="34"/>
      <c r="J69" s="38" t="str">
        <f aca="false">IF($A69="","",$H69*$I69)</f>
        <v/>
      </c>
      <c r="K69" s="33"/>
      <c r="L69" s="33"/>
      <c r="M69" s="38" t="str">
        <f aca="false">IF($A69="","",IF($L69="","",$L69-$B69))</f>
        <v/>
      </c>
      <c r="N69" s="32"/>
      <c r="O69" s="37" t="str">
        <f aca="true">IF($A69="","",IF($K69="","",IF($L69="",IF(TODAY()&gt;$K69,"Quá hạn chưa trả","Đang xử lý"),IF($L69&lt;=$K69,"Đúng hạn","Trả trễ"))))</f>
        <v/>
      </c>
      <c r="P69" s="38" t="str">
        <f aca="false">IF($A69="","",COUNTIFS('Báo giá'!$C$4:$C$203,$A69))</f>
        <v/>
      </c>
      <c r="Q69" s="38" t="str">
        <f aca="false">IF($A69="","",IF(SUMIFS('Báo giá'!$K$4:$K$203,'Báo giá'!$C$4:$C$203,$A69,'Báo giá'!$T$4:$T$203,"x")=0,"",SUMIFS('Báo giá'!$K$4:$K$203,'Báo giá'!$C$4:$C$203,$A69,'Báo giá'!$T$4:$T$203,"x")))</f>
        <v/>
      </c>
      <c r="R69" s="38" t="str">
        <f aca="false">IF($A69="","",IF(SUMIFS('Báo giá'!$L$4:$L$203,'Báo giá'!$C$4:$C$203,$A69,'Báo giá'!$T$4:$T$203,"x")=0,"",SUMIFS('Báo giá'!$L$4:$L$203,'Báo giá'!$C$4:$C$203,$A69,'Báo giá'!$T$4:$T$203,"x")))</f>
        <v/>
      </c>
      <c r="S69" s="38" t="str">
        <f aca="false">IF($A69="","",IF($R69="","",$R69-$J69))</f>
        <v/>
      </c>
      <c r="T69" s="37" t="str">
        <f aca="false">IF($A69="","",IF(COUNTIFS(PR!$C$4:$C$203,$A69)&gt;0,"Đã lập PR","Chưa lập PR"))</f>
        <v/>
      </c>
      <c r="U69" s="32"/>
    </row>
    <row r="70" customFormat="false" ht="15" hidden="false" customHeight="false" outlineLevel="0" collapsed="false">
      <c r="A70" s="32"/>
      <c r="B70" s="33"/>
      <c r="C70" s="32"/>
      <c r="D70" s="37" t="str">
        <f aca="false">IF($C70="","",IFERROR(INDEX('Dự án'!$B$4:$B$203,MATCH($C70,'Dự án'!$A$4:$A$203,0)),""))</f>
        <v/>
      </c>
      <c r="E70" s="32"/>
      <c r="F70" s="32"/>
      <c r="G70" s="32"/>
      <c r="H70" s="34"/>
      <c r="I70" s="34"/>
      <c r="J70" s="38" t="str">
        <f aca="false">IF($A70="","",$H70*$I70)</f>
        <v/>
      </c>
      <c r="K70" s="33"/>
      <c r="L70" s="33"/>
      <c r="M70" s="38" t="str">
        <f aca="false">IF($A70="","",IF($L70="","",$L70-$B70))</f>
        <v/>
      </c>
      <c r="N70" s="32"/>
      <c r="O70" s="37" t="str">
        <f aca="true">IF($A70="","",IF($K70="","",IF($L70="",IF(TODAY()&gt;$K70,"Quá hạn chưa trả","Đang xử lý"),IF($L70&lt;=$K70,"Đúng hạn","Trả trễ"))))</f>
        <v/>
      </c>
      <c r="P70" s="38" t="str">
        <f aca="false">IF($A70="","",COUNTIFS('Báo giá'!$C$4:$C$203,$A70))</f>
        <v/>
      </c>
      <c r="Q70" s="38" t="str">
        <f aca="false">IF($A70="","",IF(SUMIFS('Báo giá'!$K$4:$K$203,'Báo giá'!$C$4:$C$203,$A70,'Báo giá'!$T$4:$T$203,"x")=0,"",SUMIFS('Báo giá'!$K$4:$K$203,'Báo giá'!$C$4:$C$203,$A70,'Báo giá'!$T$4:$T$203,"x")))</f>
        <v/>
      </c>
      <c r="R70" s="38" t="str">
        <f aca="false">IF($A70="","",IF(SUMIFS('Báo giá'!$L$4:$L$203,'Báo giá'!$C$4:$C$203,$A70,'Báo giá'!$T$4:$T$203,"x")=0,"",SUMIFS('Báo giá'!$L$4:$L$203,'Báo giá'!$C$4:$C$203,$A70,'Báo giá'!$T$4:$T$203,"x")))</f>
        <v/>
      </c>
      <c r="S70" s="38" t="str">
        <f aca="false">IF($A70="","",IF($R70="","",$R70-$J70))</f>
        <v/>
      </c>
      <c r="T70" s="37" t="str">
        <f aca="false">IF($A70="","",IF(COUNTIFS(PR!$C$4:$C$203,$A70)&gt;0,"Đã lập PR","Chưa lập PR"))</f>
        <v/>
      </c>
      <c r="U70" s="32"/>
    </row>
    <row r="71" customFormat="false" ht="15" hidden="false" customHeight="false" outlineLevel="0" collapsed="false">
      <c r="A71" s="32"/>
      <c r="B71" s="33"/>
      <c r="C71" s="32"/>
      <c r="D71" s="37" t="str">
        <f aca="false">IF($C71="","",IFERROR(INDEX('Dự án'!$B$4:$B$203,MATCH($C71,'Dự án'!$A$4:$A$203,0)),""))</f>
        <v/>
      </c>
      <c r="E71" s="32"/>
      <c r="F71" s="32"/>
      <c r="G71" s="32"/>
      <c r="H71" s="34"/>
      <c r="I71" s="34"/>
      <c r="J71" s="38" t="str">
        <f aca="false">IF($A71="","",$H71*$I71)</f>
        <v/>
      </c>
      <c r="K71" s="33"/>
      <c r="L71" s="33"/>
      <c r="M71" s="38" t="str">
        <f aca="false">IF($A71="","",IF($L71="","",$L71-$B71))</f>
        <v/>
      </c>
      <c r="N71" s="32"/>
      <c r="O71" s="37" t="str">
        <f aca="true">IF($A71="","",IF($K71="","",IF($L71="",IF(TODAY()&gt;$K71,"Quá hạn chưa trả","Đang xử lý"),IF($L71&lt;=$K71,"Đúng hạn","Trả trễ"))))</f>
        <v/>
      </c>
      <c r="P71" s="38" t="str">
        <f aca="false">IF($A71="","",COUNTIFS('Báo giá'!$C$4:$C$203,$A71))</f>
        <v/>
      </c>
      <c r="Q71" s="38" t="str">
        <f aca="false">IF($A71="","",IF(SUMIFS('Báo giá'!$K$4:$K$203,'Báo giá'!$C$4:$C$203,$A71,'Báo giá'!$T$4:$T$203,"x")=0,"",SUMIFS('Báo giá'!$K$4:$K$203,'Báo giá'!$C$4:$C$203,$A71,'Báo giá'!$T$4:$T$203,"x")))</f>
        <v/>
      </c>
      <c r="R71" s="38" t="str">
        <f aca="false">IF($A71="","",IF(SUMIFS('Báo giá'!$L$4:$L$203,'Báo giá'!$C$4:$C$203,$A71,'Báo giá'!$T$4:$T$203,"x")=0,"",SUMIFS('Báo giá'!$L$4:$L$203,'Báo giá'!$C$4:$C$203,$A71,'Báo giá'!$T$4:$T$203,"x")))</f>
        <v/>
      </c>
      <c r="S71" s="38" t="str">
        <f aca="false">IF($A71="","",IF($R71="","",$R71-$J71))</f>
        <v/>
      </c>
      <c r="T71" s="37" t="str">
        <f aca="false">IF($A71="","",IF(COUNTIFS(PR!$C$4:$C$203,$A71)&gt;0,"Đã lập PR","Chưa lập PR"))</f>
        <v/>
      </c>
      <c r="U71" s="32"/>
    </row>
    <row r="72" customFormat="false" ht="15" hidden="false" customHeight="false" outlineLevel="0" collapsed="false">
      <c r="A72" s="32"/>
      <c r="B72" s="33"/>
      <c r="C72" s="32"/>
      <c r="D72" s="37" t="str">
        <f aca="false">IF($C72="","",IFERROR(INDEX('Dự án'!$B$4:$B$203,MATCH($C72,'Dự án'!$A$4:$A$203,0)),""))</f>
        <v/>
      </c>
      <c r="E72" s="32"/>
      <c r="F72" s="32"/>
      <c r="G72" s="32"/>
      <c r="H72" s="34"/>
      <c r="I72" s="34"/>
      <c r="J72" s="38" t="str">
        <f aca="false">IF($A72="","",$H72*$I72)</f>
        <v/>
      </c>
      <c r="K72" s="33"/>
      <c r="L72" s="33"/>
      <c r="M72" s="38" t="str">
        <f aca="false">IF($A72="","",IF($L72="","",$L72-$B72))</f>
        <v/>
      </c>
      <c r="N72" s="32"/>
      <c r="O72" s="37" t="str">
        <f aca="true">IF($A72="","",IF($K72="","",IF($L72="",IF(TODAY()&gt;$K72,"Quá hạn chưa trả","Đang xử lý"),IF($L72&lt;=$K72,"Đúng hạn","Trả trễ"))))</f>
        <v/>
      </c>
      <c r="P72" s="38" t="str">
        <f aca="false">IF($A72="","",COUNTIFS('Báo giá'!$C$4:$C$203,$A72))</f>
        <v/>
      </c>
      <c r="Q72" s="38" t="str">
        <f aca="false">IF($A72="","",IF(SUMIFS('Báo giá'!$K$4:$K$203,'Báo giá'!$C$4:$C$203,$A72,'Báo giá'!$T$4:$T$203,"x")=0,"",SUMIFS('Báo giá'!$K$4:$K$203,'Báo giá'!$C$4:$C$203,$A72,'Báo giá'!$T$4:$T$203,"x")))</f>
        <v/>
      </c>
      <c r="R72" s="38" t="str">
        <f aca="false">IF($A72="","",IF(SUMIFS('Báo giá'!$L$4:$L$203,'Báo giá'!$C$4:$C$203,$A72,'Báo giá'!$T$4:$T$203,"x")=0,"",SUMIFS('Báo giá'!$L$4:$L$203,'Báo giá'!$C$4:$C$203,$A72,'Báo giá'!$T$4:$T$203,"x")))</f>
        <v/>
      </c>
      <c r="S72" s="38" t="str">
        <f aca="false">IF($A72="","",IF($R72="","",$R72-$J72))</f>
        <v/>
      </c>
      <c r="T72" s="37" t="str">
        <f aca="false">IF($A72="","",IF(COUNTIFS(PR!$C$4:$C$203,$A72)&gt;0,"Đã lập PR","Chưa lập PR"))</f>
        <v/>
      </c>
      <c r="U72" s="32"/>
    </row>
    <row r="73" customFormat="false" ht="15" hidden="false" customHeight="false" outlineLevel="0" collapsed="false">
      <c r="A73" s="32"/>
      <c r="B73" s="33"/>
      <c r="C73" s="32"/>
      <c r="D73" s="37" t="str">
        <f aca="false">IF($C73="","",IFERROR(INDEX('Dự án'!$B$4:$B$203,MATCH($C73,'Dự án'!$A$4:$A$203,0)),""))</f>
        <v/>
      </c>
      <c r="E73" s="32"/>
      <c r="F73" s="32"/>
      <c r="G73" s="32"/>
      <c r="H73" s="34"/>
      <c r="I73" s="34"/>
      <c r="J73" s="38" t="str">
        <f aca="false">IF($A73="","",$H73*$I73)</f>
        <v/>
      </c>
      <c r="K73" s="33"/>
      <c r="L73" s="33"/>
      <c r="M73" s="38" t="str">
        <f aca="false">IF($A73="","",IF($L73="","",$L73-$B73))</f>
        <v/>
      </c>
      <c r="N73" s="32"/>
      <c r="O73" s="37" t="str">
        <f aca="true">IF($A73="","",IF($K73="","",IF($L73="",IF(TODAY()&gt;$K73,"Quá hạn chưa trả","Đang xử lý"),IF($L73&lt;=$K73,"Đúng hạn","Trả trễ"))))</f>
        <v/>
      </c>
      <c r="P73" s="38" t="str">
        <f aca="false">IF($A73="","",COUNTIFS('Báo giá'!$C$4:$C$203,$A73))</f>
        <v/>
      </c>
      <c r="Q73" s="38" t="str">
        <f aca="false">IF($A73="","",IF(SUMIFS('Báo giá'!$K$4:$K$203,'Báo giá'!$C$4:$C$203,$A73,'Báo giá'!$T$4:$T$203,"x")=0,"",SUMIFS('Báo giá'!$K$4:$K$203,'Báo giá'!$C$4:$C$203,$A73,'Báo giá'!$T$4:$T$203,"x")))</f>
        <v/>
      </c>
      <c r="R73" s="38" t="str">
        <f aca="false">IF($A73="","",IF(SUMIFS('Báo giá'!$L$4:$L$203,'Báo giá'!$C$4:$C$203,$A73,'Báo giá'!$T$4:$T$203,"x")=0,"",SUMIFS('Báo giá'!$L$4:$L$203,'Báo giá'!$C$4:$C$203,$A73,'Báo giá'!$T$4:$T$203,"x")))</f>
        <v/>
      </c>
      <c r="S73" s="38" t="str">
        <f aca="false">IF($A73="","",IF($R73="","",$R73-$J73))</f>
        <v/>
      </c>
      <c r="T73" s="37" t="str">
        <f aca="false">IF($A73="","",IF(COUNTIFS(PR!$C$4:$C$203,$A73)&gt;0,"Đã lập PR","Chưa lập PR"))</f>
        <v/>
      </c>
      <c r="U73" s="32"/>
    </row>
    <row r="74" customFormat="false" ht="15" hidden="false" customHeight="false" outlineLevel="0" collapsed="false">
      <c r="A74" s="32"/>
      <c r="B74" s="33"/>
      <c r="C74" s="32"/>
      <c r="D74" s="37" t="str">
        <f aca="false">IF($C74="","",IFERROR(INDEX('Dự án'!$B$4:$B$203,MATCH($C74,'Dự án'!$A$4:$A$203,0)),""))</f>
        <v/>
      </c>
      <c r="E74" s="32"/>
      <c r="F74" s="32"/>
      <c r="G74" s="32"/>
      <c r="H74" s="34"/>
      <c r="I74" s="34"/>
      <c r="J74" s="38" t="str">
        <f aca="false">IF($A74="","",$H74*$I74)</f>
        <v/>
      </c>
      <c r="K74" s="33"/>
      <c r="L74" s="33"/>
      <c r="M74" s="38" t="str">
        <f aca="false">IF($A74="","",IF($L74="","",$L74-$B74))</f>
        <v/>
      </c>
      <c r="N74" s="32"/>
      <c r="O74" s="37" t="str">
        <f aca="true">IF($A74="","",IF($K74="","",IF($L74="",IF(TODAY()&gt;$K74,"Quá hạn chưa trả","Đang xử lý"),IF($L74&lt;=$K74,"Đúng hạn","Trả trễ"))))</f>
        <v/>
      </c>
      <c r="P74" s="38" t="str">
        <f aca="false">IF($A74="","",COUNTIFS('Báo giá'!$C$4:$C$203,$A74))</f>
        <v/>
      </c>
      <c r="Q74" s="38" t="str">
        <f aca="false">IF($A74="","",IF(SUMIFS('Báo giá'!$K$4:$K$203,'Báo giá'!$C$4:$C$203,$A74,'Báo giá'!$T$4:$T$203,"x")=0,"",SUMIFS('Báo giá'!$K$4:$K$203,'Báo giá'!$C$4:$C$203,$A74,'Báo giá'!$T$4:$T$203,"x")))</f>
        <v/>
      </c>
      <c r="R74" s="38" t="str">
        <f aca="false">IF($A74="","",IF(SUMIFS('Báo giá'!$L$4:$L$203,'Báo giá'!$C$4:$C$203,$A74,'Báo giá'!$T$4:$T$203,"x")=0,"",SUMIFS('Báo giá'!$L$4:$L$203,'Báo giá'!$C$4:$C$203,$A74,'Báo giá'!$T$4:$T$203,"x")))</f>
        <v/>
      </c>
      <c r="S74" s="38" t="str">
        <f aca="false">IF($A74="","",IF($R74="","",$R74-$J74))</f>
        <v/>
      </c>
      <c r="T74" s="37" t="str">
        <f aca="false">IF($A74="","",IF(COUNTIFS(PR!$C$4:$C$203,$A74)&gt;0,"Đã lập PR","Chưa lập PR"))</f>
        <v/>
      </c>
      <c r="U74" s="32"/>
    </row>
    <row r="75" customFormat="false" ht="15" hidden="false" customHeight="false" outlineLevel="0" collapsed="false">
      <c r="A75" s="32"/>
      <c r="B75" s="33"/>
      <c r="C75" s="32"/>
      <c r="D75" s="37" t="str">
        <f aca="false">IF($C75="","",IFERROR(INDEX('Dự án'!$B$4:$B$203,MATCH($C75,'Dự án'!$A$4:$A$203,0)),""))</f>
        <v/>
      </c>
      <c r="E75" s="32"/>
      <c r="F75" s="32"/>
      <c r="G75" s="32"/>
      <c r="H75" s="34"/>
      <c r="I75" s="34"/>
      <c r="J75" s="38" t="str">
        <f aca="false">IF($A75="","",$H75*$I75)</f>
        <v/>
      </c>
      <c r="K75" s="33"/>
      <c r="L75" s="33"/>
      <c r="M75" s="38" t="str">
        <f aca="false">IF($A75="","",IF($L75="","",$L75-$B75))</f>
        <v/>
      </c>
      <c r="N75" s="32"/>
      <c r="O75" s="37" t="str">
        <f aca="true">IF($A75="","",IF($K75="","",IF($L75="",IF(TODAY()&gt;$K75,"Quá hạn chưa trả","Đang xử lý"),IF($L75&lt;=$K75,"Đúng hạn","Trả trễ"))))</f>
        <v/>
      </c>
      <c r="P75" s="38" t="str">
        <f aca="false">IF($A75="","",COUNTIFS('Báo giá'!$C$4:$C$203,$A75))</f>
        <v/>
      </c>
      <c r="Q75" s="38" t="str">
        <f aca="false">IF($A75="","",IF(SUMIFS('Báo giá'!$K$4:$K$203,'Báo giá'!$C$4:$C$203,$A75,'Báo giá'!$T$4:$T$203,"x")=0,"",SUMIFS('Báo giá'!$K$4:$K$203,'Báo giá'!$C$4:$C$203,$A75,'Báo giá'!$T$4:$T$203,"x")))</f>
        <v/>
      </c>
      <c r="R75" s="38" t="str">
        <f aca="false">IF($A75="","",IF(SUMIFS('Báo giá'!$L$4:$L$203,'Báo giá'!$C$4:$C$203,$A75,'Báo giá'!$T$4:$T$203,"x")=0,"",SUMIFS('Báo giá'!$L$4:$L$203,'Báo giá'!$C$4:$C$203,$A75,'Báo giá'!$T$4:$T$203,"x")))</f>
        <v/>
      </c>
      <c r="S75" s="38" t="str">
        <f aca="false">IF($A75="","",IF($R75="","",$R75-$J75))</f>
        <v/>
      </c>
      <c r="T75" s="37" t="str">
        <f aca="false">IF($A75="","",IF(COUNTIFS(PR!$C$4:$C$203,$A75)&gt;0,"Đã lập PR","Chưa lập PR"))</f>
        <v/>
      </c>
      <c r="U75" s="32"/>
    </row>
    <row r="76" customFormat="false" ht="15" hidden="false" customHeight="false" outlineLevel="0" collapsed="false">
      <c r="A76" s="32"/>
      <c r="B76" s="33"/>
      <c r="C76" s="32"/>
      <c r="D76" s="37" t="str">
        <f aca="false">IF($C76="","",IFERROR(INDEX('Dự án'!$B$4:$B$203,MATCH($C76,'Dự án'!$A$4:$A$203,0)),""))</f>
        <v/>
      </c>
      <c r="E76" s="32"/>
      <c r="F76" s="32"/>
      <c r="G76" s="32"/>
      <c r="H76" s="34"/>
      <c r="I76" s="34"/>
      <c r="J76" s="38" t="str">
        <f aca="false">IF($A76="","",$H76*$I76)</f>
        <v/>
      </c>
      <c r="K76" s="33"/>
      <c r="L76" s="33"/>
      <c r="M76" s="38" t="str">
        <f aca="false">IF($A76="","",IF($L76="","",$L76-$B76))</f>
        <v/>
      </c>
      <c r="N76" s="32"/>
      <c r="O76" s="37" t="str">
        <f aca="true">IF($A76="","",IF($K76="","",IF($L76="",IF(TODAY()&gt;$K76,"Quá hạn chưa trả","Đang xử lý"),IF($L76&lt;=$K76,"Đúng hạn","Trả trễ"))))</f>
        <v/>
      </c>
      <c r="P76" s="38" t="str">
        <f aca="false">IF($A76="","",COUNTIFS('Báo giá'!$C$4:$C$203,$A76))</f>
        <v/>
      </c>
      <c r="Q76" s="38" t="str">
        <f aca="false">IF($A76="","",IF(SUMIFS('Báo giá'!$K$4:$K$203,'Báo giá'!$C$4:$C$203,$A76,'Báo giá'!$T$4:$T$203,"x")=0,"",SUMIFS('Báo giá'!$K$4:$K$203,'Báo giá'!$C$4:$C$203,$A76,'Báo giá'!$T$4:$T$203,"x")))</f>
        <v/>
      </c>
      <c r="R76" s="38" t="str">
        <f aca="false">IF($A76="","",IF(SUMIFS('Báo giá'!$L$4:$L$203,'Báo giá'!$C$4:$C$203,$A76,'Báo giá'!$T$4:$T$203,"x")=0,"",SUMIFS('Báo giá'!$L$4:$L$203,'Báo giá'!$C$4:$C$203,$A76,'Báo giá'!$T$4:$T$203,"x")))</f>
        <v/>
      </c>
      <c r="S76" s="38" t="str">
        <f aca="false">IF($A76="","",IF($R76="","",$R76-$J76))</f>
        <v/>
      </c>
      <c r="T76" s="37" t="str">
        <f aca="false">IF($A76="","",IF(COUNTIFS(PR!$C$4:$C$203,$A76)&gt;0,"Đã lập PR","Chưa lập PR"))</f>
        <v/>
      </c>
      <c r="U76" s="32"/>
    </row>
    <row r="77" customFormat="false" ht="15" hidden="false" customHeight="false" outlineLevel="0" collapsed="false">
      <c r="A77" s="32"/>
      <c r="B77" s="33"/>
      <c r="C77" s="32"/>
      <c r="D77" s="37" t="str">
        <f aca="false">IF($C77="","",IFERROR(INDEX('Dự án'!$B$4:$B$203,MATCH($C77,'Dự án'!$A$4:$A$203,0)),""))</f>
        <v/>
      </c>
      <c r="E77" s="32"/>
      <c r="F77" s="32"/>
      <c r="G77" s="32"/>
      <c r="H77" s="34"/>
      <c r="I77" s="34"/>
      <c r="J77" s="38" t="str">
        <f aca="false">IF($A77="","",$H77*$I77)</f>
        <v/>
      </c>
      <c r="K77" s="33"/>
      <c r="L77" s="33"/>
      <c r="M77" s="38" t="str">
        <f aca="false">IF($A77="","",IF($L77="","",$L77-$B77))</f>
        <v/>
      </c>
      <c r="N77" s="32"/>
      <c r="O77" s="37" t="str">
        <f aca="true">IF($A77="","",IF($K77="","",IF($L77="",IF(TODAY()&gt;$K77,"Quá hạn chưa trả","Đang xử lý"),IF($L77&lt;=$K77,"Đúng hạn","Trả trễ"))))</f>
        <v/>
      </c>
      <c r="P77" s="38" t="str">
        <f aca="false">IF($A77="","",COUNTIFS('Báo giá'!$C$4:$C$203,$A77))</f>
        <v/>
      </c>
      <c r="Q77" s="38" t="str">
        <f aca="false">IF($A77="","",IF(SUMIFS('Báo giá'!$K$4:$K$203,'Báo giá'!$C$4:$C$203,$A77,'Báo giá'!$T$4:$T$203,"x")=0,"",SUMIFS('Báo giá'!$K$4:$K$203,'Báo giá'!$C$4:$C$203,$A77,'Báo giá'!$T$4:$T$203,"x")))</f>
        <v/>
      </c>
      <c r="R77" s="38" t="str">
        <f aca="false">IF($A77="","",IF(SUMIFS('Báo giá'!$L$4:$L$203,'Báo giá'!$C$4:$C$203,$A77,'Báo giá'!$T$4:$T$203,"x")=0,"",SUMIFS('Báo giá'!$L$4:$L$203,'Báo giá'!$C$4:$C$203,$A77,'Báo giá'!$T$4:$T$203,"x")))</f>
        <v/>
      </c>
      <c r="S77" s="38" t="str">
        <f aca="false">IF($A77="","",IF($R77="","",$R77-$J77))</f>
        <v/>
      </c>
      <c r="T77" s="37" t="str">
        <f aca="false">IF($A77="","",IF(COUNTIFS(PR!$C$4:$C$203,$A77)&gt;0,"Đã lập PR","Chưa lập PR"))</f>
        <v/>
      </c>
      <c r="U77" s="32"/>
    </row>
    <row r="78" customFormat="false" ht="15" hidden="false" customHeight="false" outlineLevel="0" collapsed="false">
      <c r="A78" s="32"/>
      <c r="B78" s="33"/>
      <c r="C78" s="32"/>
      <c r="D78" s="37" t="str">
        <f aca="false">IF($C78="","",IFERROR(INDEX('Dự án'!$B$4:$B$203,MATCH($C78,'Dự án'!$A$4:$A$203,0)),""))</f>
        <v/>
      </c>
      <c r="E78" s="32"/>
      <c r="F78" s="32"/>
      <c r="G78" s="32"/>
      <c r="H78" s="34"/>
      <c r="I78" s="34"/>
      <c r="J78" s="38" t="str">
        <f aca="false">IF($A78="","",$H78*$I78)</f>
        <v/>
      </c>
      <c r="K78" s="33"/>
      <c r="L78" s="33"/>
      <c r="M78" s="38" t="str">
        <f aca="false">IF($A78="","",IF($L78="","",$L78-$B78))</f>
        <v/>
      </c>
      <c r="N78" s="32"/>
      <c r="O78" s="37" t="str">
        <f aca="true">IF($A78="","",IF($K78="","",IF($L78="",IF(TODAY()&gt;$K78,"Quá hạn chưa trả","Đang xử lý"),IF($L78&lt;=$K78,"Đúng hạn","Trả trễ"))))</f>
        <v/>
      </c>
      <c r="P78" s="38" t="str">
        <f aca="false">IF($A78="","",COUNTIFS('Báo giá'!$C$4:$C$203,$A78))</f>
        <v/>
      </c>
      <c r="Q78" s="38" t="str">
        <f aca="false">IF($A78="","",IF(SUMIFS('Báo giá'!$K$4:$K$203,'Báo giá'!$C$4:$C$203,$A78,'Báo giá'!$T$4:$T$203,"x")=0,"",SUMIFS('Báo giá'!$K$4:$K$203,'Báo giá'!$C$4:$C$203,$A78,'Báo giá'!$T$4:$T$203,"x")))</f>
        <v/>
      </c>
      <c r="R78" s="38" t="str">
        <f aca="false">IF($A78="","",IF(SUMIFS('Báo giá'!$L$4:$L$203,'Báo giá'!$C$4:$C$203,$A78,'Báo giá'!$T$4:$T$203,"x")=0,"",SUMIFS('Báo giá'!$L$4:$L$203,'Báo giá'!$C$4:$C$203,$A78,'Báo giá'!$T$4:$T$203,"x")))</f>
        <v/>
      </c>
      <c r="S78" s="38" t="str">
        <f aca="false">IF($A78="","",IF($R78="","",$R78-$J78))</f>
        <v/>
      </c>
      <c r="T78" s="37" t="str">
        <f aca="false">IF($A78="","",IF(COUNTIFS(PR!$C$4:$C$203,$A78)&gt;0,"Đã lập PR","Chưa lập PR"))</f>
        <v/>
      </c>
      <c r="U78" s="32"/>
    </row>
    <row r="79" customFormat="false" ht="15" hidden="false" customHeight="false" outlineLevel="0" collapsed="false">
      <c r="A79" s="32"/>
      <c r="B79" s="33"/>
      <c r="C79" s="32"/>
      <c r="D79" s="37" t="str">
        <f aca="false">IF($C79="","",IFERROR(INDEX('Dự án'!$B$4:$B$203,MATCH($C79,'Dự án'!$A$4:$A$203,0)),""))</f>
        <v/>
      </c>
      <c r="E79" s="32"/>
      <c r="F79" s="32"/>
      <c r="G79" s="32"/>
      <c r="H79" s="34"/>
      <c r="I79" s="34"/>
      <c r="J79" s="38" t="str">
        <f aca="false">IF($A79="","",$H79*$I79)</f>
        <v/>
      </c>
      <c r="K79" s="33"/>
      <c r="L79" s="33"/>
      <c r="M79" s="38" t="str">
        <f aca="false">IF($A79="","",IF($L79="","",$L79-$B79))</f>
        <v/>
      </c>
      <c r="N79" s="32"/>
      <c r="O79" s="37" t="str">
        <f aca="true">IF($A79="","",IF($K79="","",IF($L79="",IF(TODAY()&gt;$K79,"Quá hạn chưa trả","Đang xử lý"),IF($L79&lt;=$K79,"Đúng hạn","Trả trễ"))))</f>
        <v/>
      </c>
      <c r="P79" s="38" t="str">
        <f aca="false">IF($A79="","",COUNTIFS('Báo giá'!$C$4:$C$203,$A79))</f>
        <v/>
      </c>
      <c r="Q79" s="38" t="str">
        <f aca="false">IF($A79="","",IF(SUMIFS('Báo giá'!$K$4:$K$203,'Báo giá'!$C$4:$C$203,$A79,'Báo giá'!$T$4:$T$203,"x")=0,"",SUMIFS('Báo giá'!$K$4:$K$203,'Báo giá'!$C$4:$C$203,$A79,'Báo giá'!$T$4:$T$203,"x")))</f>
        <v/>
      </c>
      <c r="R79" s="38" t="str">
        <f aca="false">IF($A79="","",IF(SUMIFS('Báo giá'!$L$4:$L$203,'Báo giá'!$C$4:$C$203,$A79,'Báo giá'!$T$4:$T$203,"x")=0,"",SUMIFS('Báo giá'!$L$4:$L$203,'Báo giá'!$C$4:$C$203,$A79,'Báo giá'!$T$4:$T$203,"x")))</f>
        <v/>
      </c>
      <c r="S79" s="38" t="str">
        <f aca="false">IF($A79="","",IF($R79="","",$R79-$J79))</f>
        <v/>
      </c>
      <c r="T79" s="37" t="str">
        <f aca="false">IF($A79="","",IF(COUNTIFS(PR!$C$4:$C$203,$A79)&gt;0,"Đã lập PR","Chưa lập PR"))</f>
        <v/>
      </c>
      <c r="U79" s="32"/>
    </row>
    <row r="80" customFormat="false" ht="15" hidden="false" customHeight="false" outlineLevel="0" collapsed="false">
      <c r="A80" s="32"/>
      <c r="B80" s="33"/>
      <c r="C80" s="32"/>
      <c r="D80" s="37" t="str">
        <f aca="false">IF($C80="","",IFERROR(INDEX('Dự án'!$B$4:$B$203,MATCH($C80,'Dự án'!$A$4:$A$203,0)),""))</f>
        <v/>
      </c>
      <c r="E80" s="32"/>
      <c r="F80" s="32"/>
      <c r="G80" s="32"/>
      <c r="H80" s="34"/>
      <c r="I80" s="34"/>
      <c r="J80" s="38" t="str">
        <f aca="false">IF($A80="","",$H80*$I80)</f>
        <v/>
      </c>
      <c r="K80" s="33"/>
      <c r="L80" s="33"/>
      <c r="M80" s="38" t="str">
        <f aca="false">IF($A80="","",IF($L80="","",$L80-$B80))</f>
        <v/>
      </c>
      <c r="N80" s="32"/>
      <c r="O80" s="37" t="str">
        <f aca="true">IF($A80="","",IF($K80="","",IF($L80="",IF(TODAY()&gt;$K80,"Quá hạn chưa trả","Đang xử lý"),IF($L80&lt;=$K80,"Đúng hạn","Trả trễ"))))</f>
        <v/>
      </c>
      <c r="P80" s="38" t="str">
        <f aca="false">IF($A80="","",COUNTIFS('Báo giá'!$C$4:$C$203,$A80))</f>
        <v/>
      </c>
      <c r="Q80" s="38" t="str">
        <f aca="false">IF($A80="","",IF(SUMIFS('Báo giá'!$K$4:$K$203,'Báo giá'!$C$4:$C$203,$A80,'Báo giá'!$T$4:$T$203,"x")=0,"",SUMIFS('Báo giá'!$K$4:$K$203,'Báo giá'!$C$4:$C$203,$A80,'Báo giá'!$T$4:$T$203,"x")))</f>
        <v/>
      </c>
      <c r="R80" s="38" t="str">
        <f aca="false">IF($A80="","",IF(SUMIFS('Báo giá'!$L$4:$L$203,'Báo giá'!$C$4:$C$203,$A80,'Báo giá'!$T$4:$T$203,"x")=0,"",SUMIFS('Báo giá'!$L$4:$L$203,'Báo giá'!$C$4:$C$203,$A80,'Báo giá'!$T$4:$T$203,"x")))</f>
        <v/>
      </c>
      <c r="S80" s="38" t="str">
        <f aca="false">IF($A80="","",IF($R80="","",$R80-$J80))</f>
        <v/>
      </c>
      <c r="T80" s="37" t="str">
        <f aca="false">IF($A80="","",IF(COUNTIFS(PR!$C$4:$C$203,$A80)&gt;0,"Đã lập PR","Chưa lập PR"))</f>
        <v/>
      </c>
      <c r="U80" s="32"/>
    </row>
    <row r="81" customFormat="false" ht="15" hidden="false" customHeight="false" outlineLevel="0" collapsed="false">
      <c r="A81" s="32"/>
      <c r="B81" s="33"/>
      <c r="C81" s="32"/>
      <c r="D81" s="37" t="str">
        <f aca="false">IF($C81="","",IFERROR(INDEX('Dự án'!$B$4:$B$203,MATCH($C81,'Dự án'!$A$4:$A$203,0)),""))</f>
        <v/>
      </c>
      <c r="E81" s="32"/>
      <c r="F81" s="32"/>
      <c r="G81" s="32"/>
      <c r="H81" s="34"/>
      <c r="I81" s="34"/>
      <c r="J81" s="38" t="str">
        <f aca="false">IF($A81="","",$H81*$I81)</f>
        <v/>
      </c>
      <c r="K81" s="33"/>
      <c r="L81" s="33"/>
      <c r="M81" s="38" t="str">
        <f aca="false">IF($A81="","",IF($L81="","",$L81-$B81))</f>
        <v/>
      </c>
      <c r="N81" s="32"/>
      <c r="O81" s="37" t="str">
        <f aca="true">IF($A81="","",IF($K81="","",IF($L81="",IF(TODAY()&gt;$K81,"Quá hạn chưa trả","Đang xử lý"),IF($L81&lt;=$K81,"Đúng hạn","Trả trễ"))))</f>
        <v/>
      </c>
      <c r="P81" s="38" t="str">
        <f aca="false">IF($A81="","",COUNTIFS('Báo giá'!$C$4:$C$203,$A81))</f>
        <v/>
      </c>
      <c r="Q81" s="38" t="str">
        <f aca="false">IF($A81="","",IF(SUMIFS('Báo giá'!$K$4:$K$203,'Báo giá'!$C$4:$C$203,$A81,'Báo giá'!$T$4:$T$203,"x")=0,"",SUMIFS('Báo giá'!$K$4:$K$203,'Báo giá'!$C$4:$C$203,$A81,'Báo giá'!$T$4:$T$203,"x")))</f>
        <v/>
      </c>
      <c r="R81" s="38" t="str">
        <f aca="false">IF($A81="","",IF(SUMIFS('Báo giá'!$L$4:$L$203,'Báo giá'!$C$4:$C$203,$A81,'Báo giá'!$T$4:$T$203,"x")=0,"",SUMIFS('Báo giá'!$L$4:$L$203,'Báo giá'!$C$4:$C$203,$A81,'Báo giá'!$T$4:$T$203,"x")))</f>
        <v/>
      </c>
      <c r="S81" s="38" t="str">
        <f aca="false">IF($A81="","",IF($R81="","",$R81-$J81))</f>
        <v/>
      </c>
      <c r="T81" s="37" t="str">
        <f aca="false">IF($A81="","",IF(COUNTIFS(PR!$C$4:$C$203,$A81)&gt;0,"Đã lập PR","Chưa lập PR"))</f>
        <v/>
      </c>
      <c r="U81" s="32"/>
    </row>
    <row r="82" customFormat="false" ht="15" hidden="false" customHeight="false" outlineLevel="0" collapsed="false">
      <c r="A82" s="32"/>
      <c r="B82" s="33"/>
      <c r="C82" s="32"/>
      <c r="D82" s="37" t="str">
        <f aca="false">IF($C82="","",IFERROR(INDEX('Dự án'!$B$4:$B$203,MATCH($C82,'Dự án'!$A$4:$A$203,0)),""))</f>
        <v/>
      </c>
      <c r="E82" s="32"/>
      <c r="F82" s="32"/>
      <c r="G82" s="32"/>
      <c r="H82" s="34"/>
      <c r="I82" s="34"/>
      <c r="J82" s="38" t="str">
        <f aca="false">IF($A82="","",$H82*$I82)</f>
        <v/>
      </c>
      <c r="K82" s="33"/>
      <c r="L82" s="33"/>
      <c r="M82" s="38" t="str">
        <f aca="false">IF($A82="","",IF($L82="","",$L82-$B82))</f>
        <v/>
      </c>
      <c r="N82" s="32"/>
      <c r="O82" s="37" t="str">
        <f aca="true">IF($A82="","",IF($K82="","",IF($L82="",IF(TODAY()&gt;$K82,"Quá hạn chưa trả","Đang xử lý"),IF($L82&lt;=$K82,"Đúng hạn","Trả trễ"))))</f>
        <v/>
      </c>
      <c r="P82" s="38" t="str">
        <f aca="false">IF($A82="","",COUNTIFS('Báo giá'!$C$4:$C$203,$A82))</f>
        <v/>
      </c>
      <c r="Q82" s="38" t="str">
        <f aca="false">IF($A82="","",IF(SUMIFS('Báo giá'!$K$4:$K$203,'Báo giá'!$C$4:$C$203,$A82,'Báo giá'!$T$4:$T$203,"x")=0,"",SUMIFS('Báo giá'!$K$4:$K$203,'Báo giá'!$C$4:$C$203,$A82,'Báo giá'!$T$4:$T$203,"x")))</f>
        <v/>
      </c>
      <c r="R82" s="38" t="str">
        <f aca="false">IF($A82="","",IF(SUMIFS('Báo giá'!$L$4:$L$203,'Báo giá'!$C$4:$C$203,$A82,'Báo giá'!$T$4:$T$203,"x")=0,"",SUMIFS('Báo giá'!$L$4:$L$203,'Báo giá'!$C$4:$C$203,$A82,'Báo giá'!$T$4:$T$203,"x")))</f>
        <v/>
      </c>
      <c r="S82" s="38" t="str">
        <f aca="false">IF($A82="","",IF($R82="","",$R82-$J82))</f>
        <v/>
      </c>
      <c r="T82" s="37" t="str">
        <f aca="false">IF($A82="","",IF(COUNTIFS(PR!$C$4:$C$203,$A82)&gt;0,"Đã lập PR","Chưa lập PR"))</f>
        <v/>
      </c>
      <c r="U82" s="32"/>
    </row>
    <row r="83" customFormat="false" ht="15" hidden="false" customHeight="false" outlineLevel="0" collapsed="false">
      <c r="A83" s="32"/>
      <c r="B83" s="33"/>
      <c r="C83" s="32"/>
      <c r="D83" s="37" t="str">
        <f aca="false">IF($C83="","",IFERROR(INDEX('Dự án'!$B$4:$B$203,MATCH($C83,'Dự án'!$A$4:$A$203,0)),""))</f>
        <v/>
      </c>
      <c r="E83" s="32"/>
      <c r="F83" s="32"/>
      <c r="G83" s="32"/>
      <c r="H83" s="34"/>
      <c r="I83" s="34"/>
      <c r="J83" s="38" t="str">
        <f aca="false">IF($A83="","",$H83*$I83)</f>
        <v/>
      </c>
      <c r="K83" s="33"/>
      <c r="L83" s="33"/>
      <c r="M83" s="38" t="str">
        <f aca="false">IF($A83="","",IF($L83="","",$L83-$B83))</f>
        <v/>
      </c>
      <c r="N83" s="32"/>
      <c r="O83" s="37" t="str">
        <f aca="true">IF($A83="","",IF($K83="","",IF($L83="",IF(TODAY()&gt;$K83,"Quá hạn chưa trả","Đang xử lý"),IF($L83&lt;=$K83,"Đúng hạn","Trả trễ"))))</f>
        <v/>
      </c>
      <c r="P83" s="38" t="str">
        <f aca="false">IF($A83="","",COUNTIFS('Báo giá'!$C$4:$C$203,$A83))</f>
        <v/>
      </c>
      <c r="Q83" s="38" t="str">
        <f aca="false">IF($A83="","",IF(SUMIFS('Báo giá'!$K$4:$K$203,'Báo giá'!$C$4:$C$203,$A83,'Báo giá'!$T$4:$T$203,"x")=0,"",SUMIFS('Báo giá'!$K$4:$K$203,'Báo giá'!$C$4:$C$203,$A83,'Báo giá'!$T$4:$T$203,"x")))</f>
        <v/>
      </c>
      <c r="R83" s="38" t="str">
        <f aca="false">IF($A83="","",IF(SUMIFS('Báo giá'!$L$4:$L$203,'Báo giá'!$C$4:$C$203,$A83,'Báo giá'!$T$4:$T$203,"x")=0,"",SUMIFS('Báo giá'!$L$4:$L$203,'Báo giá'!$C$4:$C$203,$A83,'Báo giá'!$T$4:$T$203,"x")))</f>
        <v/>
      </c>
      <c r="S83" s="38" t="str">
        <f aca="false">IF($A83="","",IF($R83="","",$R83-$J83))</f>
        <v/>
      </c>
      <c r="T83" s="37" t="str">
        <f aca="false">IF($A83="","",IF(COUNTIFS(PR!$C$4:$C$203,$A83)&gt;0,"Đã lập PR","Chưa lập PR"))</f>
        <v/>
      </c>
      <c r="U83" s="32"/>
    </row>
    <row r="84" customFormat="false" ht="15" hidden="false" customHeight="false" outlineLevel="0" collapsed="false">
      <c r="A84" s="32"/>
      <c r="B84" s="33"/>
      <c r="C84" s="32"/>
      <c r="D84" s="37" t="str">
        <f aca="false">IF($C84="","",IFERROR(INDEX('Dự án'!$B$4:$B$203,MATCH($C84,'Dự án'!$A$4:$A$203,0)),""))</f>
        <v/>
      </c>
      <c r="E84" s="32"/>
      <c r="F84" s="32"/>
      <c r="G84" s="32"/>
      <c r="H84" s="34"/>
      <c r="I84" s="34"/>
      <c r="J84" s="38" t="str">
        <f aca="false">IF($A84="","",$H84*$I84)</f>
        <v/>
      </c>
      <c r="K84" s="33"/>
      <c r="L84" s="33"/>
      <c r="M84" s="38" t="str">
        <f aca="false">IF($A84="","",IF($L84="","",$L84-$B84))</f>
        <v/>
      </c>
      <c r="N84" s="32"/>
      <c r="O84" s="37" t="str">
        <f aca="true">IF($A84="","",IF($K84="","",IF($L84="",IF(TODAY()&gt;$K84,"Quá hạn chưa trả","Đang xử lý"),IF($L84&lt;=$K84,"Đúng hạn","Trả trễ"))))</f>
        <v/>
      </c>
      <c r="P84" s="38" t="str">
        <f aca="false">IF($A84="","",COUNTIFS('Báo giá'!$C$4:$C$203,$A84))</f>
        <v/>
      </c>
      <c r="Q84" s="38" t="str">
        <f aca="false">IF($A84="","",IF(SUMIFS('Báo giá'!$K$4:$K$203,'Báo giá'!$C$4:$C$203,$A84,'Báo giá'!$T$4:$T$203,"x")=0,"",SUMIFS('Báo giá'!$K$4:$K$203,'Báo giá'!$C$4:$C$203,$A84,'Báo giá'!$T$4:$T$203,"x")))</f>
        <v/>
      </c>
      <c r="R84" s="38" t="str">
        <f aca="false">IF($A84="","",IF(SUMIFS('Báo giá'!$L$4:$L$203,'Báo giá'!$C$4:$C$203,$A84,'Báo giá'!$T$4:$T$203,"x")=0,"",SUMIFS('Báo giá'!$L$4:$L$203,'Báo giá'!$C$4:$C$203,$A84,'Báo giá'!$T$4:$T$203,"x")))</f>
        <v/>
      </c>
      <c r="S84" s="38" t="str">
        <f aca="false">IF($A84="","",IF($R84="","",$R84-$J84))</f>
        <v/>
      </c>
      <c r="T84" s="37" t="str">
        <f aca="false">IF($A84="","",IF(COUNTIFS(PR!$C$4:$C$203,$A84)&gt;0,"Đã lập PR","Chưa lập PR"))</f>
        <v/>
      </c>
      <c r="U84" s="32"/>
    </row>
    <row r="85" customFormat="false" ht="15" hidden="false" customHeight="false" outlineLevel="0" collapsed="false">
      <c r="A85" s="32"/>
      <c r="B85" s="33"/>
      <c r="C85" s="32"/>
      <c r="D85" s="37" t="str">
        <f aca="false">IF($C85="","",IFERROR(INDEX('Dự án'!$B$4:$B$203,MATCH($C85,'Dự án'!$A$4:$A$203,0)),""))</f>
        <v/>
      </c>
      <c r="E85" s="32"/>
      <c r="F85" s="32"/>
      <c r="G85" s="32"/>
      <c r="H85" s="34"/>
      <c r="I85" s="34"/>
      <c r="J85" s="38" t="str">
        <f aca="false">IF($A85="","",$H85*$I85)</f>
        <v/>
      </c>
      <c r="K85" s="33"/>
      <c r="L85" s="33"/>
      <c r="M85" s="38" t="str">
        <f aca="false">IF($A85="","",IF($L85="","",$L85-$B85))</f>
        <v/>
      </c>
      <c r="N85" s="32"/>
      <c r="O85" s="37" t="str">
        <f aca="true">IF($A85="","",IF($K85="","",IF($L85="",IF(TODAY()&gt;$K85,"Quá hạn chưa trả","Đang xử lý"),IF($L85&lt;=$K85,"Đúng hạn","Trả trễ"))))</f>
        <v/>
      </c>
      <c r="P85" s="38" t="str">
        <f aca="false">IF($A85="","",COUNTIFS('Báo giá'!$C$4:$C$203,$A85))</f>
        <v/>
      </c>
      <c r="Q85" s="38" t="str">
        <f aca="false">IF($A85="","",IF(SUMIFS('Báo giá'!$K$4:$K$203,'Báo giá'!$C$4:$C$203,$A85,'Báo giá'!$T$4:$T$203,"x")=0,"",SUMIFS('Báo giá'!$K$4:$K$203,'Báo giá'!$C$4:$C$203,$A85,'Báo giá'!$T$4:$T$203,"x")))</f>
        <v/>
      </c>
      <c r="R85" s="38" t="str">
        <f aca="false">IF($A85="","",IF(SUMIFS('Báo giá'!$L$4:$L$203,'Báo giá'!$C$4:$C$203,$A85,'Báo giá'!$T$4:$T$203,"x")=0,"",SUMIFS('Báo giá'!$L$4:$L$203,'Báo giá'!$C$4:$C$203,$A85,'Báo giá'!$T$4:$T$203,"x")))</f>
        <v/>
      </c>
      <c r="S85" s="38" t="str">
        <f aca="false">IF($A85="","",IF($R85="","",$R85-$J85))</f>
        <v/>
      </c>
      <c r="T85" s="37" t="str">
        <f aca="false">IF($A85="","",IF(COUNTIFS(PR!$C$4:$C$203,$A85)&gt;0,"Đã lập PR","Chưa lập PR"))</f>
        <v/>
      </c>
      <c r="U85" s="32"/>
    </row>
    <row r="86" customFormat="false" ht="15" hidden="false" customHeight="false" outlineLevel="0" collapsed="false">
      <c r="A86" s="32"/>
      <c r="B86" s="33"/>
      <c r="C86" s="32"/>
      <c r="D86" s="37" t="str">
        <f aca="false">IF($C86="","",IFERROR(INDEX('Dự án'!$B$4:$B$203,MATCH($C86,'Dự án'!$A$4:$A$203,0)),""))</f>
        <v/>
      </c>
      <c r="E86" s="32"/>
      <c r="F86" s="32"/>
      <c r="G86" s="32"/>
      <c r="H86" s="34"/>
      <c r="I86" s="34"/>
      <c r="J86" s="38" t="str">
        <f aca="false">IF($A86="","",$H86*$I86)</f>
        <v/>
      </c>
      <c r="K86" s="33"/>
      <c r="L86" s="33"/>
      <c r="M86" s="38" t="str">
        <f aca="false">IF($A86="","",IF($L86="","",$L86-$B86))</f>
        <v/>
      </c>
      <c r="N86" s="32"/>
      <c r="O86" s="37" t="str">
        <f aca="true">IF($A86="","",IF($K86="","",IF($L86="",IF(TODAY()&gt;$K86,"Quá hạn chưa trả","Đang xử lý"),IF($L86&lt;=$K86,"Đúng hạn","Trả trễ"))))</f>
        <v/>
      </c>
      <c r="P86" s="38" t="str">
        <f aca="false">IF($A86="","",COUNTIFS('Báo giá'!$C$4:$C$203,$A86))</f>
        <v/>
      </c>
      <c r="Q86" s="38" t="str">
        <f aca="false">IF($A86="","",IF(SUMIFS('Báo giá'!$K$4:$K$203,'Báo giá'!$C$4:$C$203,$A86,'Báo giá'!$T$4:$T$203,"x")=0,"",SUMIFS('Báo giá'!$K$4:$K$203,'Báo giá'!$C$4:$C$203,$A86,'Báo giá'!$T$4:$T$203,"x")))</f>
        <v/>
      </c>
      <c r="R86" s="38" t="str">
        <f aca="false">IF($A86="","",IF(SUMIFS('Báo giá'!$L$4:$L$203,'Báo giá'!$C$4:$C$203,$A86,'Báo giá'!$T$4:$T$203,"x")=0,"",SUMIFS('Báo giá'!$L$4:$L$203,'Báo giá'!$C$4:$C$203,$A86,'Báo giá'!$T$4:$T$203,"x")))</f>
        <v/>
      </c>
      <c r="S86" s="38" t="str">
        <f aca="false">IF($A86="","",IF($R86="","",$R86-$J86))</f>
        <v/>
      </c>
      <c r="T86" s="37" t="str">
        <f aca="false">IF($A86="","",IF(COUNTIFS(PR!$C$4:$C$203,$A86)&gt;0,"Đã lập PR","Chưa lập PR"))</f>
        <v/>
      </c>
      <c r="U86" s="32"/>
    </row>
    <row r="87" customFormat="false" ht="15" hidden="false" customHeight="false" outlineLevel="0" collapsed="false">
      <c r="A87" s="32"/>
      <c r="B87" s="33"/>
      <c r="C87" s="32"/>
      <c r="D87" s="37" t="str">
        <f aca="false">IF($C87="","",IFERROR(INDEX('Dự án'!$B$4:$B$203,MATCH($C87,'Dự án'!$A$4:$A$203,0)),""))</f>
        <v/>
      </c>
      <c r="E87" s="32"/>
      <c r="F87" s="32"/>
      <c r="G87" s="32"/>
      <c r="H87" s="34"/>
      <c r="I87" s="34"/>
      <c r="J87" s="38" t="str">
        <f aca="false">IF($A87="","",$H87*$I87)</f>
        <v/>
      </c>
      <c r="K87" s="33"/>
      <c r="L87" s="33"/>
      <c r="M87" s="38" t="str">
        <f aca="false">IF($A87="","",IF($L87="","",$L87-$B87))</f>
        <v/>
      </c>
      <c r="N87" s="32"/>
      <c r="O87" s="37" t="str">
        <f aca="true">IF($A87="","",IF($K87="","",IF($L87="",IF(TODAY()&gt;$K87,"Quá hạn chưa trả","Đang xử lý"),IF($L87&lt;=$K87,"Đúng hạn","Trả trễ"))))</f>
        <v/>
      </c>
      <c r="P87" s="38" t="str">
        <f aca="false">IF($A87="","",COUNTIFS('Báo giá'!$C$4:$C$203,$A87))</f>
        <v/>
      </c>
      <c r="Q87" s="38" t="str">
        <f aca="false">IF($A87="","",IF(SUMIFS('Báo giá'!$K$4:$K$203,'Báo giá'!$C$4:$C$203,$A87,'Báo giá'!$T$4:$T$203,"x")=0,"",SUMIFS('Báo giá'!$K$4:$K$203,'Báo giá'!$C$4:$C$203,$A87,'Báo giá'!$T$4:$T$203,"x")))</f>
        <v/>
      </c>
      <c r="R87" s="38" t="str">
        <f aca="false">IF($A87="","",IF(SUMIFS('Báo giá'!$L$4:$L$203,'Báo giá'!$C$4:$C$203,$A87,'Báo giá'!$T$4:$T$203,"x")=0,"",SUMIFS('Báo giá'!$L$4:$L$203,'Báo giá'!$C$4:$C$203,$A87,'Báo giá'!$T$4:$T$203,"x")))</f>
        <v/>
      </c>
      <c r="S87" s="38" t="str">
        <f aca="false">IF($A87="","",IF($R87="","",$R87-$J87))</f>
        <v/>
      </c>
      <c r="T87" s="37" t="str">
        <f aca="false">IF($A87="","",IF(COUNTIFS(PR!$C$4:$C$203,$A87)&gt;0,"Đã lập PR","Chưa lập PR"))</f>
        <v/>
      </c>
      <c r="U87" s="32"/>
    </row>
    <row r="88" customFormat="false" ht="15" hidden="false" customHeight="false" outlineLevel="0" collapsed="false">
      <c r="A88" s="32"/>
      <c r="B88" s="33"/>
      <c r="C88" s="32"/>
      <c r="D88" s="37" t="str">
        <f aca="false">IF($C88="","",IFERROR(INDEX('Dự án'!$B$4:$B$203,MATCH($C88,'Dự án'!$A$4:$A$203,0)),""))</f>
        <v/>
      </c>
      <c r="E88" s="32"/>
      <c r="F88" s="32"/>
      <c r="G88" s="32"/>
      <c r="H88" s="34"/>
      <c r="I88" s="34"/>
      <c r="J88" s="38" t="str">
        <f aca="false">IF($A88="","",$H88*$I88)</f>
        <v/>
      </c>
      <c r="K88" s="33"/>
      <c r="L88" s="33"/>
      <c r="M88" s="38" t="str">
        <f aca="false">IF($A88="","",IF($L88="","",$L88-$B88))</f>
        <v/>
      </c>
      <c r="N88" s="32"/>
      <c r="O88" s="37" t="str">
        <f aca="true">IF($A88="","",IF($K88="","",IF($L88="",IF(TODAY()&gt;$K88,"Quá hạn chưa trả","Đang xử lý"),IF($L88&lt;=$K88,"Đúng hạn","Trả trễ"))))</f>
        <v/>
      </c>
      <c r="P88" s="38" t="str">
        <f aca="false">IF($A88="","",COUNTIFS('Báo giá'!$C$4:$C$203,$A88))</f>
        <v/>
      </c>
      <c r="Q88" s="38" t="str">
        <f aca="false">IF($A88="","",IF(SUMIFS('Báo giá'!$K$4:$K$203,'Báo giá'!$C$4:$C$203,$A88,'Báo giá'!$T$4:$T$203,"x")=0,"",SUMIFS('Báo giá'!$K$4:$K$203,'Báo giá'!$C$4:$C$203,$A88,'Báo giá'!$T$4:$T$203,"x")))</f>
        <v/>
      </c>
      <c r="R88" s="38" t="str">
        <f aca="false">IF($A88="","",IF(SUMIFS('Báo giá'!$L$4:$L$203,'Báo giá'!$C$4:$C$203,$A88,'Báo giá'!$T$4:$T$203,"x")=0,"",SUMIFS('Báo giá'!$L$4:$L$203,'Báo giá'!$C$4:$C$203,$A88,'Báo giá'!$T$4:$T$203,"x")))</f>
        <v/>
      </c>
      <c r="S88" s="38" t="str">
        <f aca="false">IF($A88="","",IF($R88="","",$R88-$J88))</f>
        <v/>
      </c>
      <c r="T88" s="37" t="str">
        <f aca="false">IF($A88="","",IF(COUNTIFS(PR!$C$4:$C$203,$A88)&gt;0,"Đã lập PR","Chưa lập PR"))</f>
        <v/>
      </c>
      <c r="U88" s="32"/>
    </row>
    <row r="89" customFormat="false" ht="15" hidden="false" customHeight="false" outlineLevel="0" collapsed="false">
      <c r="A89" s="32"/>
      <c r="B89" s="33"/>
      <c r="C89" s="32"/>
      <c r="D89" s="37" t="str">
        <f aca="false">IF($C89="","",IFERROR(INDEX('Dự án'!$B$4:$B$203,MATCH($C89,'Dự án'!$A$4:$A$203,0)),""))</f>
        <v/>
      </c>
      <c r="E89" s="32"/>
      <c r="F89" s="32"/>
      <c r="G89" s="32"/>
      <c r="H89" s="34"/>
      <c r="I89" s="34"/>
      <c r="J89" s="38" t="str">
        <f aca="false">IF($A89="","",$H89*$I89)</f>
        <v/>
      </c>
      <c r="K89" s="33"/>
      <c r="L89" s="33"/>
      <c r="M89" s="38" t="str">
        <f aca="false">IF($A89="","",IF($L89="","",$L89-$B89))</f>
        <v/>
      </c>
      <c r="N89" s="32"/>
      <c r="O89" s="37" t="str">
        <f aca="true">IF($A89="","",IF($K89="","",IF($L89="",IF(TODAY()&gt;$K89,"Quá hạn chưa trả","Đang xử lý"),IF($L89&lt;=$K89,"Đúng hạn","Trả trễ"))))</f>
        <v/>
      </c>
      <c r="P89" s="38" t="str">
        <f aca="false">IF($A89="","",COUNTIFS('Báo giá'!$C$4:$C$203,$A89))</f>
        <v/>
      </c>
      <c r="Q89" s="38" t="str">
        <f aca="false">IF($A89="","",IF(SUMIFS('Báo giá'!$K$4:$K$203,'Báo giá'!$C$4:$C$203,$A89,'Báo giá'!$T$4:$T$203,"x")=0,"",SUMIFS('Báo giá'!$K$4:$K$203,'Báo giá'!$C$4:$C$203,$A89,'Báo giá'!$T$4:$T$203,"x")))</f>
        <v/>
      </c>
      <c r="R89" s="38" t="str">
        <f aca="false">IF($A89="","",IF(SUMIFS('Báo giá'!$L$4:$L$203,'Báo giá'!$C$4:$C$203,$A89,'Báo giá'!$T$4:$T$203,"x")=0,"",SUMIFS('Báo giá'!$L$4:$L$203,'Báo giá'!$C$4:$C$203,$A89,'Báo giá'!$T$4:$T$203,"x")))</f>
        <v/>
      </c>
      <c r="S89" s="38" t="str">
        <f aca="false">IF($A89="","",IF($R89="","",$R89-$J89))</f>
        <v/>
      </c>
      <c r="T89" s="37" t="str">
        <f aca="false">IF($A89="","",IF(COUNTIFS(PR!$C$4:$C$203,$A89)&gt;0,"Đã lập PR","Chưa lập PR"))</f>
        <v/>
      </c>
      <c r="U89" s="32"/>
    </row>
    <row r="90" customFormat="false" ht="15" hidden="false" customHeight="false" outlineLevel="0" collapsed="false">
      <c r="A90" s="32"/>
      <c r="B90" s="33"/>
      <c r="C90" s="32"/>
      <c r="D90" s="37" t="str">
        <f aca="false">IF($C90="","",IFERROR(INDEX('Dự án'!$B$4:$B$203,MATCH($C90,'Dự án'!$A$4:$A$203,0)),""))</f>
        <v/>
      </c>
      <c r="E90" s="32"/>
      <c r="F90" s="32"/>
      <c r="G90" s="32"/>
      <c r="H90" s="34"/>
      <c r="I90" s="34"/>
      <c r="J90" s="38" t="str">
        <f aca="false">IF($A90="","",$H90*$I90)</f>
        <v/>
      </c>
      <c r="K90" s="33"/>
      <c r="L90" s="33"/>
      <c r="M90" s="38" t="str">
        <f aca="false">IF($A90="","",IF($L90="","",$L90-$B90))</f>
        <v/>
      </c>
      <c r="N90" s="32"/>
      <c r="O90" s="37" t="str">
        <f aca="true">IF($A90="","",IF($K90="","",IF($L90="",IF(TODAY()&gt;$K90,"Quá hạn chưa trả","Đang xử lý"),IF($L90&lt;=$K90,"Đúng hạn","Trả trễ"))))</f>
        <v/>
      </c>
      <c r="P90" s="38" t="str">
        <f aca="false">IF($A90="","",COUNTIFS('Báo giá'!$C$4:$C$203,$A90))</f>
        <v/>
      </c>
      <c r="Q90" s="38" t="str">
        <f aca="false">IF($A90="","",IF(SUMIFS('Báo giá'!$K$4:$K$203,'Báo giá'!$C$4:$C$203,$A90,'Báo giá'!$T$4:$T$203,"x")=0,"",SUMIFS('Báo giá'!$K$4:$K$203,'Báo giá'!$C$4:$C$203,$A90,'Báo giá'!$T$4:$T$203,"x")))</f>
        <v/>
      </c>
      <c r="R90" s="38" t="str">
        <f aca="false">IF($A90="","",IF(SUMIFS('Báo giá'!$L$4:$L$203,'Báo giá'!$C$4:$C$203,$A90,'Báo giá'!$T$4:$T$203,"x")=0,"",SUMIFS('Báo giá'!$L$4:$L$203,'Báo giá'!$C$4:$C$203,$A90,'Báo giá'!$T$4:$T$203,"x")))</f>
        <v/>
      </c>
      <c r="S90" s="38" t="str">
        <f aca="false">IF($A90="","",IF($R90="","",$R90-$J90))</f>
        <v/>
      </c>
      <c r="T90" s="37" t="str">
        <f aca="false">IF($A90="","",IF(COUNTIFS(PR!$C$4:$C$203,$A90)&gt;0,"Đã lập PR","Chưa lập PR"))</f>
        <v/>
      </c>
      <c r="U90" s="32"/>
    </row>
    <row r="91" customFormat="false" ht="15" hidden="false" customHeight="false" outlineLevel="0" collapsed="false">
      <c r="A91" s="32"/>
      <c r="B91" s="33"/>
      <c r="C91" s="32"/>
      <c r="D91" s="37" t="str">
        <f aca="false">IF($C91="","",IFERROR(INDEX('Dự án'!$B$4:$B$203,MATCH($C91,'Dự án'!$A$4:$A$203,0)),""))</f>
        <v/>
      </c>
      <c r="E91" s="32"/>
      <c r="F91" s="32"/>
      <c r="G91" s="32"/>
      <c r="H91" s="34"/>
      <c r="I91" s="34"/>
      <c r="J91" s="38" t="str">
        <f aca="false">IF($A91="","",$H91*$I91)</f>
        <v/>
      </c>
      <c r="K91" s="33"/>
      <c r="L91" s="33"/>
      <c r="M91" s="38" t="str">
        <f aca="false">IF($A91="","",IF($L91="","",$L91-$B91))</f>
        <v/>
      </c>
      <c r="N91" s="32"/>
      <c r="O91" s="37" t="str">
        <f aca="true">IF($A91="","",IF($K91="","",IF($L91="",IF(TODAY()&gt;$K91,"Quá hạn chưa trả","Đang xử lý"),IF($L91&lt;=$K91,"Đúng hạn","Trả trễ"))))</f>
        <v/>
      </c>
      <c r="P91" s="38" t="str">
        <f aca="false">IF($A91="","",COUNTIFS('Báo giá'!$C$4:$C$203,$A91))</f>
        <v/>
      </c>
      <c r="Q91" s="38" t="str">
        <f aca="false">IF($A91="","",IF(SUMIFS('Báo giá'!$K$4:$K$203,'Báo giá'!$C$4:$C$203,$A91,'Báo giá'!$T$4:$T$203,"x")=0,"",SUMIFS('Báo giá'!$K$4:$K$203,'Báo giá'!$C$4:$C$203,$A91,'Báo giá'!$T$4:$T$203,"x")))</f>
        <v/>
      </c>
      <c r="R91" s="38" t="str">
        <f aca="false">IF($A91="","",IF(SUMIFS('Báo giá'!$L$4:$L$203,'Báo giá'!$C$4:$C$203,$A91,'Báo giá'!$T$4:$T$203,"x")=0,"",SUMIFS('Báo giá'!$L$4:$L$203,'Báo giá'!$C$4:$C$203,$A91,'Báo giá'!$T$4:$T$203,"x")))</f>
        <v/>
      </c>
      <c r="S91" s="38" t="str">
        <f aca="false">IF($A91="","",IF($R91="","",$R91-$J91))</f>
        <v/>
      </c>
      <c r="T91" s="37" t="str">
        <f aca="false">IF($A91="","",IF(COUNTIFS(PR!$C$4:$C$203,$A91)&gt;0,"Đã lập PR","Chưa lập PR"))</f>
        <v/>
      </c>
      <c r="U91" s="32"/>
    </row>
    <row r="92" customFormat="false" ht="15" hidden="false" customHeight="false" outlineLevel="0" collapsed="false">
      <c r="A92" s="32"/>
      <c r="B92" s="33"/>
      <c r="C92" s="32"/>
      <c r="D92" s="37" t="str">
        <f aca="false">IF($C92="","",IFERROR(INDEX('Dự án'!$B$4:$B$203,MATCH($C92,'Dự án'!$A$4:$A$203,0)),""))</f>
        <v/>
      </c>
      <c r="E92" s="32"/>
      <c r="F92" s="32"/>
      <c r="G92" s="32"/>
      <c r="H92" s="34"/>
      <c r="I92" s="34"/>
      <c r="J92" s="38" t="str">
        <f aca="false">IF($A92="","",$H92*$I92)</f>
        <v/>
      </c>
      <c r="K92" s="33"/>
      <c r="L92" s="33"/>
      <c r="M92" s="38" t="str">
        <f aca="false">IF($A92="","",IF($L92="","",$L92-$B92))</f>
        <v/>
      </c>
      <c r="N92" s="32"/>
      <c r="O92" s="37" t="str">
        <f aca="true">IF($A92="","",IF($K92="","",IF($L92="",IF(TODAY()&gt;$K92,"Quá hạn chưa trả","Đang xử lý"),IF($L92&lt;=$K92,"Đúng hạn","Trả trễ"))))</f>
        <v/>
      </c>
      <c r="P92" s="38" t="str">
        <f aca="false">IF($A92="","",COUNTIFS('Báo giá'!$C$4:$C$203,$A92))</f>
        <v/>
      </c>
      <c r="Q92" s="38" t="str">
        <f aca="false">IF($A92="","",IF(SUMIFS('Báo giá'!$K$4:$K$203,'Báo giá'!$C$4:$C$203,$A92,'Báo giá'!$T$4:$T$203,"x")=0,"",SUMIFS('Báo giá'!$K$4:$K$203,'Báo giá'!$C$4:$C$203,$A92,'Báo giá'!$T$4:$T$203,"x")))</f>
        <v/>
      </c>
      <c r="R92" s="38" t="str">
        <f aca="false">IF($A92="","",IF(SUMIFS('Báo giá'!$L$4:$L$203,'Báo giá'!$C$4:$C$203,$A92,'Báo giá'!$T$4:$T$203,"x")=0,"",SUMIFS('Báo giá'!$L$4:$L$203,'Báo giá'!$C$4:$C$203,$A92,'Báo giá'!$T$4:$T$203,"x")))</f>
        <v/>
      </c>
      <c r="S92" s="38" t="str">
        <f aca="false">IF($A92="","",IF($R92="","",$R92-$J92))</f>
        <v/>
      </c>
      <c r="T92" s="37" t="str">
        <f aca="false">IF($A92="","",IF(COUNTIFS(PR!$C$4:$C$203,$A92)&gt;0,"Đã lập PR","Chưa lập PR"))</f>
        <v/>
      </c>
      <c r="U92" s="32"/>
    </row>
    <row r="93" customFormat="false" ht="15" hidden="false" customHeight="false" outlineLevel="0" collapsed="false">
      <c r="A93" s="32"/>
      <c r="B93" s="33"/>
      <c r="C93" s="32"/>
      <c r="D93" s="37" t="str">
        <f aca="false">IF($C93="","",IFERROR(INDEX('Dự án'!$B$4:$B$203,MATCH($C93,'Dự án'!$A$4:$A$203,0)),""))</f>
        <v/>
      </c>
      <c r="E93" s="32"/>
      <c r="F93" s="32"/>
      <c r="G93" s="32"/>
      <c r="H93" s="34"/>
      <c r="I93" s="34"/>
      <c r="J93" s="38" t="str">
        <f aca="false">IF($A93="","",$H93*$I93)</f>
        <v/>
      </c>
      <c r="K93" s="33"/>
      <c r="L93" s="33"/>
      <c r="M93" s="38" t="str">
        <f aca="false">IF($A93="","",IF($L93="","",$L93-$B93))</f>
        <v/>
      </c>
      <c r="N93" s="32"/>
      <c r="O93" s="37" t="str">
        <f aca="true">IF($A93="","",IF($K93="","",IF($L93="",IF(TODAY()&gt;$K93,"Quá hạn chưa trả","Đang xử lý"),IF($L93&lt;=$K93,"Đúng hạn","Trả trễ"))))</f>
        <v/>
      </c>
      <c r="P93" s="38" t="str">
        <f aca="false">IF($A93="","",COUNTIFS('Báo giá'!$C$4:$C$203,$A93))</f>
        <v/>
      </c>
      <c r="Q93" s="38" t="str">
        <f aca="false">IF($A93="","",IF(SUMIFS('Báo giá'!$K$4:$K$203,'Báo giá'!$C$4:$C$203,$A93,'Báo giá'!$T$4:$T$203,"x")=0,"",SUMIFS('Báo giá'!$K$4:$K$203,'Báo giá'!$C$4:$C$203,$A93,'Báo giá'!$T$4:$T$203,"x")))</f>
        <v/>
      </c>
      <c r="R93" s="38" t="str">
        <f aca="false">IF($A93="","",IF(SUMIFS('Báo giá'!$L$4:$L$203,'Báo giá'!$C$4:$C$203,$A93,'Báo giá'!$T$4:$T$203,"x")=0,"",SUMIFS('Báo giá'!$L$4:$L$203,'Báo giá'!$C$4:$C$203,$A93,'Báo giá'!$T$4:$T$203,"x")))</f>
        <v/>
      </c>
      <c r="S93" s="38" t="str">
        <f aca="false">IF($A93="","",IF($R93="","",$R93-$J93))</f>
        <v/>
      </c>
      <c r="T93" s="37" t="str">
        <f aca="false">IF($A93="","",IF(COUNTIFS(PR!$C$4:$C$203,$A93)&gt;0,"Đã lập PR","Chưa lập PR"))</f>
        <v/>
      </c>
      <c r="U93" s="32"/>
    </row>
    <row r="94" customFormat="false" ht="15" hidden="false" customHeight="false" outlineLevel="0" collapsed="false">
      <c r="A94" s="32"/>
      <c r="B94" s="33"/>
      <c r="C94" s="32"/>
      <c r="D94" s="37" t="str">
        <f aca="false">IF($C94="","",IFERROR(INDEX('Dự án'!$B$4:$B$203,MATCH($C94,'Dự án'!$A$4:$A$203,0)),""))</f>
        <v/>
      </c>
      <c r="E94" s="32"/>
      <c r="F94" s="32"/>
      <c r="G94" s="32"/>
      <c r="H94" s="34"/>
      <c r="I94" s="34"/>
      <c r="J94" s="38" t="str">
        <f aca="false">IF($A94="","",$H94*$I94)</f>
        <v/>
      </c>
      <c r="K94" s="33"/>
      <c r="L94" s="33"/>
      <c r="M94" s="38" t="str">
        <f aca="false">IF($A94="","",IF($L94="","",$L94-$B94))</f>
        <v/>
      </c>
      <c r="N94" s="32"/>
      <c r="O94" s="37" t="str">
        <f aca="true">IF($A94="","",IF($K94="","",IF($L94="",IF(TODAY()&gt;$K94,"Quá hạn chưa trả","Đang xử lý"),IF($L94&lt;=$K94,"Đúng hạn","Trả trễ"))))</f>
        <v/>
      </c>
      <c r="P94" s="38" t="str">
        <f aca="false">IF($A94="","",COUNTIFS('Báo giá'!$C$4:$C$203,$A94))</f>
        <v/>
      </c>
      <c r="Q94" s="38" t="str">
        <f aca="false">IF($A94="","",IF(SUMIFS('Báo giá'!$K$4:$K$203,'Báo giá'!$C$4:$C$203,$A94,'Báo giá'!$T$4:$T$203,"x")=0,"",SUMIFS('Báo giá'!$K$4:$K$203,'Báo giá'!$C$4:$C$203,$A94,'Báo giá'!$T$4:$T$203,"x")))</f>
        <v/>
      </c>
      <c r="R94" s="38" t="str">
        <f aca="false">IF($A94="","",IF(SUMIFS('Báo giá'!$L$4:$L$203,'Báo giá'!$C$4:$C$203,$A94,'Báo giá'!$T$4:$T$203,"x")=0,"",SUMIFS('Báo giá'!$L$4:$L$203,'Báo giá'!$C$4:$C$203,$A94,'Báo giá'!$T$4:$T$203,"x")))</f>
        <v/>
      </c>
      <c r="S94" s="38" t="str">
        <f aca="false">IF($A94="","",IF($R94="","",$R94-$J94))</f>
        <v/>
      </c>
      <c r="T94" s="37" t="str">
        <f aca="false">IF($A94="","",IF(COUNTIFS(PR!$C$4:$C$203,$A94)&gt;0,"Đã lập PR","Chưa lập PR"))</f>
        <v/>
      </c>
      <c r="U94" s="32"/>
    </row>
    <row r="95" customFormat="false" ht="15" hidden="false" customHeight="false" outlineLevel="0" collapsed="false">
      <c r="A95" s="32"/>
      <c r="B95" s="33"/>
      <c r="C95" s="32"/>
      <c r="D95" s="37" t="str">
        <f aca="false">IF($C95="","",IFERROR(INDEX('Dự án'!$B$4:$B$203,MATCH($C95,'Dự án'!$A$4:$A$203,0)),""))</f>
        <v/>
      </c>
      <c r="E95" s="32"/>
      <c r="F95" s="32"/>
      <c r="G95" s="32"/>
      <c r="H95" s="34"/>
      <c r="I95" s="34"/>
      <c r="J95" s="38" t="str">
        <f aca="false">IF($A95="","",$H95*$I95)</f>
        <v/>
      </c>
      <c r="K95" s="33"/>
      <c r="L95" s="33"/>
      <c r="M95" s="38" t="str">
        <f aca="false">IF($A95="","",IF($L95="","",$L95-$B95))</f>
        <v/>
      </c>
      <c r="N95" s="32"/>
      <c r="O95" s="37" t="str">
        <f aca="true">IF($A95="","",IF($K95="","",IF($L95="",IF(TODAY()&gt;$K95,"Quá hạn chưa trả","Đang xử lý"),IF($L95&lt;=$K95,"Đúng hạn","Trả trễ"))))</f>
        <v/>
      </c>
      <c r="P95" s="38" t="str">
        <f aca="false">IF($A95="","",COUNTIFS('Báo giá'!$C$4:$C$203,$A95))</f>
        <v/>
      </c>
      <c r="Q95" s="38" t="str">
        <f aca="false">IF($A95="","",IF(SUMIFS('Báo giá'!$K$4:$K$203,'Báo giá'!$C$4:$C$203,$A95,'Báo giá'!$T$4:$T$203,"x")=0,"",SUMIFS('Báo giá'!$K$4:$K$203,'Báo giá'!$C$4:$C$203,$A95,'Báo giá'!$T$4:$T$203,"x")))</f>
        <v/>
      </c>
      <c r="R95" s="38" t="str">
        <f aca="false">IF($A95="","",IF(SUMIFS('Báo giá'!$L$4:$L$203,'Báo giá'!$C$4:$C$203,$A95,'Báo giá'!$T$4:$T$203,"x")=0,"",SUMIFS('Báo giá'!$L$4:$L$203,'Báo giá'!$C$4:$C$203,$A95,'Báo giá'!$T$4:$T$203,"x")))</f>
        <v/>
      </c>
      <c r="S95" s="38" t="str">
        <f aca="false">IF($A95="","",IF($R95="","",$R95-$J95))</f>
        <v/>
      </c>
      <c r="T95" s="37" t="str">
        <f aca="false">IF($A95="","",IF(COUNTIFS(PR!$C$4:$C$203,$A95)&gt;0,"Đã lập PR","Chưa lập PR"))</f>
        <v/>
      </c>
      <c r="U95" s="32"/>
    </row>
    <row r="96" customFormat="false" ht="15" hidden="false" customHeight="false" outlineLevel="0" collapsed="false">
      <c r="A96" s="32"/>
      <c r="B96" s="33"/>
      <c r="C96" s="32"/>
      <c r="D96" s="37" t="str">
        <f aca="false">IF($C96="","",IFERROR(INDEX('Dự án'!$B$4:$B$203,MATCH($C96,'Dự án'!$A$4:$A$203,0)),""))</f>
        <v/>
      </c>
      <c r="E96" s="32"/>
      <c r="F96" s="32"/>
      <c r="G96" s="32"/>
      <c r="H96" s="34"/>
      <c r="I96" s="34"/>
      <c r="J96" s="38" t="str">
        <f aca="false">IF($A96="","",$H96*$I96)</f>
        <v/>
      </c>
      <c r="K96" s="33"/>
      <c r="L96" s="33"/>
      <c r="M96" s="38" t="str">
        <f aca="false">IF($A96="","",IF($L96="","",$L96-$B96))</f>
        <v/>
      </c>
      <c r="N96" s="32"/>
      <c r="O96" s="37" t="str">
        <f aca="true">IF($A96="","",IF($K96="","",IF($L96="",IF(TODAY()&gt;$K96,"Quá hạn chưa trả","Đang xử lý"),IF($L96&lt;=$K96,"Đúng hạn","Trả trễ"))))</f>
        <v/>
      </c>
      <c r="P96" s="38" t="str">
        <f aca="false">IF($A96="","",COUNTIFS('Báo giá'!$C$4:$C$203,$A96))</f>
        <v/>
      </c>
      <c r="Q96" s="38" t="str">
        <f aca="false">IF($A96="","",IF(SUMIFS('Báo giá'!$K$4:$K$203,'Báo giá'!$C$4:$C$203,$A96,'Báo giá'!$T$4:$T$203,"x")=0,"",SUMIFS('Báo giá'!$K$4:$K$203,'Báo giá'!$C$4:$C$203,$A96,'Báo giá'!$T$4:$T$203,"x")))</f>
        <v/>
      </c>
      <c r="R96" s="38" t="str">
        <f aca="false">IF($A96="","",IF(SUMIFS('Báo giá'!$L$4:$L$203,'Báo giá'!$C$4:$C$203,$A96,'Báo giá'!$T$4:$T$203,"x")=0,"",SUMIFS('Báo giá'!$L$4:$L$203,'Báo giá'!$C$4:$C$203,$A96,'Báo giá'!$T$4:$T$203,"x")))</f>
        <v/>
      </c>
      <c r="S96" s="38" t="str">
        <f aca="false">IF($A96="","",IF($R96="","",$R96-$J96))</f>
        <v/>
      </c>
      <c r="T96" s="37" t="str">
        <f aca="false">IF($A96="","",IF(COUNTIFS(PR!$C$4:$C$203,$A96)&gt;0,"Đã lập PR","Chưa lập PR"))</f>
        <v/>
      </c>
      <c r="U96" s="32"/>
    </row>
    <row r="97" customFormat="false" ht="15" hidden="false" customHeight="false" outlineLevel="0" collapsed="false">
      <c r="A97" s="32"/>
      <c r="B97" s="33"/>
      <c r="C97" s="32"/>
      <c r="D97" s="37" t="str">
        <f aca="false">IF($C97="","",IFERROR(INDEX('Dự án'!$B$4:$B$203,MATCH($C97,'Dự án'!$A$4:$A$203,0)),""))</f>
        <v/>
      </c>
      <c r="E97" s="32"/>
      <c r="F97" s="32"/>
      <c r="G97" s="32"/>
      <c r="H97" s="34"/>
      <c r="I97" s="34"/>
      <c r="J97" s="38" t="str">
        <f aca="false">IF($A97="","",$H97*$I97)</f>
        <v/>
      </c>
      <c r="K97" s="33"/>
      <c r="L97" s="33"/>
      <c r="M97" s="38" t="str">
        <f aca="false">IF($A97="","",IF($L97="","",$L97-$B97))</f>
        <v/>
      </c>
      <c r="N97" s="32"/>
      <c r="O97" s="37" t="str">
        <f aca="true">IF($A97="","",IF($K97="","",IF($L97="",IF(TODAY()&gt;$K97,"Quá hạn chưa trả","Đang xử lý"),IF($L97&lt;=$K97,"Đúng hạn","Trả trễ"))))</f>
        <v/>
      </c>
      <c r="P97" s="38" t="str">
        <f aca="false">IF($A97="","",COUNTIFS('Báo giá'!$C$4:$C$203,$A97))</f>
        <v/>
      </c>
      <c r="Q97" s="38" t="str">
        <f aca="false">IF($A97="","",IF(SUMIFS('Báo giá'!$K$4:$K$203,'Báo giá'!$C$4:$C$203,$A97,'Báo giá'!$T$4:$T$203,"x")=0,"",SUMIFS('Báo giá'!$K$4:$K$203,'Báo giá'!$C$4:$C$203,$A97,'Báo giá'!$T$4:$T$203,"x")))</f>
        <v/>
      </c>
      <c r="R97" s="38" t="str">
        <f aca="false">IF($A97="","",IF(SUMIFS('Báo giá'!$L$4:$L$203,'Báo giá'!$C$4:$C$203,$A97,'Báo giá'!$T$4:$T$203,"x")=0,"",SUMIFS('Báo giá'!$L$4:$L$203,'Báo giá'!$C$4:$C$203,$A97,'Báo giá'!$T$4:$T$203,"x")))</f>
        <v/>
      </c>
      <c r="S97" s="38" t="str">
        <f aca="false">IF($A97="","",IF($R97="","",$R97-$J97))</f>
        <v/>
      </c>
      <c r="T97" s="37" t="str">
        <f aca="false">IF($A97="","",IF(COUNTIFS(PR!$C$4:$C$203,$A97)&gt;0,"Đã lập PR","Chưa lập PR"))</f>
        <v/>
      </c>
      <c r="U97" s="32"/>
    </row>
    <row r="98" customFormat="false" ht="15" hidden="false" customHeight="false" outlineLevel="0" collapsed="false">
      <c r="A98" s="32"/>
      <c r="B98" s="33"/>
      <c r="C98" s="32"/>
      <c r="D98" s="37" t="str">
        <f aca="false">IF($C98="","",IFERROR(INDEX('Dự án'!$B$4:$B$203,MATCH($C98,'Dự án'!$A$4:$A$203,0)),""))</f>
        <v/>
      </c>
      <c r="E98" s="32"/>
      <c r="F98" s="32"/>
      <c r="G98" s="32"/>
      <c r="H98" s="34"/>
      <c r="I98" s="34"/>
      <c r="J98" s="38" t="str">
        <f aca="false">IF($A98="","",$H98*$I98)</f>
        <v/>
      </c>
      <c r="K98" s="33"/>
      <c r="L98" s="33"/>
      <c r="M98" s="38" t="str">
        <f aca="false">IF($A98="","",IF($L98="","",$L98-$B98))</f>
        <v/>
      </c>
      <c r="N98" s="32"/>
      <c r="O98" s="37" t="str">
        <f aca="true">IF($A98="","",IF($K98="","",IF($L98="",IF(TODAY()&gt;$K98,"Quá hạn chưa trả","Đang xử lý"),IF($L98&lt;=$K98,"Đúng hạn","Trả trễ"))))</f>
        <v/>
      </c>
      <c r="P98" s="38" t="str">
        <f aca="false">IF($A98="","",COUNTIFS('Báo giá'!$C$4:$C$203,$A98))</f>
        <v/>
      </c>
      <c r="Q98" s="38" t="str">
        <f aca="false">IF($A98="","",IF(SUMIFS('Báo giá'!$K$4:$K$203,'Báo giá'!$C$4:$C$203,$A98,'Báo giá'!$T$4:$T$203,"x")=0,"",SUMIFS('Báo giá'!$K$4:$K$203,'Báo giá'!$C$4:$C$203,$A98,'Báo giá'!$T$4:$T$203,"x")))</f>
        <v/>
      </c>
      <c r="R98" s="38" t="str">
        <f aca="false">IF($A98="","",IF(SUMIFS('Báo giá'!$L$4:$L$203,'Báo giá'!$C$4:$C$203,$A98,'Báo giá'!$T$4:$T$203,"x")=0,"",SUMIFS('Báo giá'!$L$4:$L$203,'Báo giá'!$C$4:$C$203,$A98,'Báo giá'!$T$4:$T$203,"x")))</f>
        <v/>
      </c>
      <c r="S98" s="38" t="str">
        <f aca="false">IF($A98="","",IF($R98="","",$R98-$J98))</f>
        <v/>
      </c>
      <c r="T98" s="37" t="str">
        <f aca="false">IF($A98="","",IF(COUNTIFS(PR!$C$4:$C$203,$A98)&gt;0,"Đã lập PR","Chưa lập PR"))</f>
        <v/>
      </c>
      <c r="U98" s="32"/>
    </row>
    <row r="99" customFormat="false" ht="15" hidden="false" customHeight="false" outlineLevel="0" collapsed="false">
      <c r="A99" s="32"/>
      <c r="B99" s="33"/>
      <c r="C99" s="32"/>
      <c r="D99" s="37" t="str">
        <f aca="false">IF($C99="","",IFERROR(INDEX('Dự án'!$B$4:$B$203,MATCH($C99,'Dự án'!$A$4:$A$203,0)),""))</f>
        <v/>
      </c>
      <c r="E99" s="32"/>
      <c r="F99" s="32"/>
      <c r="G99" s="32"/>
      <c r="H99" s="34"/>
      <c r="I99" s="34"/>
      <c r="J99" s="38" t="str">
        <f aca="false">IF($A99="","",$H99*$I99)</f>
        <v/>
      </c>
      <c r="K99" s="33"/>
      <c r="L99" s="33"/>
      <c r="M99" s="38" t="str">
        <f aca="false">IF($A99="","",IF($L99="","",$L99-$B99))</f>
        <v/>
      </c>
      <c r="N99" s="32"/>
      <c r="O99" s="37" t="str">
        <f aca="true">IF($A99="","",IF($K99="","",IF($L99="",IF(TODAY()&gt;$K99,"Quá hạn chưa trả","Đang xử lý"),IF($L99&lt;=$K99,"Đúng hạn","Trả trễ"))))</f>
        <v/>
      </c>
      <c r="P99" s="38" t="str">
        <f aca="false">IF($A99="","",COUNTIFS('Báo giá'!$C$4:$C$203,$A99))</f>
        <v/>
      </c>
      <c r="Q99" s="38" t="str">
        <f aca="false">IF($A99="","",IF(SUMIFS('Báo giá'!$K$4:$K$203,'Báo giá'!$C$4:$C$203,$A99,'Báo giá'!$T$4:$T$203,"x")=0,"",SUMIFS('Báo giá'!$K$4:$K$203,'Báo giá'!$C$4:$C$203,$A99,'Báo giá'!$T$4:$T$203,"x")))</f>
        <v/>
      </c>
      <c r="R99" s="38" t="str">
        <f aca="false">IF($A99="","",IF(SUMIFS('Báo giá'!$L$4:$L$203,'Báo giá'!$C$4:$C$203,$A99,'Báo giá'!$T$4:$T$203,"x")=0,"",SUMIFS('Báo giá'!$L$4:$L$203,'Báo giá'!$C$4:$C$203,$A99,'Báo giá'!$T$4:$T$203,"x")))</f>
        <v/>
      </c>
      <c r="S99" s="38" t="str">
        <f aca="false">IF($A99="","",IF($R99="","",$R99-$J99))</f>
        <v/>
      </c>
      <c r="T99" s="37" t="str">
        <f aca="false">IF($A99="","",IF(COUNTIFS(PR!$C$4:$C$203,$A99)&gt;0,"Đã lập PR","Chưa lập PR"))</f>
        <v/>
      </c>
      <c r="U99" s="32"/>
    </row>
    <row r="100" customFormat="false" ht="15" hidden="false" customHeight="false" outlineLevel="0" collapsed="false">
      <c r="A100" s="32"/>
      <c r="B100" s="33"/>
      <c r="C100" s="32"/>
      <c r="D100" s="37" t="str">
        <f aca="false">IF($C100="","",IFERROR(INDEX('Dự án'!$B$4:$B$203,MATCH($C100,'Dự án'!$A$4:$A$203,0)),""))</f>
        <v/>
      </c>
      <c r="E100" s="32"/>
      <c r="F100" s="32"/>
      <c r="G100" s="32"/>
      <c r="H100" s="34"/>
      <c r="I100" s="34"/>
      <c r="J100" s="38" t="str">
        <f aca="false">IF($A100="","",$H100*$I100)</f>
        <v/>
      </c>
      <c r="K100" s="33"/>
      <c r="L100" s="33"/>
      <c r="M100" s="38" t="str">
        <f aca="false">IF($A100="","",IF($L100="","",$L100-$B100))</f>
        <v/>
      </c>
      <c r="N100" s="32"/>
      <c r="O100" s="37" t="str">
        <f aca="true">IF($A100="","",IF($K100="","",IF($L100="",IF(TODAY()&gt;$K100,"Quá hạn chưa trả","Đang xử lý"),IF($L100&lt;=$K100,"Đúng hạn","Trả trễ"))))</f>
        <v/>
      </c>
      <c r="P100" s="38" t="str">
        <f aca="false">IF($A100="","",COUNTIFS('Báo giá'!$C$4:$C$203,$A100))</f>
        <v/>
      </c>
      <c r="Q100" s="38" t="str">
        <f aca="false">IF($A100="","",IF(SUMIFS('Báo giá'!$K$4:$K$203,'Báo giá'!$C$4:$C$203,$A100,'Báo giá'!$T$4:$T$203,"x")=0,"",SUMIFS('Báo giá'!$K$4:$K$203,'Báo giá'!$C$4:$C$203,$A100,'Báo giá'!$T$4:$T$203,"x")))</f>
        <v/>
      </c>
      <c r="R100" s="38" t="str">
        <f aca="false">IF($A100="","",IF(SUMIFS('Báo giá'!$L$4:$L$203,'Báo giá'!$C$4:$C$203,$A100,'Báo giá'!$T$4:$T$203,"x")=0,"",SUMIFS('Báo giá'!$L$4:$L$203,'Báo giá'!$C$4:$C$203,$A100,'Báo giá'!$T$4:$T$203,"x")))</f>
        <v/>
      </c>
      <c r="S100" s="38" t="str">
        <f aca="false">IF($A100="","",IF($R100="","",$R100-$J100))</f>
        <v/>
      </c>
      <c r="T100" s="37" t="str">
        <f aca="false">IF($A100="","",IF(COUNTIFS(PR!$C$4:$C$203,$A100)&gt;0,"Đã lập PR","Chưa lập PR"))</f>
        <v/>
      </c>
      <c r="U100" s="32"/>
    </row>
    <row r="101" customFormat="false" ht="15" hidden="false" customHeight="false" outlineLevel="0" collapsed="false">
      <c r="A101" s="32"/>
      <c r="B101" s="33"/>
      <c r="C101" s="32"/>
      <c r="D101" s="37" t="str">
        <f aca="false">IF($C101="","",IFERROR(INDEX('Dự án'!$B$4:$B$203,MATCH($C101,'Dự án'!$A$4:$A$203,0)),""))</f>
        <v/>
      </c>
      <c r="E101" s="32"/>
      <c r="F101" s="32"/>
      <c r="G101" s="32"/>
      <c r="H101" s="34"/>
      <c r="I101" s="34"/>
      <c r="J101" s="38" t="str">
        <f aca="false">IF($A101="","",$H101*$I101)</f>
        <v/>
      </c>
      <c r="K101" s="33"/>
      <c r="L101" s="33"/>
      <c r="M101" s="38" t="str">
        <f aca="false">IF($A101="","",IF($L101="","",$L101-$B101))</f>
        <v/>
      </c>
      <c r="N101" s="32"/>
      <c r="O101" s="37" t="str">
        <f aca="true">IF($A101="","",IF($K101="","",IF($L101="",IF(TODAY()&gt;$K101,"Quá hạn chưa trả","Đang xử lý"),IF($L101&lt;=$K101,"Đúng hạn","Trả trễ"))))</f>
        <v/>
      </c>
      <c r="P101" s="38" t="str">
        <f aca="false">IF($A101="","",COUNTIFS('Báo giá'!$C$4:$C$203,$A101))</f>
        <v/>
      </c>
      <c r="Q101" s="38" t="str">
        <f aca="false">IF($A101="","",IF(SUMIFS('Báo giá'!$K$4:$K$203,'Báo giá'!$C$4:$C$203,$A101,'Báo giá'!$T$4:$T$203,"x")=0,"",SUMIFS('Báo giá'!$K$4:$K$203,'Báo giá'!$C$4:$C$203,$A101,'Báo giá'!$T$4:$T$203,"x")))</f>
        <v/>
      </c>
      <c r="R101" s="38" t="str">
        <f aca="false">IF($A101="","",IF(SUMIFS('Báo giá'!$L$4:$L$203,'Báo giá'!$C$4:$C$203,$A101,'Báo giá'!$T$4:$T$203,"x")=0,"",SUMIFS('Báo giá'!$L$4:$L$203,'Báo giá'!$C$4:$C$203,$A101,'Báo giá'!$T$4:$T$203,"x")))</f>
        <v/>
      </c>
      <c r="S101" s="38" t="str">
        <f aca="false">IF($A101="","",IF($R101="","",$R101-$J101))</f>
        <v/>
      </c>
      <c r="T101" s="37" t="str">
        <f aca="false">IF($A101="","",IF(COUNTIFS(PR!$C$4:$C$203,$A101)&gt;0,"Đã lập PR","Chưa lập PR"))</f>
        <v/>
      </c>
      <c r="U101" s="32"/>
    </row>
    <row r="102" customFormat="false" ht="15" hidden="false" customHeight="false" outlineLevel="0" collapsed="false">
      <c r="A102" s="32"/>
      <c r="B102" s="33"/>
      <c r="C102" s="32"/>
      <c r="D102" s="37" t="str">
        <f aca="false">IF($C102="","",IFERROR(INDEX('Dự án'!$B$4:$B$203,MATCH($C102,'Dự án'!$A$4:$A$203,0)),""))</f>
        <v/>
      </c>
      <c r="E102" s="32"/>
      <c r="F102" s="32"/>
      <c r="G102" s="32"/>
      <c r="H102" s="34"/>
      <c r="I102" s="34"/>
      <c r="J102" s="38" t="str">
        <f aca="false">IF($A102="","",$H102*$I102)</f>
        <v/>
      </c>
      <c r="K102" s="33"/>
      <c r="L102" s="33"/>
      <c r="M102" s="38" t="str">
        <f aca="false">IF($A102="","",IF($L102="","",$L102-$B102))</f>
        <v/>
      </c>
      <c r="N102" s="32"/>
      <c r="O102" s="37" t="str">
        <f aca="true">IF($A102="","",IF($K102="","",IF($L102="",IF(TODAY()&gt;$K102,"Quá hạn chưa trả","Đang xử lý"),IF($L102&lt;=$K102,"Đúng hạn","Trả trễ"))))</f>
        <v/>
      </c>
      <c r="P102" s="38" t="str">
        <f aca="false">IF($A102="","",COUNTIFS('Báo giá'!$C$4:$C$203,$A102))</f>
        <v/>
      </c>
      <c r="Q102" s="38" t="str">
        <f aca="false">IF($A102="","",IF(SUMIFS('Báo giá'!$K$4:$K$203,'Báo giá'!$C$4:$C$203,$A102,'Báo giá'!$T$4:$T$203,"x")=0,"",SUMIFS('Báo giá'!$K$4:$K$203,'Báo giá'!$C$4:$C$203,$A102,'Báo giá'!$T$4:$T$203,"x")))</f>
        <v/>
      </c>
      <c r="R102" s="38" t="str">
        <f aca="false">IF($A102="","",IF(SUMIFS('Báo giá'!$L$4:$L$203,'Báo giá'!$C$4:$C$203,$A102,'Báo giá'!$T$4:$T$203,"x")=0,"",SUMIFS('Báo giá'!$L$4:$L$203,'Báo giá'!$C$4:$C$203,$A102,'Báo giá'!$T$4:$T$203,"x")))</f>
        <v/>
      </c>
      <c r="S102" s="38" t="str">
        <f aca="false">IF($A102="","",IF($R102="","",$R102-$J102))</f>
        <v/>
      </c>
      <c r="T102" s="37" t="str">
        <f aca="false">IF($A102="","",IF(COUNTIFS(PR!$C$4:$C$203,$A102)&gt;0,"Đã lập PR","Chưa lập PR"))</f>
        <v/>
      </c>
      <c r="U102" s="32"/>
    </row>
    <row r="103" customFormat="false" ht="15" hidden="false" customHeight="false" outlineLevel="0" collapsed="false">
      <c r="A103" s="32"/>
      <c r="B103" s="33"/>
      <c r="C103" s="32"/>
      <c r="D103" s="37" t="str">
        <f aca="false">IF($C103="","",IFERROR(INDEX('Dự án'!$B$4:$B$203,MATCH($C103,'Dự án'!$A$4:$A$203,0)),""))</f>
        <v/>
      </c>
      <c r="E103" s="32"/>
      <c r="F103" s="32"/>
      <c r="G103" s="32"/>
      <c r="H103" s="34"/>
      <c r="I103" s="34"/>
      <c r="J103" s="38" t="str">
        <f aca="false">IF($A103="","",$H103*$I103)</f>
        <v/>
      </c>
      <c r="K103" s="33"/>
      <c r="L103" s="33"/>
      <c r="M103" s="38" t="str">
        <f aca="false">IF($A103="","",IF($L103="","",$L103-$B103))</f>
        <v/>
      </c>
      <c r="N103" s="32"/>
      <c r="O103" s="37" t="str">
        <f aca="true">IF($A103="","",IF($K103="","",IF($L103="",IF(TODAY()&gt;$K103,"Quá hạn chưa trả","Đang xử lý"),IF($L103&lt;=$K103,"Đúng hạn","Trả trễ"))))</f>
        <v/>
      </c>
      <c r="P103" s="38" t="str">
        <f aca="false">IF($A103="","",COUNTIFS('Báo giá'!$C$4:$C$203,$A103))</f>
        <v/>
      </c>
      <c r="Q103" s="38" t="str">
        <f aca="false">IF($A103="","",IF(SUMIFS('Báo giá'!$K$4:$K$203,'Báo giá'!$C$4:$C$203,$A103,'Báo giá'!$T$4:$T$203,"x")=0,"",SUMIFS('Báo giá'!$K$4:$K$203,'Báo giá'!$C$4:$C$203,$A103,'Báo giá'!$T$4:$T$203,"x")))</f>
        <v/>
      </c>
      <c r="R103" s="38" t="str">
        <f aca="false">IF($A103="","",IF(SUMIFS('Báo giá'!$L$4:$L$203,'Báo giá'!$C$4:$C$203,$A103,'Báo giá'!$T$4:$T$203,"x")=0,"",SUMIFS('Báo giá'!$L$4:$L$203,'Báo giá'!$C$4:$C$203,$A103,'Báo giá'!$T$4:$T$203,"x")))</f>
        <v/>
      </c>
      <c r="S103" s="38" t="str">
        <f aca="false">IF($A103="","",IF($R103="","",$R103-$J103))</f>
        <v/>
      </c>
      <c r="T103" s="37" t="str">
        <f aca="false">IF($A103="","",IF(COUNTIFS(PR!$C$4:$C$203,$A103)&gt;0,"Đã lập PR","Chưa lập PR"))</f>
        <v/>
      </c>
      <c r="U103" s="32"/>
    </row>
    <row r="104" customFormat="false" ht="15" hidden="false" customHeight="false" outlineLevel="0" collapsed="false">
      <c r="A104" s="32"/>
      <c r="B104" s="33"/>
      <c r="C104" s="32"/>
      <c r="D104" s="37" t="str">
        <f aca="false">IF($C104="","",IFERROR(INDEX('Dự án'!$B$4:$B$203,MATCH($C104,'Dự án'!$A$4:$A$203,0)),""))</f>
        <v/>
      </c>
      <c r="E104" s="32"/>
      <c r="F104" s="32"/>
      <c r="G104" s="32"/>
      <c r="H104" s="34"/>
      <c r="I104" s="34"/>
      <c r="J104" s="38" t="str">
        <f aca="false">IF($A104="","",$H104*$I104)</f>
        <v/>
      </c>
      <c r="K104" s="33"/>
      <c r="L104" s="33"/>
      <c r="M104" s="38" t="str">
        <f aca="false">IF($A104="","",IF($L104="","",$L104-$B104))</f>
        <v/>
      </c>
      <c r="N104" s="32"/>
      <c r="O104" s="37" t="str">
        <f aca="true">IF($A104="","",IF($K104="","",IF($L104="",IF(TODAY()&gt;$K104,"Quá hạn chưa trả","Đang xử lý"),IF($L104&lt;=$K104,"Đúng hạn","Trả trễ"))))</f>
        <v/>
      </c>
      <c r="P104" s="38" t="str">
        <f aca="false">IF($A104="","",COUNTIFS('Báo giá'!$C$4:$C$203,$A104))</f>
        <v/>
      </c>
      <c r="Q104" s="38" t="str">
        <f aca="false">IF($A104="","",IF(SUMIFS('Báo giá'!$K$4:$K$203,'Báo giá'!$C$4:$C$203,$A104,'Báo giá'!$T$4:$T$203,"x")=0,"",SUMIFS('Báo giá'!$K$4:$K$203,'Báo giá'!$C$4:$C$203,$A104,'Báo giá'!$T$4:$T$203,"x")))</f>
        <v/>
      </c>
      <c r="R104" s="38" t="str">
        <f aca="false">IF($A104="","",IF(SUMIFS('Báo giá'!$L$4:$L$203,'Báo giá'!$C$4:$C$203,$A104,'Báo giá'!$T$4:$T$203,"x")=0,"",SUMIFS('Báo giá'!$L$4:$L$203,'Báo giá'!$C$4:$C$203,$A104,'Báo giá'!$T$4:$T$203,"x")))</f>
        <v/>
      </c>
      <c r="S104" s="38" t="str">
        <f aca="false">IF($A104="","",IF($R104="","",$R104-$J104))</f>
        <v/>
      </c>
      <c r="T104" s="37" t="str">
        <f aca="false">IF($A104="","",IF(COUNTIFS(PR!$C$4:$C$203,$A104)&gt;0,"Đã lập PR","Chưa lập PR"))</f>
        <v/>
      </c>
      <c r="U104" s="32"/>
    </row>
    <row r="105" customFormat="false" ht="15" hidden="false" customHeight="false" outlineLevel="0" collapsed="false">
      <c r="A105" s="32"/>
      <c r="B105" s="33"/>
      <c r="C105" s="32"/>
      <c r="D105" s="37" t="str">
        <f aca="false">IF($C105="","",IFERROR(INDEX('Dự án'!$B$4:$B$203,MATCH($C105,'Dự án'!$A$4:$A$203,0)),""))</f>
        <v/>
      </c>
      <c r="E105" s="32"/>
      <c r="F105" s="32"/>
      <c r="G105" s="32"/>
      <c r="H105" s="34"/>
      <c r="I105" s="34"/>
      <c r="J105" s="38" t="str">
        <f aca="false">IF($A105="","",$H105*$I105)</f>
        <v/>
      </c>
      <c r="K105" s="33"/>
      <c r="L105" s="33"/>
      <c r="M105" s="38" t="str">
        <f aca="false">IF($A105="","",IF($L105="","",$L105-$B105))</f>
        <v/>
      </c>
      <c r="N105" s="32"/>
      <c r="O105" s="37" t="str">
        <f aca="true">IF($A105="","",IF($K105="","",IF($L105="",IF(TODAY()&gt;$K105,"Quá hạn chưa trả","Đang xử lý"),IF($L105&lt;=$K105,"Đúng hạn","Trả trễ"))))</f>
        <v/>
      </c>
      <c r="P105" s="38" t="str">
        <f aca="false">IF($A105="","",COUNTIFS('Báo giá'!$C$4:$C$203,$A105))</f>
        <v/>
      </c>
      <c r="Q105" s="38" t="str">
        <f aca="false">IF($A105="","",IF(SUMIFS('Báo giá'!$K$4:$K$203,'Báo giá'!$C$4:$C$203,$A105,'Báo giá'!$T$4:$T$203,"x")=0,"",SUMIFS('Báo giá'!$K$4:$K$203,'Báo giá'!$C$4:$C$203,$A105,'Báo giá'!$T$4:$T$203,"x")))</f>
        <v/>
      </c>
      <c r="R105" s="38" t="str">
        <f aca="false">IF($A105="","",IF(SUMIFS('Báo giá'!$L$4:$L$203,'Báo giá'!$C$4:$C$203,$A105,'Báo giá'!$T$4:$T$203,"x")=0,"",SUMIFS('Báo giá'!$L$4:$L$203,'Báo giá'!$C$4:$C$203,$A105,'Báo giá'!$T$4:$T$203,"x")))</f>
        <v/>
      </c>
      <c r="S105" s="38" t="str">
        <f aca="false">IF($A105="","",IF($R105="","",$R105-$J105))</f>
        <v/>
      </c>
      <c r="T105" s="37" t="str">
        <f aca="false">IF($A105="","",IF(COUNTIFS(PR!$C$4:$C$203,$A105)&gt;0,"Đã lập PR","Chưa lập PR"))</f>
        <v/>
      </c>
      <c r="U105" s="32"/>
    </row>
    <row r="106" customFormat="false" ht="15" hidden="false" customHeight="false" outlineLevel="0" collapsed="false">
      <c r="A106" s="32"/>
      <c r="B106" s="33"/>
      <c r="C106" s="32"/>
      <c r="D106" s="37" t="str">
        <f aca="false">IF($C106="","",IFERROR(INDEX('Dự án'!$B$4:$B$203,MATCH($C106,'Dự án'!$A$4:$A$203,0)),""))</f>
        <v/>
      </c>
      <c r="E106" s="32"/>
      <c r="F106" s="32"/>
      <c r="G106" s="32"/>
      <c r="H106" s="34"/>
      <c r="I106" s="34"/>
      <c r="J106" s="38" t="str">
        <f aca="false">IF($A106="","",$H106*$I106)</f>
        <v/>
      </c>
      <c r="K106" s="33"/>
      <c r="L106" s="33"/>
      <c r="M106" s="38" t="str">
        <f aca="false">IF($A106="","",IF($L106="","",$L106-$B106))</f>
        <v/>
      </c>
      <c r="N106" s="32"/>
      <c r="O106" s="37" t="str">
        <f aca="true">IF($A106="","",IF($K106="","",IF($L106="",IF(TODAY()&gt;$K106,"Quá hạn chưa trả","Đang xử lý"),IF($L106&lt;=$K106,"Đúng hạn","Trả trễ"))))</f>
        <v/>
      </c>
      <c r="P106" s="38" t="str">
        <f aca="false">IF($A106="","",COUNTIFS('Báo giá'!$C$4:$C$203,$A106))</f>
        <v/>
      </c>
      <c r="Q106" s="38" t="str">
        <f aca="false">IF($A106="","",IF(SUMIFS('Báo giá'!$K$4:$K$203,'Báo giá'!$C$4:$C$203,$A106,'Báo giá'!$T$4:$T$203,"x")=0,"",SUMIFS('Báo giá'!$K$4:$K$203,'Báo giá'!$C$4:$C$203,$A106,'Báo giá'!$T$4:$T$203,"x")))</f>
        <v/>
      </c>
      <c r="R106" s="38" t="str">
        <f aca="false">IF($A106="","",IF(SUMIFS('Báo giá'!$L$4:$L$203,'Báo giá'!$C$4:$C$203,$A106,'Báo giá'!$T$4:$T$203,"x")=0,"",SUMIFS('Báo giá'!$L$4:$L$203,'Báo giá'!$C$4:$C$203,$A106,'Báo giá'!$T$4:$T$203,"x")))</f>
        <v/>
      </c>
      <c r="S106" s="38" t="str">
        <f aca="false">IF($A106="","",IF($R106="","",$R106-$J106))</f>
        <v/>
      </c>
      <c r="T106" s="37" t="str">
        <f aca="false">IF($A106="","",IF(COUNTIFS(PR!$C$4:$C$203,$A106)&gt;0,"Đã lập PR","Chưa lập PR"))</f>
        <v/>
      </c>
      <c r="U106" s="32"/>
    </row>
    <row r="107" customFormat="false" ht="15" hidden="false" customHeight="false" outlineLevel="0" collapsed="false">
      <c r="A107" s="32"/>
      <c r="B107" s="33"/>
      <c r="C107" s="32"/>
      <c r="D107" s="37" t="str">
        <f aca="false">IF($C107="","",IFERROR(INDEX('Dự án'!$B$4:$B$203,MATCH($C107,'Dự án'!$A$4:$A$203,0)),""))</f>
        <v/>
      </c>
      <c r="E107" s="32"/>
      <c r="F107" s="32"/>
      <c r="G107" s="32"/>
      <c r="H107" s="34"/>
      <c r="I107" s="34"/>
      <c r="J107" s="38" t="str">
        <f aca="false">IF($A107="","",$H107*$I107)</f>
        <v/>
      </c>
      <c r="K107" s="33"/>
      <c r="L107" s="33"/>
      <c r="M107" s="38" t="str">
        <f aca="false">IF($A107="","",IF($L107="","",$L107-$B107))</f>
        <v/>
      </c>
      <c r="N107" s="32"/>
      <c r="O107" s="37" t="str">
        <f aca="true">IF($A107="","",IF($K107="","",IF($L107="",IF(TODAY()&gt;$K107,"Quá hạn chưa trả","Đang xử lý"),IF($L107&lt;=$K107,"Đúng hạn","Trả trễ"))))</f>
        <v/>
      </c>
      <c r="P107" s="38" t="str">
        <f aca="false">IF($A107="","",COUNTIFS('Báo giá'!$C$4:$C$203,$A107))</f>
        <v/>
      </c>
      <c r="Q107" s="38" t="str">
        <f aca="false">IF($A107="","",IF(SUMIFS('Báo giá'!$K$4:$K$203,'Báo giá'!$C$4:$C$203,$A107,'Báo giá'!$T$4:$T$203,"x")=0,"",SUMIFS('Báo giá'!$K$4:$K$203,'Báo giá'!$C$4:$C$203,$A107,'Báo giá'!$T$4:$T$203,"x")))</f>
        <v/>
      </c>
      <c r="R107" s="38" t="str">
        <f aca="false">IF($A107="","",IF(SUMIFS('Báo giá'!$L$4:$L$203,'Báo giá'!$C$4:$C$203,$A107,'Báo giá'!$T$4:$T$203,"x")=0,"",SUMIFS('Báo giá'!$L$4:$L$203,'Báo giá'!$C$4:$C$203,$A107,'Báo giá'!$T$4:$T$203,"x")))</f>
        <v/>
      </c>
      <c r="S107" s="38" t="str">
        <f aca="false">IF($A107="","",IF($R107="","",$R107-$J107))</f>
        <v/>
      </c>
      <c r="T107" s="37" t="str">
        <f aca="false">IF($A107="","",IF(COUNTIFS(PR!$C$4:$C$203,$A107)&gt;0,"Đã lập PR","Chưa lập PR"))</f>
        <v/>
      </c>
      <c r="U107" s="32"/>
    </row>
    <row r="108" customFormat="false" ht="15" hidden="false" customHeight="false" outlineLevel="0" collapsed="false">
      <c r="A108" s="32"/>
      <c r="B108" s="33"/>
      <c r="C108" s="32"/>
      <c r="D108" s="37" t="str">
        <f aca="false">IF($C108="","",IFERROR(INDEX('Dự án'!$B$4:$B$203,MATCH($C108,'Dự án'!$A$4:$A$203,0)),""))</f>
        <v/>
      </c>
      <c r="E108" s="32"/>
      <c r="F108" s="32"/>
      <c r="G108" s="32"/>
      <c r="H108" s="34"/>
      <c r="I108" s="34"/>
      <c r="J108" s="38" t="str">
        <f aca="false">IF($A108="","",$H108*$I108)</f>
        <v/>
      </c>
      <c r="K108" s="33"/>
      <c r="L108" s="33"/>
      <c r="M108" s="38" t="str">
        <f aca="false">IF($A108="","",IF($L108="","",$L108-$B108))</f>
        <v/>
      </c>
      <c r="N108" s="32"/>
      <c r="O108" s="37" t="str">
        <f aca="true">IF($A108="","",IF($K108="","",IF($L108="",IF(TODAY()&gt;$K108,"Quá hạn chưa trả","Đang xử lý"),IF($L108&lt;=$K108,"Đúng hạn","Trả trễ"))))</f>
        <v/>
      </c>
      <c r="P108" s="38" t="str">
        <f aca="false">IF($A108="","",COUNTIFS('Báo giá'!$C$4:$C$203,$A108))</f>
        <v/>
      </c>
      <c r="Q108" s="38" t="str">
        <f aca="false">IF($A108="","",IF(SUMIFS('Báo giá'!$K$4:$K$203,'Báo giá'!$C$4:$C$203,$A108,'Báo giá'!$T$4:$T$203,"x")=0,"",SUMIFS('Báo giá'!$K$4:$K$203,'Báo giá'!$C$4:$C$203,$A108,'Báo giá'!$T$4:$T$203,"x")))</f>
        <v/>
      </c>
      <c r="R108" s="38" t="str">
        <f aca="false">IF($A108="","",IF(SUMIFS('Báo giá'!$L$4:$L$203,'Báo giá'!$C$4:$C$203,$A108,'Báo giá'!$T$4:$T$203,"x")=0,"",SUMIFS('Báo giá'!$L$4:$L$203,'Báo giá'!$C$4:$C$203,$A108,'Báo giá'!$T$4:$T$203,"x")))</f>
        <v/>
      </c>
      <c r="S108" s="38" t="str">
        <f aca="false">IF($A108="","",IF($R108="","",$R108-$J108))</f>
        <v/>
      </c>
      <c r="T108" s="37" t="str">
        <f aca="false">IF($A108="","",IF(COUNTIFS(PR!$C$4:$C$203,$A108)&gt;0,"Đã lập PR","Chưa lập PR"))</f>
        <v/>
      </c>
      <c r="U108" s="32"/>
    </row>
    <row r="109" customFormat="false" ht="15" hidden="false" customHeight="false" outlineLevel="0" collapsed="false">
      <c r="A109" s="32"/>
      <c r="B109" s="33"/>
      <c r="C109" s="32"/>
      <c r="D109" s="37" t="str">
        <f aca="false">IF($C109="","",IFERROR(INDEX('Dự án'!$B$4:$B$203,MATCH($C109,'Dự án'!$A$4:$A$203,0)),""))</f>
        <v/>
      </c>
      <c r="E109" s="32"/>
      <c r="F109" s="32"/>
      <c r="G109" s="32"/>
      <c r="H109" s="34"/>
      <c r="I109" s="34"/>
      <c r="J109" s="38" t="str">
        <f aca="false">IF($A109="","",$H109*$I109)</f>
        <v/>
      </c>
      <c r="K109" s="33"/>
      <c r="L109" s="33"/>
      <c r="M109" s="38" t="str">
        <f aca="false">IF($A109="","",IF($L109="","",$L109-$B109))</f>
        <v/>
      </c>
      <c r="N109" s="32"/>
      <c r="O109" s="37" t="str">
        <f aca="true">IF($A109="","",IF($K109="","",IF($L109="",IF(TODAY()&gt;$K109,"Quá hạn chưa trả","Đang xử lý"),IF($L109&lt;=$K109,"Đúng hạn","Trả trễ"))))</f>
        <v/>
      </c>
      <c r="P109" s="38" t="str">
        <f aca="false">IF($A109="","",COUNTIFS('Báo giá'!$C$4:$C$203,$A109))</f>
        <v/>
      </c>
      <c r="Q109" s="38" t="str">
        <f aca="false">IF($A109="","",IF(SUMIFS('Báo giá'!$K$4:$K$203,'Báo giá'!$C$4:$C$203,$A109,'Báo giá'!$T$4:$T$203,"x")=0,"",SUMIFS('Báo giá'!$K$4:$K$203,'Báo giá'!$C$4:$C$203,$A109,'Báo giá'!$T$4:$T$203,"x")))</f>
        <v/>
      </c>
      <c r="R109" s="38" t="str">
        <f aca="false">IF($A109="","",IF(SUMIFS('Báo giá'!$L$4:$L$203,'Báo giá'!$C$4:$C$203,$A109,'Báo giá'!$T$4:$T$203,"x")=0,"",SUMIFS('Báo giá'!$L$4:$L$203,'Báo giá'!$C$4:$C$203,$A109,'Báo giá'!$T$4:$T$203,"x")))</f>
        <v/>
      </c>
      <c r="S109" s="38" t="str">
        <f aca="false">IF($A109="","",IF($R109="","",$R109-$J109))</f>
        <v/>
      </c>
      <c r="T109" s="37" t="str">
        <f aca="false">IF($A109="","",IF(COUNTIFS(PR!$C$4:$C$203,$A109)&gt;0,"Đã lập PR","Chưa lập PR"))</f>
        <v/>
      </c>
      <c r="U109" s="32"/>
    </row>
    <row r="110" customFormat="false" ht="15" hidden="false" customHeight="false" outlineLevel="0" collapsed="false">
      <c r="A110" s="32"/>
      <c r="B110" s="33"/>
      <c r="C110" s="32"/>
      <c r="D110" s="37" t="str">
        <f aca="false">IF($C110="","",IFERROR(INDEX('Dự án'!$B$4:$B$203,MATCH($C110,'Dự án'!$A$4:$A$203,0)),""))</f>
        <v/>
      </c>
      <c r="E110" s="32"/>
      <c r="F110" s="32"/>
      <c r="G110" s="32"/>
      <c r="H110" s="34"/>
      <c r="I110" s="34"/>
      <c r="J110" s="38" t="str">
        <f aca="false">IF($A110="","",$H110*$I110)</f>
        <v/>
      </c>
      <c r="K110" s="33"/>
      <c r="L110" s="33"/>
      <c r="M110" s="38" t="str">
        <f aca="false">IF($A110="","",IF($L110="","",$L110-$B110))</f>
        <v/>
      </c>
      <c r="N110" s="32"/>
      <c r="O110" s="37" t="str">
        <f aca="true">IF($A110="","",IF($K110="","",IF($L110="",IF(TODAY()&gt;$K110,"Quá hạn chưa trả","Đang xử lý"),IF($L110&lt;=$K110,"Đúng hạn","Trả trễ"))))</f>
        <v/>
      </c>
      <c r="P110" s="38" t="str">
        <f aca="false">IF($A110="","",COUNTIFS('Báo giá'!$C$4:$C$203,$A110))</f>
        <v/>
      </c>
      <c r="Q110" s="38" t="str">
        <f aca="false">IF($A110="","",IF(SUMIFS('Báo giá'!$K$4:$K$203,'Báo giá'!$C$4:$C$203,$A110,'Báo giá'!$T$4:$T$203,"x")=0,"",SUMIFS('Báo giá'!$K$4:$K$203,'Báo giá'!$C$4:$C$203,$A110,'Báo giá'!$T$4:$T$203,"x")))</f>
        <v/>
      </c>
      <c r="R110" s="38" t="str">
        <f aca="false">IF($A110="","",IF(SUMIFS('Báo giá'!$L$4:$L$203,'Báo giá'!$C$4:$C$203,$A110,'Báo giá'!$T$4:$T$203,"x")=0,"",SUMIFS('Báo giá'!$L$4:$L$203,'Báo giá'!$C$4:$C$203,$A110,'Báo giá'!$T$4:$T$203,"x")))</f>
        <v/>
      </c>
      <c r="S110" s="38" t="str">
        <f aca="false">IF($A110="","",IF($R110="","",$R110-$J110))</f>
        <v/>
      </c>
      <c r="T110" s="37" t="str">
        <f aca="false">IF($A110="","",IF(COUNTIFS(PR!$C$4:$C$203,$A110)&gt;0,"Đã lập PR","Chưa lập PR"))</f>
        <v/>
      </c>
      <c r="U110" s="32"/>
    </row>
    <row r="111" customFormat="false" ht="15" hidden="false" customHeight="false" outlineLevel="0" collapsed="false">
      <c r="A111" s="32"/>
      <c r="B111" s="33"/>
      <c r="C111" s="32"/>
      <c r="D111" s="37" t="str">
        <f aca="false">IF($C111="","",IFERROR(INDEX('Dự án'!$B$4:$B$203,MATCH($C111,'Dự án'!$A$4:$A$203,0)),""))</f>
        <v/>
      </c>
      <c r="E111" s="32"/>
      <c r="F111" s="32"/>
      <c r="G111" s="32"/>
      <c r="H111" s="34"/>
      <c r="I111" s="34"/>
      <c r="J111" s="38" t="str">
        <f aca="false">IF($A111="","",$H111*$I111)</f>
        <v/>
      </c>
      <c r="K111" s="33"/>
      <c r="L111" s="33"/>
      <c r="M111" s="38" t="str">
        <f aca="false">IF($A111="","",IF($L111="","",$L111-$B111))</f>
        <v/>
      </c>
      <c r="N111" s="32"/>
      <c r="O111" s="37" t="str">
        <f aca="true">IF($A111="","",IF($K111="","",IF($L111="",IF(TODAY()&gt;$K111,"Quá hạn chưa trả","Đang xử lý"),IF($L111&lt;=$K111,"Đúng hạn","Trả trễ"))))</f>
        <v/>
      </c>
      <c r="P111" s="38" t="str">
        <f aca="false">IF($A111="","",COUNTIFS('Báo giá'!$C$4:$C$203,$A111))</f>
        <v/>
      </c>
      <c r="Q111" s="38" t="str">
        <f aca="false">IF($A111="","",IF(SUMIFS('Báo giá'!$K$4:$K$203,'Báo giá'!$C$4:$C$203,$A111,'Báo giá'!$T$4:$T$203,"x")=0,"",SUMIFS('Báo giá'!$K$4:$K$203,'Báo giá'!$C$4:$C$203,$A111,'Báo giá'!$T$4:$T$203,"x")))</f>
        <v/>
      </c>
      <c r="R111" s="38" t="str">
        <f aca="false">IF($A111="","",IF(SUMIFS('Báo giá'!$L$4:$L$203,'Báo giá'!$C$4:$C$203,$A111,'Báo giá'!$T$4:$T$203,"x")=0,"",SUMIFS('Báo giá'!$L$4:$L$203,'Báo giá'!$C$4:$C$203,$A111,'Báo giá'!$T$4:$T$203,"x")))</f>
        <v/>
      </c>
      <c r="S111" s="38" t="str">
        <f aca="false">IF($A111="","",IF($R111="","",$R111-$J111))</f>
        <v/>
      </c>
      <c r="T111" s="37" t="str">
        <f aca="false">IF($A111="","",IF(COUNTIFS(PR!$C$4:$C$203,$A111)&gt;0,"Đã lập PR","Chưa lập PR"))</f>
        <v/>
      </c>
      <c r="U111" s="32"/>
    </row>
    <row r="112" customFormat="false" ht="15" hidden="false" customHeight="false" outlineLevel="0" collapsed="false">
      <c r="A112" s="32"/>
      <c r="B112" s="33"/>
      <c r="C112" s="32"/>
      <c r="D112" s="37" t="str">
        <f aca="false">IF($C112="","",IFERROR(INDEX('Dự án'!$B$4:$B$203,MATCH($C112,'Dự án'!$A$4:$A$203,0)),""))</f>
        <v/>
      </c>
      <c r="E112" s="32"/>
      <c r="F112" s="32"/>
      <c r="G112" s="32"/>
      <c r="H112" s="34"/>
      <c r="I112" s="34"/>
      <c r="J112" s="38" t="str">
        <f aca="false">IF($A112="","",$H112*$I112)</f>
        <v/>
      </c>
      <c r="K112" s="33"/>
      <c r="L112" s="33"/>
      <c r="M112" s="38" t="str">
        <f aca="false">IF($A112="","",IF($L112="","",$L112-$B112))</f>
        <v/>
      </c>
      <c r="N112" s="32"/>
      <c r="O112" s="37" t="str">
        <f aca="true">IF($A112="","",IF($K112="","",IF($L112="",IF(TODAY()&gt;$K112,"Quá hạn chưa trả","Đang xử lý"),IF($L112&lt;=$K112,"Đúng hạn","Trả trễ"))))</f>
        <v/>
      </c>
      <c r="P112" s="38" t="str">
        <f aca="false">IF($A112="","",COUNTIFS('Báo giá'!$C$4:$C$203,$A112))</f>
        <v/>
      </c>
      <c r="Q112" s="38" t="str">
        <f aca="false">IF($A112="","",IF(SUMIFS('Báo giá'!$K$4:$K$203,'Báo giá'!$C$4:$C$203,$A112,'Báo giá'!$T$4:$T$203,"x")=0,"",SUMIFS('Báo giá'!$K$4:$K$203,'Báo giá'!$C$4:$C$203,$A112,'Báo giá'!$T$4:$T$203,"x")))</f>
        <v/>
      </c>
      <c r="R112" s="38" t="str">
        <f aca="false">IF($A112="","",IF(SUMIFS('Báo giá'!$L$4:$L$203,'Báo giá'!$C$4:$C$203,$A112,'Báo giá'!$T$4:$T$203,"x")=0,"",SUMIFS('Báo giá'!$L$4:$L$203,'Báo giá'!$C$4:$C$203,$A112,'Báo giá'!$T$4:$T$203,"x")))</f>
        <v/>
      </c>
      <c r="S112" s="38" t="str">
        <f aca="false">IF($A112="","",IF($R112="","",$R112-$J112))</f>
        <v/>
      </c>
      <c r="T112" s="37" t="str">
        <f aca="false">IF($A112="","",IF(COUNTIFS(PR!$C$4:$C$203,$A112)&gt;0,"Đã lập PR","Chưa lập PR"))</f>
        <v/>
      </c>
      <c r="U112" s="32"/>
    </row>
    <row r="113" customFormat="false" ht="15" hidden="false" customHeight="false" outlineLevel="0" collapsed="false">
      <c r="A113" s="32"/>
      <c r="B113" s="33"/>
      <c r="C113" s="32"/>
      <c r="D113" s="37" t="str">
        <f aca="false">IF($C113="","",IFERROR(INDEX('Dự án'!$B$4:$B$203,MATCH($C113,'Dự án'!$A$4:$A$203,0)),""))</f>
        <v/>
      </c>
      <c r="E113" s="32"/>
      <c r="F113" s="32"/>
      <c r="G113" s="32"/>
      <c r="H113" s="34"/>
      <c r="I113" s="34"/>
      <c r="J113" s="38" t="str">
        <f aca="false">IF($A113="","",$H113*$I113)</f>
        <v/>
      </c>
      <c r="K113" s="33"/>
      <c r="L113" s="33"/>
      <c r="M113" s="38" t="str">
        <f aca="false">IF($A113="","",IF($L113="","",$L113-$B113))</f>
        <v/>
      </c>
      <c r="N113" s="32"/>
      <c r="O113" s="37" t="str">
        <f aca="true">IF($A113="","",IF($K113="","",IF($L113="",IF(TODAY()&gt;$K113,"Quá hạn chưa trả","Đang xử lý"),IF($L113&lt;=$K113,"Đúng hạn","Trả trễ"))))</f>
        <v/>
      </c>
      <c r="P113" s="38" t="str">
        <f aca="false">IF($A113="","",COUNTIFS('Báo giá'!$C$4:$C$203,$A113))</f>
        <v/>
      </c>
      <c r="Q113" s="38" t="str">
        <f aca="false">IF($A113="","",IF(SUMIFS('Báo giá'!$K$4:$K$203,'Báo giá'!$C$4:$C$203,$A113,'Báo giá'!$T$4:$T$203,"x")=0,"",SUMIFS('Báo giá'!$K$4:$K$203,'Báo giá'!$C$4:$C$203,$A113,'Báo giá'!$T$4:$T$203,"x")))</f>
        <v/>
      </c>
      <c r="R113" s="38" t="str">
        <f aca="false">IF($A113="","",IF(SUMIFS('Báo giá'!$L$4:$L$203,'Báo giá'!$C$4:$C$203,$A113,'Báo giá'!$T$4:$T$203,"x")=0,"",SUMIFS('Báo giá'!$L$4:$L$203,'Báo giá'!$C$4:$C$203,$A113,'Báo giá'!$T$4:$T$203,"x")))</f>
        <v/>
      </c>
      <c r="S113" s="38" t="str">
        <f aca="false">IF($A113="","",IF($R113="","",$R113-$J113))</f>
        <v/>
      </c>
      <c r="T113" s="37" t="str">
        <f aca="false">IF($A113="","",IF(COUNTIFS(PR!$C$4:$C$203,$A113)&gt;0,"Đã lập PR","Chưa lập PR"))</f>
        <v/>
      </c>
      <c r="U113" s="32"/>
    </row>
    <row r="114" customFormat="false" ht="15" hidden="false" customHeight="false" outlineLevel="0" collapsed="false">
      <c r="A114" s="32"/>
      <c r="B114" s="33"/>
      <c r="C114" s="32"/>
      <c r="D114" s="37" t="str">
        <f aca="false">IF($C114="","",IFERROR(INDEX('Dự án'!$B$4:$B$203,MATCH($C114,'Dự án'!$A$4:$A$203,0)),""))</f>
        <v/>
      </c>
      <c r="E114" s="32"/>
      <c r="F114" s="32"/>
      <c r="G114" s="32"/>
      <c r="H114" s="34"/>
      <c r="I114" s="34"/>
      <c r="J114" s="38" t="str">
        <f aca="false">IF($A114="","",$H114*$I114)</f>
        <v/>
      </c>
      <c r="K114" s="33"/>
      <c r="L114" s="33"/>
      <c r="M114" s="38" t="str">
        <f aca="false">IF($A114="","",IF($L114="","",$L114-$B114))</f>
        <v/>
      </c>
      <c r="N114" s="32"/>
      <c r="O114" s="37" t="str">
        <f aca="true">IF($A114="","",IF($K114="","",IF($L114="",IF(TODAY()&gt;$K114,"Quá hạn chưa trả","Đang xử lý"),IF($L114&lt;=$K114,"Đúng hạn","Trả trễ"))))</f>
        <v/>
      </c>
      <c r="P114" s="38" t="str">
        <f aca="false">IF($A114="","",COUNTIFS('Báo giá'!$C$4:$C$203,$A114))</f>
        <v/>
      </c>
      <c r="Q114" s="38" t="str">
        <f aca="false">IF($A114="","",IF(SUMIFS('Báo giá'!$K$4:$K$203,'Báo giá'!$C$4:$C$203,$A114,'Báo giá'!$T$4:$T$203,"x")=0,"",SUMIFS('Báo giá'!$K$4:$K$203,'Báo giá'!$C$4:$C$203,$A114,'Báo giá'!$T$4:$T$203,"x")))</f>
        <v/>
      </c>
      <c r="R114" s="38" t="str">
        <f aca="false">IF($A114="","",IF(SUMIFS('Báo giá'!$L$4:$L$203,'Báo giá'!$C$4:$C$203,$A114,'Báo giá'!$T$4:$T$203,"x")=0,"",SUMIFS('Báo giá'!$L$4:$L$203,'Báo giá'!$C$4:$C$203,$A114,'Báo giá'!$T$4:$T$203,"x")))</f>
        <v/>
      </c>
      <c r="S114" s="38" t="str">
        <f aca="false">IF($A114="","",IF($R114="","",$R114-$J114))</f>
        <v/>
      </c>
      <c r="T114" s="37" t="str">
        <f aca="false">IF($A114="","",IF(COUNTIFS(PR!$C$4:$C$203,$A114)&gt;0,"Đã lập PR","Chưa lập PR"))</f>
        <v/>
      </c>
      <c r="U114" s="32"/>
    </row>
    <row r="115" customFormat="false" ht="15" hidden="false" customHeight="false" outlineLevel="0" collapsed="false">
      <c r="A115" s="32"/>
      <c r="B115" s="33"/>
      <c r="C115" s="32"/>
      <c r="D115" s="37" t="str">
        <f aca="false">IF($C115="","",IFERROR(INDEX('Dự án'!$B$4:$B$203,MATCH($C115,'Dự án'!$A$4:$A$203,0)),""))</f>
        <v/>
      </c>
      <c r="E115" s="32"/>
      <c r="F115" s="32"/>
      <c r="G115" s="32"/>
      <c r="H115" s="34"/>
      <c r="I115" s="34"/>
      <c r="J115" s="38" t="str">
        <f aca="false">IF($A115="","",$H115*$I115)</f>
        <v/>
      </c>
      <c r="K115" s="33"/>
      <c r="L115" s="33"/>
      <c r="M115" s="38" t="str">
        <f aca="false">IF($A115="","",IF($L115="","",$L115-$B115))</f>
        <v/>
      </c>
      <c r="N115" s="32"/>
      <c r="O115" s="37" t="str">
        <f aca="true">IF($A115="","",IF($K115="","",IF($L115="",IF(TODAY()&gt;$K115,"Quá hạn chưa trả","Đang xử lý"),IF($L115&lt;=$K115,"Đúng hạn","Trả trễ"))))</f>
        <v/>
      </c>
      <c r="P115" s="38" t="str">
        <f aca="false">IF($A115="","",COUNTIFS('Báo giá'!$C$4:$C$203,$A115))</f>
        <v/>
      </c>
      <c r="Q115" s="38" t="str">
        <f aca="false">IF($A115="","",IF(SUMIFS('Báo giá'!$K$4:$K$203,'Báo giá'!$C$4:$C$203,$A115,'Báo giá'!$T$4:$T$203,"x")=0,"",SUMIFS('Báo giá'!$K$4:$K$203,'Báo giá'!$C$4:$C$203,$A115,'Báo giá'!$T$4:$T$203,"x")))</f>
        <v/>
      </c>
      <c r="R115" s="38" t="str">
        <f aca="false">IF($A115="","",IF(SUMIFS('Báo giá'!$L$4:$L$203,'Báo giá'!$C$4:$C$203,$A115,'Báo giá'!$T$4:$T$203,"x")=0,"",SUMIFS('Báo giá'!$L$4:$L$203,'Báo giá'!$C$4:$C$203,$A115,'Báo giá'!$T$4:$T$203,"x")))</f>
        <v/>
      </c>
      <c r="S115" s="38" t="str">
        <f aca="false">IF($A115="","",IF($R115="","",$R115-$J115))</f>
        <v/>
      </c>
      <c r="T115" s="37" t="str">
        <f aca="false">IF($A115="","",IF(COUNTIFS(PR!$C$4:$C$203,$A115)&gt;0,"Đã lập PR","Chưa lập PR"))</f>
        <v/>
      </c>
      <c r="U115" s="32"/>
    </row>
    <row r="116" customFormat="false" ht="15" hidden="false" customHeight="false" outlineLevel="0" collapsed="false">
      <c r="A116" s="32"/>
      <c r="B116" s="33"/>
      <c r="C116" s="32"/>
      <c r="D116" s="37" t="str">
        <f aca="false">IF($C116="","",IFERROR(INDEX('Dự án'!$B$4:$B$203,MATCH($C116,'Dự án'!$A$4:$A$203,0)),""))</f>
        <v/>
      </c>
      <c r="E116" s="32"/>
      <c r="F116" s="32"/>
      <c r="G116" s="32"/>
      <c r="H116" s="34"/>
      <c r="I116" s="34"/>
      <c r="J116" s="38" t="str">
        <f aca="false">IF($A116="","",$H116*$I116)</f>
        <v/>
      </c>
      <c r="K116" s="33"/>
      <c r="L116" s="33"/>
      <c r="M116" s="38" t="str">
        <f aca="false">IF($A116="","",IF($L116="","",$L116-$B116))</f>
        <v/>
      </c>
      <c r="N116" s="32"/>
      <c r="O116" s="37" t="str">
        <f aca="true">IF($A116="","",IF($K116="","",IF($L116="",IF(TODAY()&gt;$K116,"Quá hạn chưa trả","Đang xử lý"),IF($L116&lt;=$K116,"Đúng hạn","Trả trễ"))))</f>
        <v/>
      </c>
      <c r="P116" s="38" t="str">
        <f aca="false">IF($A116="","",COUNTIFS('Báo giá'!$C$4:$C$203,$A116))</f>
        <v/>
      </c>
      <c r="Q116" s="38" t="str">
        <f aca="false">IF($A116="","",IF(SUMIFS('Báo giá'!$K$4:$K$203,'Báo giá'!$C$4:$C$203,$A116,'Báo giá'!$T$4:$T$203,"x")=0,"",SUMIFS('Báo giá'!$K$4:$K$203,'Báo giá'!$C$4:$C$203,$A116,'Báo giá'!$T$4:$T$203,"x")))</f>
        <v/>
      </c>
      <c r="R116" s="38" t="str">
        <f aca="false">IF($A116="","",IF(SUMIFS('Báo giá'!$L$4:$L$203,'Báo giá'!$C$4:$C$203,$A116,'Báo giá'!$T$4:$T$203,"x")=0,"",SUMIFS('Báo giá'!$L$4:$L$203,'Báo giá'!$C$4:$C$203,$A116,'Báo giá'!$T$4:$T$203,"x")))</f>
        <v/>
      </c>
      <c r="S116" s="38" t="str">
        <f aca="false">IF($A116="","",IF($R116="","",$R116-$J116))</f>
        <v/>
      </c>
      <c r="T116" s="37" t="str">
        <f aca="false">IF($A116="","",IF(COUNTIFS(PR!$C$4:$C$203,$A116)&gt;0,"Đã lập PR","Chưa lập PR"))</f>
        <v/>
      </c>
      <c r="U116" s="32"/>
    </row>
    <row r="117" customFormat="false" ht="15" hidden="false" customHeight="false" outlineLevel="0" collapsed="false">
      <c r="A117" s="32"/>
      <c r="B117" s="33"/>
      <c r="C117" s="32"/>
      <c r="D117" s="37" t="str">
        <f aca="false">IF($C117="","",IFERROR(INDEX('Dự án'!$B$4:$B$203,MATCH($C117,'Dự án'!$A$4:$A$203,0)),""))</f>
        <v/>
      </c>
      <c r="E117" s="32"/>
      <c r="F117" s="32"/>
      <c r="G117" s="32"/>
      <c r="H117" s="34"/>
      <c r="I117" s="34"/>
      <c r="J117" s="38" t="str">
        <f aca="false">IF($A117="","",$H117*$I117)</f>
        <v/>
      </c>
      <c r="K117" s="33"/>
      <c r="L117" s="33"/>
      <c r="M117" s="38" t="str">
        <f aca="false">IF($A117="","",IF($L117="","",$L117-$B117))</f>
        <v/>
      </c>
      <c r="N117" s="32"/>
      <c r="O117" s="37" t="str">
        <f aca="true">IF($A117="","",IF($K117="","",IF($L117="",IF(TODAY()&gt;$K117,"Quá hạn chưa trả","Đang xử lý"),IF($L117&lt;=$K117,"Đúng hạn","Trả trễ"))))</f>
        <v/>
      </c>
      <c r="P117" s="38" t="str">
        <f aca="false">IF($A117="","",COUNTIFS('Báo giá'!$C$4:$C$203,$A117))</f>
        <v/>
      </c>
      <c r="Q117" s="38" t="str">
        <f aca="false">IF($A117="","",IF(SUMIFS('Báo giá'!$K$4:$K$203,'Báo giá'!$C$4:$C$203,$A117,'Báo giá'!$T$4:$T$203,"x")=0,"",SUMIFS('Báo giá'!$K$4:$K$203,'Báo giá'!$C$4:$C$203,$A117,'Báo giá'!$T$4:$T$203,"x")))</f>
        <v/>
      </c>
      <c r="R117" s="38" t="str">
        <f aca="false">IF($A117="","",IF(SUMIFS('Báo giá'!$L$4:$L$203,'Báo giá'!$C$4:$C$203,$A117,'Báo giá'!$T$4:$T$203,"x")=0,"",SUMIFS('Báo giá'!$L$4:$L$203,'Báo giá'!$C$4:$C$203,$A117,'Báo giá'!$T$4:$T$203,"x")))</f>
        <v/>
      </c>
      <c r="S117" s="38" t="str">
        <f aca="false">IF($A117="","",IF($R117="","",$R117-$J117))</f>
        <v/>
      </c>
      <c r="T117" s="37" t="str">
        <f aca="false">IF($A117="","",IF(COUNTIFS(PR!$C$4:$C$203,$A117)&gt;0,"Đã lập PR","Chưa lập PR"))</f>
        <v/>
      </c>
      <c r="U117" s="32"/>
    </row>
    <row r="118" customFormat="false" ht="15" hidden="false" customHeight="false" outlineLevel="0" collapsed="false">
      <c r="A118" s="32"/>
      <c r="B118" s="33"/>
      <c r="C118" s="32"/>
      <c r="D118" s="37" t="str">
        <f aca="false">IF($C118="","",IFERROR(INDEX('Dự án'!$B$4:$B$203,MATCH($C118,'Dự án'!$A$4:$A$203,0)),""))</f>
        <v/>
      </c>
      <c r="E118" s="32"/>
      <c r="F118" s="32"/>
      <c r="G118" s="32"/>
      <c r="H118" s="34"/>
      <c r="I118" s="34"/>
      <c r="J118" s="38" t="str">
        <f aca="false">IF($A118="","",$H118*$I118)</f>
        <v/>
      </c>
      <c r="K118" s="33"/>
      <c r="L118" s="33"/>
      <c r="M118" s="38" t="str">
        <f aca="false">IF($A118="","",IF($L118="","",$L118-$B118))</f>
        <v/>
      </c>
      <c r="N118" s="32"/>
      <c r="O118" s="37" t="str">
        <f aca="true">IF($A118="","",IF($K118="","",IF($L118="",IF(TODAY()&gt;$K118,"Quá hạn chưa trả","Đang xử lý"),IF($L118&lt;=$K118,"Đúng hạn","Trả trễ"))))</f>
        <v/>
      </c>
      <c r="P118" s="38" t="str">
        <f aca="false">IF($A118="","",COUNTIFS('Báo giá'!$C$4:$C$203,$A118))</f>
        <v/>
      </c>
      <c r="Q118" s="38" t="str">
        <f aca="false">IF($A118="","",IF(SUMIFS('Báo giá'!$K$4:$K$203,'Báo giá'!$C$4:$C$203,$A118,'Báo giá'!$T$4:$T$203,"x")=0,"",SUMIFS('Báo giá'!$K$4:$K$203,'Báo giá'!$C$4:$C$203,$A118,'Báo giá'!$T$4:$T$203,"x")))</f>
        <v/>
      </c>
      <c r="R118" s="38" t="str">
        <f aca="false">IF($A118="","",IF(SUMIFS('Báo giá'!$L$4:$L$203,'Báo giá'!$C$4:$C$203,$A118,'Báo giá'!$T$4:$T$203,"x")=0,"",SUMIFS('Báo giá'!$L$4:$L$203,'Báo giá'!$C$4:$C$203,$A118,'Báo giá'!$T$4:$T$203,"x")))</f>
        <v/>
      </c>
      <c r="S118" s="38" t="str">
        <f aca="false">IF($A118="","",IF($R118="","",$R118-$J118))</f>
        <v/>
      </c>
      <c r="T118" s="37" t="str">
        <f aca="false">IF($A118="","",IF(COUNTIFS(PR!$C$4:$C$203,$A118)&gt;0,"Đã lập PR","Chưa lập PR"))</f>
        <v/>
      </c>
      <c r="U118" s="32"/>
    </row>
    <row r="119" customFormat="false" ht="15" hidden="false" customHeight="false" outlineLevel="0" collapsed="false">
      <c r="A119" s="32"/>
      <c r="B119" s="33"/>
      <c r="C119" s="32"/>
      <c r="D119" s="37" t="str">
        <f aca="false">IF($C119="","",IFERROR(INDEX('Dự án'!$B$4:$B$203,MATCH($C119,'Dự án'!$A$4:$A$203,0)),""))</f>
        <v/>
      </c>
      <c r="E119" s="32"/>
      <c r="F119" s="32"/>
      <c r="G119" s="32"/>
      <c r="H119" s="34"/>
      <c r="I119" s="34"/>
      <c r="J119" s="38" t="str">
        <f aca="false">IF($A119="","",$H119*$I119)</f>
        <v/>
      </c>
      <c r="K119" s="33"/>
      <c r="L119" s="33"/>
      <c r="M119" s="38" t="str">
        <f aca="false">IF($A119="","",IF($L119="","",$L119-$B119))</f>
        <v/>
      </c>
      <c r="N119" s="32"/>
      <c r="O119" s="37" t="str">
        <f aca="true">IF($A119="","",IF($K119="","",IF($L119="",IF(TODAY()&gt;$K119,"Quá hạn chưa trả","Đang xử lý"),IF($L119&lt;=$K119,"Đúng hạn","Trả trễ"))))</f>
        <v/>
      </c>
      <c r="P119" s="38" t="str">
        <f aca="false">IF($A119="","",COUNTIFS('Báo giá'!$C$4:$C$203,$A119))</f>
        <v/>
      </c>
      <c r="Q119" s="38" t="str">
        <f aca="false">IF($A119="","",IF(SUMIFS('Báo giá'!$K$4:$K$203,'Báo giá'!$C$4:$C$203,$A119,'Báo giá'!$T$4:$T$203,"x")=0,"",SUMIFS('Báo giá'!$K$4:$K$203,'Báo giá'!$C$4:$C$203,$A119,'Báo giá'!$T$4:$T$203,"x")))</f>
        <v/>
      </c>
      <c r="R119" s="38" t="str">
        <f aca="false">IF($A119="","",IF(SUMIFS('Báo giá'!$L$4:$L$203,'Báo giá'!$C$4:$C$203,$A119,'Báo giá'!$T$4:$T$203,"x")=0,"",SUMIFS('Báo giá'!$L$4:$L$203,'Báo giá'!$C$4:$C$203,$A119,'Báo giá'!$T$4:$T$203,"x")))</f>
        <v/>
      </c>
      <c r="S119" s="38" t="str">
        <f aca="false">IF($A119="","",IF($R119="","",$R119-$J119))</f>
        <v/>
      </c>
      <c r="T119" s="37" t="str">
        <f aca="false">IF($A119="","",IF(COUNTIFS(PR!$C$4:$C$203,$A119)&gt;0,"Đã lập PR","Chưa lập PR"))</f>
        <v/>
      </c>
      <c r="U119" s="32"/>
    </row>
    <row r="120" customFormat="false" ht="15" hidden="false" customHeight="false" outlineLevel="0" collapsed="false">
      <c r="A120" s="32"/>
      <c r="B120" s="33"/>
      <c r="C120" s="32"/>
      <c r="D120" s="37" t="str">
        <f aca="false">IF($C120="","",IFERROR(INDEX('Dự án'!$B$4:$B$203,MATCH($C120,'Dự án'!$A$4:$A$203,0)),""))</f>
        <v/>
      </c>
      <c r="E120" s="32"/>
      <c r="F120" s="32"/>
      <c r="G120" s="32"/>
      <c r="H120" s="34"/>
      <c r="I120" s="34"/>
      <c r="J120" s="38" t="str">
        <f aca="false">IF($A120="","",$H120*$I120)</f>
        <v/>
      </c>
      <c r="K120" s="33"/>
      <c r="L120" s="33"/>
      <c r="M120" s="38" t="str">
        <f aca="false">IF($A120="","",IF($L120="","",$L120-$B120))</f>
        <v/>
      </c>
      <c r="N120" s="32"/>
      <c r="O120" s="37" t="str">
        <f aca="true">IF($A120="","",IF($K120="","",IF($L120="",IF(TODAY()&gt;$K120,"Quá hạn chưa trả","Đang xử lý"),IF($L120&lt;=$K120,"Đúng hạn","Trả trễ"))))</f>
        <v/>
      </c>
      <c r="P120" s="38" t="str">
        <f aca="false">IF($A120="","",COUNTIFS('Báo giá'!$C$4:$C$203,$A120))</f>
        <v/>
      </c>
      <c r="Q120" s="38" t="str">
        <f aca="false">IF($A120="","",IF(SUMIFS('Báo giá'!$K$4:$K$203,'Báo giá'!$C$4:$C$203,$A120,'Báo giá'!$T$4:$T$203,"x")=0,"",SUMIFS('Báo giá'!$K$4:$K$203,'Báo giá'!$C$4:$C$203,$A120,'Báo giá'!$T$4:$T$203,"x")))</f>
        <v/>
      </c>
      <c r="R120" s="38" t="str">
        <f aca="false">IF($A120="","",IF(SUMIFS('Báo giá'!$L$4:$L$203,'Báo giá'!$C$4:$C$203,$A120,'Báo giá'!$T$4:$T$203,"x")=0,"",SUMIFS('Báo giá'!$L$4:$L$203,'Báo giá'!$C$4:$C$203,$A120,'Báo giá'!$T$4:$T$203,"x")))</f>
        <v/>
      </c>
      <c r="S120" s="38" t="str">
        <f aca="false">IF($A120="","",IF($R120="","",$R120-$J120))</f>
        <v/>
      </c>
      <c r="T120" s="37" t="str">
        <f aca="false">IF($A120="","",IF(COUNTIFS(PR!$C$4:$C$203,$A120)&gt;0,"Đã lập PR","Chưa lập PR"))</f>
        <v/>
      </c>
      <c r="U120" s="32"/>
    </row>
    <row r="121" customFormat="false" ht="15" hidden="false" customHeight="false" outlineLevel="0" collapsed="false">
      <c r="A121" s="32"/>
      <c r="B121" s="33"/>
      <c r="C121" s="32"/>
      <c r="D121" s="37" t="str">
        <f aca="false">IF($C121="","",IFERROR(INDEX('Dự án'!$B$4:$B$203,MATCH($C121,'Dự án'!$A$4:$A$203,0)),""))</f>
        <v/>
      </c>
      <c r="E121" s="32"/>
      <c r="F121" s="32"/>
      <c r="G121" s="32"/>
      <c r="H121" s="34"/>
      <c r="I121" s="34"/>
      <c r="J121" s="38" t="str">
        <f aca="false">IF($A121="","",$H121*$I121)</f>
        <v/>
      </c>
      <c r="K121" s="33"/>
      <c r="L121" s="33"/>
      <c r="M121" s="38" t="str">
        <f aca="false">IF($A121="","",IF($L121="","",$L121-$B121))</f>
        <v/>
      </c>
      <c r="N121" s="32"/>
      <c r="O121" s="37" t="str">
        <f aca="true">IF($A121="","",IF($K121="","",IF($L121="",IF(TODAY()&gt;$K121,"Quá hạn chưa trả","Đang xử lý"),IF($L121&lt;=$K121,"Đúng hạn","Trả trễ"))))</f>
        <v/>
      </c>
      <c r="P121" s="38" t="str">
        <f aca="false">IF($A121="","",COUNTIFS('Báo giá'!$C$4:$C$203,$A121))</f>
        <v/>
      </c>
      <c r="Q121" s="38" t="str">
        <f aca="false">IF($A121="","",IF(SUMIFS('Báo giá'!$K$4:$K$203,'Báo giá'!$C$4:$C$203,$A121,'Báo giá'!$T$4:$T$203,"x")=0,"",SUMIFS('Báo giá'!$K$4:$K$203,'Báo giá'!$C$4:$C$203,$A121,'Báo giá'!$T$4:$T$203,"x")))</f>
        <v/>
      </c>
      <c r="R121" s="38" t="str">
        <f aca="false">IF($A121="","",IF(SUMIFS('Báo giá'!$L$4:$L$203,'Báo giá'!$C$4:$C$203,$A121,'Báo giá'!$T$4:$T$203,"x")=0,"",SUMIFS('Báo giá'!$L$4:$L$203,'Báo giá'!$C$4:$C$203,$A121,'Báo giá'!$T$4:$T$203,"x")))</f>
        <v/>
      </c>
      <c r="S121" s="38" t="str">
        <f aca="false">IF($A121="","",IF($R121="","",$R121-$J121))</f>
        <v/>
      </c>
      <c r="T121" s="37" t="str">
        <f aca="false">IF($A121="","",IF(COUNTIFS(PR!$C$4:$C$203,$A121)&gt;0,"Đã lập PR","Chưa lập PR"))</f>
        <v/>
      </c>
      <c r="U121" s="32"/>
    </row>
    <row r="122" customFormat="false" ht="15" hidden="false" customHeight="false" outlineLevel="0" collapsed="false">
      <c r="A122" s="32"/>
      <c r="B122" s="33"/>
      <c r="C122" s="32"/>
      <c r="D122" s="37" t="str">
        <f aca="false">IF($C122="","",IFERROR(INDEX('Dự án'!$B$4:$B$203,MATCH($C122,'Dự án'!$A$4:$A$203,0)),""))</f>
        <v/>
      </c>
      <c r="E122" s="32"/>
      <c r="F122" s="32"/>
      <c r="G122" s="32"/>
      <c r="H122" s="34"/>
      <c r="I122" s="34"/>
      <c r="J122" s="38" t="str">
        <f aca="false">IF($A122="","",$H122*$I122)</f>
        <v/>
      </c>
      <c r="K122" s="33"/>
      <c r="L122" s="33"/>
      <c r="M122" s="38" t="str">
        <f aca="false">IF($A122="","",IF($L122="","",$L122-$B122))</f>
        <v/>
      </c>
      <c r="N122" s="32"/>
      <c r="O122" s="37" t="str">
        <f aca="true">IF($A122="","",IF($K122="","",IF($L122="",IF(TODAY()&gt;$K122,"Quá hạn chưa trả","Đang xử lý"),IF($L122&lt;=$K122,"Đúng hạn","Trả trễ"))))</f>
        <v/>
      </c>
      <c r="P122" s="38" t="str">
        <f aca="false">IF($A122="","",COUNTIFS('Báo giá'!$C$4:$C$203,$A122))</f>
        <v/>
      </c>
      <c r="Q122" s="38" t="str">
        <f aca="false">IF($A122="","",IF(SUMIFS('Báo giá'!$K$4:$K$203,'Báo giá'!$C$4:$C$203,$A122,'Báo giá'!$T$4:$T$203,"x")=0,"",SUMIFS('Báo giá'!$K$4:$K$203,'Báo giá'!$C$4:$C$203,$A122,'Báo giá'!$T$4:$T$203,"x")))</f>
        <v/>
      </c>
      <c r="R122" s="38" t="str">
        <f aca="false">IF($A122="","",IF(SUMIFS('Báo giá'!$L$4:$L$203,'Báo giá'!$C$4:$C$203,$A122,'Báo giá'!$T$4:$T$203,"x")=0,"",SUMIFS('Báo giá'!$L$4:$L$203,'Báo giá'!$C$4:$C$203,$A122,'Báo giá'!$T$4:$T$203,"x")))</f>
        <v/>
      </c>
      <c r="S122" s="38" t="str">
        <f aca="false">IF($A122="","",IF($R122="","",$R122-$J122))</f>
        <v/>
      </c>
      <c r="T122" s="37" t="str">
        <f aca="false">IF($A122="","",IF(COUNTIFS(PR!$C$4:$C$203,$A122)&gt;0,"Đã lập PR","Chưa lập PR"))</f>
        <v/>
      </c>
      <c r="U122" s="32"/>
    </row>
    <row r="123" customFormat="false" ht="15" hidden="false" customHeight="false" outlineLevel="0" collapsed="false">
      <c r="A123" s="32"/>
      <c r="B123" s="33"/>
      <c r="C123" s="32"/>
      <c r="D123" s="37" t="str">
        <f aca="false">IF($C123="","",IFERROR(INDEX('Dự án'!$B$4:$B$203,MATCH($C123,'Dự án'!$A$4:$A$203,0)),""))</f>
        <v/>
      </c>
      <c r="E123" s="32"/>
      <c r="F123" s="32"/>
      <c r="G123" s="32"/>
      <c r="H123" s="34"/>
      <c r="I123" s="34"/>
      <c r="J123" s="38" t="str">
        <f aca="false">IF($A123="","",$H123*$I123)</f>
        <v/>
      </c>
      <c r="K123" s="33"/>
      <c r="L123" s="33"/>
      <c r="M123" s="38" t="str">
        <f aca="false">IF($A123="","",IF($L123="","",$L123-$B123))</f>
        <v/>
      </c>
      <c r="N123" s="32"/>
      <c r="O123" s="37" t="str">
        <f aca="true">IF($A123="","",IF($K123="","",IF($L123="",IF(TODAY()&gt;$K123,"Quá hạn chưa trả","Đang xử lý"),IF($L123&lt;=$K123,"Đúng hạn","Trả trễ"))))</f>
        <v/>
      </c>
      <c r="P123" s="38" t="str">
        <f aca="false">IF($A123="","",COUNTIFS('Báo giá'!$C$4:$C$203,$A123))</f>
        <v/>
      </c>
      <c r="Q123" s="38" t="str">
        <f aca="false">IF($A123="","",IF(SUMIFS('Báo giá'!$K$4:$K$203,'Báo giá'!$C$4:$C$203,$A123,'Báo giá'!$T$4:$T$203,"x")=0,"",SUMIFS('Báo giá'!$K$4:$K$203,'Báo giá'!$C$4:$C$203,$A123,'Báo giá'!$T$4:$T$203,"x")))</f>
        <v/>
      </c>
      <c r="R123" s="38" t="str">
        <f aca="false">IF($A123="","",IF(SUMIFS('Báo giá'!$L$4:$L$203,'Báo giá'!$C$4:$C$203,$A123,'Báo giá'!$T$4:$T$203,"x")=0,"",SUMIFS('Báo giá'!$L$4:$L$203,'Báo giá'!$C$4:$C$203,$A123,'Báo giá'!$T$4:$T$203,"x")))</f>
        <v/>
      </c>
      <c r="S123" s="38" t="str">
        <f aca="false">IF($A123="","",IF($R123="","",$R123-$J123))</f>
        <v/>
      </c>
      <c r="T123" s="37" t="str">
        <f aca="false">IF($A123="","",IF(COUNTIFS(PR!$C$4:$C$203,$A123)&gt;0,"Đã lập PR","Chưa lập PR"))</f>
        <v/>
      </c>
      <c r="U123" s="32"/>
    </row>
    <row r="124" customFormat="false" ht="15" hidden="false" customHeight="false" outlineLevel="0" collapsed="false">
      <c r="A124" s="32"/>
      <c r="B124" s="33"/>
      <c r="C124" s="32"/>
      <c r="D124" s="37" t="str">
        <f aca="false">IF($C124="","",IFERROR(INDEX('Dự án'!$B$4:$B$203,MATCH($C124,'Dự án'!$A$4:$A$203,0)),""))</f>
        <v/>
      </c>
      <c r="E124" s="32"/>
      <c r="F124" s="32"/>
      <c r="G124" s="32"/>
      <c r="H124" s="34"/>
      <c r="I124" s="34"/>
      <c r="J124" s="38" t="str">
        <f aca="false">IF($A124="","",$H124*$I124)</f>
        <v/>
      </c>
      <c r="K124" s="33"/>
      <c r="L124" s="33"/>
      <c r="M124" s="38" t="str">
        <f aca="false">IF($A124="","",IF($L124="","",$L124-$B124))</f>
        <v/>
      </c>
      <c r="N124" s="32"/>
      <c r="O124" s="37" t="str">
        <f aca="true">IF($A124="","",IF($K124="","",IF($L124="",IF(TODAY()&gt;$K124,"Quá hạn chưa trả","Đang xử lý"),IF($L124&lt;=$K124,"Đúng hạn","Trả trễ"))))</f>
        <v/>
      </c>
      <c r="P124" s="38" t="str">
        <f aca="false">IF($A124="","",COUNTIFS('Báo giá'!$C$4:$C$203,$A124))</f>
        <v/>
      </c>
      <c r="Q124" s="38" t="str">
        <f aca="false">IF($A124="","",IF(SUMIFS('Báo giá'!$K$4:$K$203,'Báo giá'!$C$4:$C$203,$A124,'Báo giá'!$T$4:$T$203,"x")=0,"",SUMIFS('Báo giá'!$K$4:$K$203,'Báo giá'!$C$4:$C$203,$A124,'Báo giá'!$T$4:$T$203,"x")))</f>
        <v/>
      </c>
      <c r="R124" s="38" t="str">
        <f aca="false">IF($A124="","",IF(SUMIFS('Báo giá'!$L$4:$L$203,'Báo giá'!$C$4:$C$203,$A124,'Báo giá'!$T$4:$T$203,"x")=0,"",SUMIFS('Báo giá'!$L$4:$L$203,'Báo giá'!$C$4:$C$203,$A124,'Báo giá'!$T$4:$T$203,"x")))</f>
        <v/>
      </c>
      <c r="S124" s="38" t="str">
        <f aca="false">IF($A124="","",IF($R124="","",$R124-$J124))</f>
        <v/>
      </c>
      <c r="T124" s="37" t="str">
        <f aca="false">IF($A124="","",IF(COUNTIFS(PR!$C$4:$C$203,$A124)&gt;0,"Đã lập PR","Chưa lập PR"))</f>
        <v/>
      </c>
      <c r="U124" s="32"/>
    </row>
    <row r="125" customFormat="false" ht="15" hidden="false" customHeight="false" outlineLevel="0" collapsed="false">
      <c r="A125" s="32"/>
      <c r="B125" s="33"/>
      <c r="C125" s="32"/>
      <c r="D125" s="37" t="str">
        <f aca="false">IF($C125="","",IFERROR(INDEX('Dự án'!$B$4:$B$203,MATCH($C125,'Dự án'!$A$4:$A$203,0)),""))</f>
        <v/>
      </c>
      <c r="E125" s="32"/>
      <c r="F125" s="32"/>
      <c r="G125" s="32"/>
      <c r="H125" s="34"/>
      <c r="I125" s="34"/>
      <c r="J125" s="38" t="str">
        <f aca="false">IF($A125="","",$H125*$I125)</f>
        <v/>
      </c>
      <c r="K125" s="33"/>
      <c r="L125" s="33"/>
      <c r="M125" s="38" t="str">
        <f aca="false">IF($A125="","",IF($L125="","",$L125-$B125))</f>
        <v/>
      </c>
      <c r="N125" s="32"/>
      <c r="O125" s="37" t="str">
        <f aca="true">IF($A125="","",IF($K125="","",IF($L125="",IF(TODAY()&gt;$K125,"Quá hạn chưa trả","Đang xử lý"),IF($L125&lt;=$K125,"Đúng hạn","Trả trễ"))))</f>
        <v/>
      </c>
      <c r="P125" s="38" t="str">
        <f aca="false">IF($A125="","",COUNTIFS('Báo giá'!$C$4:$C$203,$A125))</f>
        <v/>
      </c>
      <c r="Q125" s="38" t="str">
        <f aca="false">IF($A125="","",IF(SUMIFS('Báo giá'!$K$4:$K$203,'Báo giá'!$C$4:$C$203,$A125,'Báo giá'!$T$4:$T$203,"x")=0,"",SUMIFS('Báo giá'!$K$4:$K$203,'Báo giá'!$C$4:$C$203,$A125,'Báo giá'!$T$4:$T$203,"x")))</f>
        <v/>
      </c>
      <c r="R125" s="38" t="str">
        <f aca="false">IF($A125="","",IF(SUMIFS('Báo giá'!$L$4:$L$203,'Báo giá'!$C$4:$C$203,$A125,'Báo giá'!$T$4:$T$203,"x")=0,"",SUMIFS('Báo giá'!$L$4:$L$203,'Báo giá'!$C$4:$C$203,$A125,'Báo giá'!$T$4:$T$203,"x")))</f>
        <v/>
      </c>
      <c r="S125" s="38" t="str">
        <f aca="false">IF($A125="","",IF($R125="","",$R125-$J125))</f>
        <v/>
      </c>
      <c r="T125" s="37" t="str">
        <f aca="false">IF($A125="","",IF(COUNTIFS(PR!$C$4:$C$203,$A125)&gt;0,"Đã lập PR","Chưa lập PR"))</f>
        <v/>
      </c>
      <c r="U125" s="32"/>
    </row>
    <row r="126" customFormat="false" ht="15" hidden="false" customHeight="false" outlineLevel="0" collapsed="false">
      <c r="A126" s="32"/>
      <c r="B126" s="33"/>
      <c r="C126" s="32"/>
      <c r="D126" s="37" t="str">
        <f aca="false">IF($C126="","",IFERROR(INDEX('Dự án'!$B$4:$B$203,MATCH($C126,'Dự án'!$A$4:$A$203,0)),""))</f>
        <v/>
      </c>
      <c r="E126" s="32"/>
      <c r="F126" s="32"/>
      <c r="G126" s="32"/>
      <c r="H126" s="34"/>
      <c r="I126" s="34"/>
      <c r="J126" s="38" t="str">
        <f aca="false">IF($A126="","",$H126*$I126)</f>
        <v/>
      </c>
      <c r="K126" s="33"/>
      <c r="L126" s="33"/>
      <c r="M126" s="38" t="str">
        <f aca="false">IF($A126="","",IF($L126="","",$L126-$B126))</f>
        <v/>
      </c>
      <c r="N126" s="32"/>
      <c r="O126" s="37" t="str">
        <f aca="true">IF($A126="","",IF($K126="","",IF($L126="",IF(TODAY()&gt;$K126,"Quá hạn chưa trả","Đang xử lý"),IF($L126&lt;=$K126,"Đúng hạn","Trả trễ"))))</f>
        <v/>
      </c>
      <c r="P126" s="38" t="str">
        <f aca="false">IF($A126="","",COUNTIFS('Báo giá'!$C$4:$C$203,$A126))</f>
        <v/>
      </c>
      <c r="Q126" s="38" t="str">
        <f aca="false">IF($A126="","",IF(SUMIFS('Báo giá'!$K$4:$K$203,'Báo giá'!$C$4:$C$203,$A126,'Báo giá'!$T$4:$T$203,"x")=0,"",SUMIFS('Báo giá'!$K$4:$K$203,'Báo giá'!$C$4:$C$203,$A126,'Báo giá'!$T$4:$T$203,"x")))</f>
        <v/>
      </c>
      <c r="R126" s="38" t="str">
        <f aca="false">IF($A126="","",IF(SUMIFS('Báo giá'!$L$4:$L$203,'Báo giá'!$C$4:$C$203,$A126,'Báo giá'!$T$4:$T$203,"x")=0,"",SUMIFS('Báo giá'!$L$4:$L$203,'Báo giá'!$C$4:$C$203,$A126,'Báo giá'!$T$4:$T$203,"x")))</f>
        <v/>
      </c>
      <c r="S126" s="38" t="str">
        <f aca="false">IF($A126="","",IF($R126="","",$R126-$J126))</f>
        <v/>
      </c>
      <c r="T126" s="37" t="str">
        <f aca="false">IF($A126="","",IF(COUNTIFS(PR!$C$4:$C$203,$A126)&gt;0,"Đã lập PR","Chưa lập PR"))</f>
        <v/>
      </c>
      <c r="U126" s="32"/>
    </row>
    <row r="127" customFormat="false" ht="15" hidden="false" customHeight="false" outlineLevel="0" collapsed="false">
      <c r="A127" s="32"/>
      <c r="B127" s="33"/>
      <c r="C127" s="32"/>
      <c r="D127" s="37" t="str">
        <f aca="false">IF($C127="","",IFERROR(INDEX('Dự án'!$B$4:$B$203,MATCH($C127,'Dự án'!$A$4:$A$203,0)),""))</f>
        <v/>
      </c>
      <c r="E127" s="32"/>
      <c r="F127" s="32"/>
      <c r="G127" s="32"/>
      <c r="H127" s="34"/>
      <c r="I127" s="34"/>
      <c r="J127" s="38" t="str">
        <f aca="false">IF($A127="","",$H127*$I127)</f>
        <v/>
      </c>
      <c r="K127" s="33"/>
      <c r="L127" s="33"/>
      <c r="M127" s="38" t="str">
        <f aca="false">IF($A127="","",IF($L127="","",$L127-$B127))</f>
        <v/>
      </c>
      <c r="N127" s="32"/>
      <c r="O127" s="37" t="str">
        <f aca="true">IF($A127="","",IF($K127="","",IF($L127="",IF(TODAY()&gt;$K127,"Quá hạn chưa trả","Đang xử lý"),IF($L127&lt;=$K127,"Đúng hạn","Trả trễ"))))</f>
        <v/>
      </c>
      <c r="P127" s="38" t="str">
        <f aca="false">IF($A127="","",COUNTIFS('Báo giá'!$C$4:$C$203,$A127))</f>
        <v/>
      </c>
      <c r="Q127" s="38" t="str">
        <f aca="false">IF($A127="","",IF(SUMIFS('Báo giá'!$K$4:$K$203,'Báo giá'!$C$4:$C$203,$A127,'Báo giá'!$T$4:$T$203,"x")=0,"",SUMIFS('Báo giá'!$K$4:$K$203,'Báo giá'!$C$4:$C$203,$A127,'Báo giá'!$T$4:$T$203,"x")))</f>
        <v/>
      </c>
      <c r="R127" s="38" t="str">
        <f aca="false">IF($A127="","",IF(SUMIFS('Báo giá'!$L$4:$L$203,'Báo giá'!$C$4:$C$203,$A127,'Báo giá'!$T$4:$T$203,"x")=0,"",SUMIFS('Báo giá'!$L$4:$L$203,'Báo giá'!$C$4:$C$203,$A127,'Báo giá'!$T$4:$T$203,"x")))</f>
        <v/>
      </c>
      <c r="S127" s="38" t="str">
        <f aca="false">IF($A127="","",IF($R127="","",$R127-$J127))</f>
        <v/>
      </c>
      <c r="T127" s="37" t="str">
        <f aca="false">IF($A127="","",IF(COUNTIFS(PR!$C$4:$C$203,$A127)&gt;0,"Đã lập PR","Chưa lập PR"))</f>
        <v/>
      </c>
      <c r="U127" s="32"/>
    </row>
    <row r="128" customFormat="false" ht="15" hidden="false" customHeight="false" outlineLevel="0" collapsed="false">
      <c r="A128" s="32"/>
      <c r="B128" s="33"/>
      <c r="C128" s="32"/>
      <c r="D128" s="37" t="str">
        <f aca="false">IF($C128="","",IFERROR(INDEX('Dự án'!$B$4:$B$203,MATCH($C128,'Dự án'!$A$4:$A$203,0)),""))</f>
        <v/>
      </c>
      <c r="E128" s="32"/>
      <c r="F128" s="32"/>
      <c r="G128" s="32"/>
      <c r="H128" s="34"/>
      <c r="I128" s="34"/>
      <c r="J128" s="38" t="str">
        <f aca="false">IF($A128="","",$H128*$I128)</f>
        <v/>
      </c>
      <c r="K128" s="33"/>
      <c r="L128" s="33"/>
      <c r="M128" s="38" t="str">
        <f aca="false">IF($A128="","",IF($L128="","",$L128-$B128))</f>
        <v/>
      </c>
      <c r="N128" s="32"/>
      <c r="O128" s="37" t="str">
        <f aca="true">IF($A128="","",IF($K128="","",IF($L128="",IF(TODAY()&gt;$K128,"Quá hạn chưa trả","Đang xử lý"),IF($L128&lt;=$K128,"Đúng hạn","Trả trễ"))))</f>
        <v/>
      </c>
      <c r="P128" s="38" t="str">
        <f aca="false">IF($A128="","",COUNTIFS('Báo giá'!$C$4:$C$203,$A128))</f>
        <v/>
      </c>
      <c r="Q128" s="38" t="str">
        <f aca="false">IF($A128="","",IF(SUMIFS('Báo giá'!$K$4:$K$203,'Báo giá'!$C$4:$C$203,$A128,'Báo giá'!$T$4:$T$203,"x")=0,"",SUMIFS('Báo giá'!$K$4:$K$203,'Báo giá'!$C$4:$C$203,$A128,'Báo giá'!$T$4:$T$203,"x")))</f>
        <v/>
      </c>
      <c r="R128" s="38" t="str">
        <f aca="false">IF($A128="","",IF(SUMIFS('Báo giá'!$L$4:$L$203,'Báo giá'!$C$4:$C$203,$A128,'Báo giá'!$T$4:$T$203,"x")=0,"",SUMIFS('Báo giá'!$L$4:$L$203,'Báo giá'!$C$4:$C$203,$A128,'Báo giá'!$T$4:$T$203,"x")))</f>
        <v/>
      </c>
      <c r="S128" s="38" t="str">
        <f aca="false">IF($A128="","",IF($R128="","",$R128-$J128))</f>
        <v/>
      </c>
      <c r="T128" s="37" t="str">
        <f aca="false">IF($A128="","",IF(COUNTIFS(PR!$C$4:$C$203,$A128)&gt;0,"Đã lập PR","Chưa lập PR"))</f>
        <v/>
      </c>
      <c r="U128" s="32"/>
    </row>
    <row r="129" customFormat="false" ht="15" hidden="false" customHeight="false" outlineLevel="0" collapsed="false">
      <c r="A129" s="32"/>
      <c r="B129" s="33"/>
      <c r="C129" s="32"/>
      <c r="D129" s="37" t="str">
        <f aca="false">IF($C129="","",IFERROR(INDEX('Dự án'!$B$4:$B$203,MATCH($C129,'Dự án'!$A$4:$A$203,0)),""))</f>
        <v/>
      </c>
      <c r="E129" s="32"/>
      <c r="F129" s="32"/>
      <c r="G129" s="32"/>
      <c r="H129" s="34"/>
      <c r="I129" s="34"/>
      <c r="J129" s="38" t="str">
        <f aca="false">IF($A129="","",$H129*$I129)</f>
        <v/>
      </c>
      <c r="K129" s="33"/>
      <c r="L129" s="33"/>
      <c r="M129" s="38" t="str">
        <f aca="false">IF($A129="","",IF($L129="","",$L129-$B129))</f>
        <v/>
      </c>
      <c r="N129" s="32"/>
      <c r="O129" s="37" t="str">
        <f aca="true">IF($A129="","",IF($K129="","",IF($L129="",IF(TODAY()&gt;$K129,"Quá hạn chưa trả","Đang xử lý"),IF($L129&lt;=$K129,"Đúng hạn","Trả trễ"))))</f>
        <v/>
      </c>
      <c r="P129" s="38" t="str">
        <f aca="false">IF($A129="","",COUNTIFS('Báo giá'!$C$4:$C$203,$A129))</f>
        <v/>
      </c>
      <c r="Q129" s="38" t="str">
        <f aca="false">IF($A129="","",IF(SUMIFS('Báo giá'!$K$4:$K$203,'Báo giá'!$C$4:$C$203,$A129,'Báo giá'!$T$4:$T$203,"x")=0,"",SUMIFS('Báo giá'!$K$4:$K$203,'Báo giá'!$C$4:$C$203,$A129,'Báo giá'!$T$4:$T$203,"x")))</f>
        <v/>
      </c>
      <c r="R129" s="38" t="str">
        <f aca="false">IF($A129="","",IF(SUMIFS('Báo giá'!$L$4:$L$203,'Báo giá'!$C$4:$C$203,$A129,'Báo giá'!$T$4:$T$203,"x")=0,"",SUMIFS('Báo giá'!$L$4:$L$203,'Báo giá'!$C$4:$C$203,$A129,'Báo giá'!$T$4:$T$203,"x")))</f>
        <v/>
      </c>
      <c r="S129" s="38" t="str">
        <f aca="false">IF($A129="","",IF($R129="","",$R129-$J129))</f>
        <v/>
      </c>
      <c r="T129" s="37" t="str">
        <f aca="false">IF($A129="","",IF(COUNTIFS(PR!$C$4:$C$203,$A129)&gt;0,"Đã lập PR","Chưa lập PR"))</f>
        <v/>
      </c>
      <c r="U129" s="32"/>
    </row>
    <row r="130" customFormat="false" ht="15" hidden="false" customHeight="false" outlineLevel="0" collapsed="false">
      <c r="A130" s="32"/>
      <c r="B130" s="33"/>
      <c r="C130" s="32"/>
      <c r="D130" s="37" t="str">
        <f aca="false">IF($C130="","",IFERROR(INDEX('Dự án'!$B$4:$B$203,MATCH($C130,'Dự án'!$A$4:$A$203,0)),""))</f>
        <v/>
      </c>
      <c r="E130" s="32"/>
      <c r="F130" s="32"/>
      <c r="G130" s="32"/>
      <c r="H130" s="34"/>
      <c r="I130" s="34"/>
      <c r="J130" s="38" t="str">
        <f aca="false">IF($A130="","",$H130*$I130)</f>
        <v/>
      </c>
      <c r="K130" s="33"/>
      <c r="L130" s="33"/>
      <c r="M130" s="38" t="str">
        <f aca="false">IF($A130="","",IF($L130="","",$L130-$B130))</f>
        <v/>
      </c>
      <c r="N130" s="32"/>
      <c r="O130" s="37" t="str">
        <f aca="true">IF($A130="","",IF($K130="","",IF($L130="",IF(TODAY()&gt;$K130,"Quá hạn chưa trả","Đang xử lý"),IF($L130&lt;=$K130,"Đúng hạn","Trả trễ"))))</f>
        <v/>
      </c>
      <c r="P130" s="38" t="str">
        <f aca="false">IF($A130="","",COUNTIFS('Báo giá'!$C$4:$C$203,$A130))</f>
        <v/>
      </c>
      <c r="Q130" s="38" t="str">
        <f aca="false">IF($A130="","",IF(SUMIFS('Báo giá'!$K$4:$K$203,'Báo giá'!$C$4:$C$203,$A130,'Báo giá'!$T$4:$T$203,"x")=0,"",SUMIFS('Báo giá'!$K$4:$K$203,'Báo giá'!$C$4:$C$203,$A130,'Báo giá'!$T$4:$T$203,"x")))</f>
        <v/>
      </c>
      <c r="R130" s="38" t="str">
        <f aca="false">IF($A130="","",IF(SUMIFS('Báo giá'!$L$4:$L$203,'Báo giá'!$C$4:$C$203,$A130,'Báo giá'!$T$4:$T$203,"x")=0,"",SUMIFS('Báo giá'!$L$4:$L$203,'Báo giá'!$C$4:$C$203,$A130,'Báo giá'!$T$4:$T$203,"x")))</f>
        <v/>
      </c>
      <c r="S130" s="38" t="str">
        <f aca="false">IF($A130="","",IF($R130="","",$R130-$J130))</f>
        <v/>
      </c>
      <c r="T130" s="37" t="str">
        <f aca="false">IF($A130="","",IF(COUNTIFS(PR!$C$4:$C$203,$A130)&gt;0,"Đã lập PR","Chưa lập PR"))</f>
        <v/>
      </c>
      <c r="U130" s="32"/>
    </row>
    <row r="131" customFormat="false" ht="15" hidden="false" customHeight="false" outlineLevel="0" collapsed="false">
      <c r="A131" s="32"/>
      <c r="B131" s="33"/>
      <c r="C131" s="32"/>
      <c r="D131" s="37" t="str">
        <f aca="false">IF($C131="","",IFERROR(INDEX('Dự án'!$B$4:$B$203,MATCH($C131,'Dự án'!$A$4:$A$203,0)),""))</f>
        <v/>
      </c>
      <c r="E131" s="32"/>
      <c r="F131" s="32"/>
      <c r="G131" s="32"/>
      <c r="H131" s="34"/>
      <c r="I131" s="34"/>
      <c r="J131" s="38" t="str">
        <f aca="false">IF($A131="","",$H131*$I131)</f>
        <v/>
      </c>
      <c r="K131" s="33"/>
      <c r="L131" s="33"/>
      <c r="M131" s="38" t="str">
        <f aca="false">IF($A131="","",IF($L131="","",$L131-$B131))</f>
        <v/>
      </c>
      <c r="N131" s="32"/>
      <c r="O131" s="37" t="str">
        <f aca="true">IF($A131="","",IF($K131="","",IF($L131="",IF(TODAY()&gt;$K131,"Quá hạn chưa trả","Đang xử lý"),IF($L131&lt;=$K131,"Đúng hạn","Trả trễ"))))</f>
        <v/>
      </c>
      <c r="P131" s="38" t="str">
        <f aca="false">IF($A131="","",COUNTIFS('Báo giá'!$C$4:$C$203,$A131))</f>
        <v/>
      </c>
      <c r="Q131" s="38" t="str">
        <f aca="false">IF($A131="","",IF(SUMIFS('Báo giá'!$K$4:$K$203,'Báo giá'!$C$4:$C$203,$A131,'Báo giá'!$T$4:$T$203,"x")=0,"",SUMIFS('Báo giá'!$K$4:$K$203,'Báo giá'!$C$4:$C$203,$A131,'Báo giá'!$T$4:$T$203,"x")))</f>
        <v/>
      </c>
      <c r="R131" s="38" t="str">
        <f aca="false">IF($A131="","",IF(SUMIFS('Báo giá'!$L$4:$L$203,'Báo giá'!$C$4:$C$203,$A131,'Báo giá'!$T$4:$T$203,"x")=0,"",SUMIFS('Báo giá'!$L$4:$L$203,'Báo giá'!$C$4:$C$203,$A131,'Báo giá'!$T$4:$T$203,"x")))</f>
        <v/>
      </c>
      <c r="S131" s="38" t="str">
        <f aca="false">IF($A131="","",IF($R131="","",$R131-$J131))</f>
        <v/>
      </c>
      <c r="T131" s="37" t="str">
        <f aca="false">IF($A131="","",IF(COUNTIFS(PR!$C$4:$C$203,$A131)&gt;0,"Đã lập PR","Chưa lập PR"))</f>
        <v/>
      </c>
      <c r="U131" s="32"/>
    </row>
    <row r="132" customFormat="false" ht="15" hidden="false" customHeight="false" outlineLevel="0" collapsed="false">
      <c r="A132" s="32"/>
      <c r="B132" s="33"/>
      <c r="C132" s="32"/>
      <c r="D132" s="37" t="str">
        <f aca="false">IF($C132="","",IFERROR(INDEX('Dự án'!$B$4:$B$203,MATCH($C132,'Dự án'!$A$4:$A$203,0)),""))</f>
        <v/>
      </c>
      <c r="E132" s="32"/>
      <c r="F132" s="32"/>
      <c r="G132" s="32"/>
      <c r="H132" s="34"/>
      <c r="I132" s="34"/>
      <c r="J132" s="38" t="str">
        <f aca="false">IF($A132="","",$H132*$I132)</f>
        <v/>
      </c>
      <c r="K132" s="33"/>
      <c r="L132" s="33"/>
      <c r="M132" s="38" t="str">
        <f aca="false">IF($A132="","",IF($L132="","",$L132-$B132))</f>
        <v/>
      </c>
      <c r="N132" s="32"/>
      <c r="O132" s="37" t="str">
        <f aca="true">IF($A132="","",IF($K132="","",IF($L132="",IF(TODAY()&gt;$K132,"Quá hạn chưa trả","Đang xử lý"),IF($L132&lt;=$K132,"Đúng hạn","Trả trễ"))))</f>
        <v/>
      </c>
      <c r="P132" s="38" t="str">
        <f aca="false">IF($A132="","",COUNTIFS('Báo giá'!$C$4:$C$203,$A132))</f>
        <v/>
      </c>
      <c r="Q132" s="38" t="str">
        <f aca="false">IF($A132="","",IF(SUMIFS('Báo giá'!$K$4:$K$203,'Báo giá'!$C$4:$C$203,$A132,'Báo giá'!$T$4:$T$203,"x")=0,"",SUMIFS('Báo giá'!$K$4:$K$203,'Báo giá'!$C$4:$C$203,$A132,'Báo giá'!$T$4:$T$203,"x")))</f>
        <v/>
      </c>
      <c r="R132" s="38" t="str">
        <f aca="false">IF($A132="","",IF(SUMIFS('Báo giá'!$L$4:$L$203,'Báo giá'!$C$4:$C$203,$A132,'Báo giá'!$T$4:$T$203,"x")=0,"",SUMIFS('Báo giá'!$L$4:$L$203,'Báo giá'!$C$4:$C$203,$A132,'Báo giá'!$T$4:$T$203,"x")))</f>
        <v/>
      </c>
      <c r="S132" s="38" t="str">
        <f aca="false">IF($A132="","",IF($R132="","",$R132-$J132))</f>
        <v/>
      </c>
      <c r="T132" s="37" t="str">
        <f aca="false">IF($A132="","",IF(COUNTIFS(PR!$C$4:$C$203,$A132)&gt;0,"Đã lập PR","Chưa lập PR"))</f>
        <v/>
      </c>
      <c r="U132" s="32"/>
    </row>
    <row r="133" customFormat="false" ht="15" hidden="false" customHeight="false" outlineLevel="0" collapsed="false">
      <c r="A133" s="32"/>
      <c r="B133" s="33"/>
      <c r="C133" s="32"/>
      <c r="D133" s="37" t="str">
        <f aca="false">IF($C133="","",IFERROR(INDEX('Dự án'!$B$4:$B$203,MATCH($C133,'Dự án'!$A$4:$A$203,0)),""))</f>
        <v/>
      </c>
      <c r="E133" s="32"/>
      <c r="F133" s="32"/>
      <c r="G133" s="32"/>
      <c r="H133" s="34"/>
      <c r="I133" s="34"/>
      <c r="J133" s="38" t="str">
        <f aca="false">IF($A133="","",$H133*$I133)</f>
        <v/>
      </c>
      <c r="K133" s="33"/>
      <c r="L133" s="33"/>
      <c r="M133" s="38" t="str">
        <f aca="false">IF($A133="","",IF($L133="","",$L133-$B133))</f>
        <v/>
      </c>
      <c r="N133" s="32"/>
      <c r="O133" s="37" t="str">
        <f aca="true">IF($A133="","",IF($K133="","",IF($L133="",IF(TODAY()&gt;$K133,"Quá hạn chưa trả","Đang xử lý"),IF($L133&lt;=$K133,"Đúng hạn","Trả trễ"))))</f>
        <v/>
      </c>
      <c r="P133" s="38" t="str">
        <f aca="false">IF($A133="","",COUNTIFS('Báo giá'!$C$4:$C$203,$A133))</f>
        <v/>
      </c>
      <c r="Q133" s="38" t="str">
        <f aca="false">IF($A133="","",IF(SUMIFS('Báo giá'!$K$4:$K$203,'Báo giá'!$C$4:$C$203,$A133,'Báo giá'!$T$4:$T$203,"x")=0,"",SUMIFS('Báo giá'!$K$4:$K$203,'Báo giá'!$C$4:$C$203,$A133,'Báo giá'!$T$4:$T$203,"x")))</f>
        <v/>
      </c>
      <c r="R133" s="38" t="str">
        <f aca="false">IF($A133="","",IF(SUMIFS('Báo giá'!$L$4:$L$203,'Báo giá'!$C$4:$C$203,$A133,'Báo giá'!$T$4:$T$203,"x")=0,"",SUMIFS('Báo giá'!$L$4:$L$203,'Báo giá'!$C$4:$C$203,$A133,'Báo giá'!$T$4:$T$203,"x")))</f>
        <v/>
      </c>
      <c r="S133" s="38" t="str">
        <f aca="false">IF($A133="","",IF($R133="","",$R133-$J133))</f>
        <v/>
      </c>
      <c r="T133" s="37" t="str">
        <f aca="false">IF($A133="","",IF(COUNTIFS(PR!$C$4:$C$203,$A133)&gt;0,"Đã lập PR","Chưa lập PR"))</f>
        <v/>
      </c>
      <c r="U133" s="32"/>
    </row>
    <row r="134" customFormat="false" ht="15" hidden="false" customHeight="false" outlineLevel="0" collapsed="false">
      <c r="A134" s="32"/>
      <c r="B134" s="33"/>
      <c r="C134" s="32"/>
      <c r="D134" s="37" t="str">
        <f aca="false">IF($C134="","",IFERROR(INDEX('Dự án'!$B$4:$B$203,MATCH($C134,'Dự án'!$A$4:$A$203,0)),""))</f>
        <v/>
      </c>
      <c r="E134" s="32"/>
      <c r="F134" s="32"/>
      <c r="G134" s="32"/>
      <c r="H134" s="34"/>
      <c r="I134" s="34"/>
      <c r="J134" s="38" t="str">
        <f aca="false">IF($A134="","",$H134*$I134)</f>
        <v/>
      </c>
      <c r="K134" s="33"/>
      <c r="L134" s="33"/>
      <c r="M134" s="38" t="str">
        <f aca="false">IF($A134="","",IF($L134="","",$L134-$B134))</f>
        <v/>
      </c>
      <c r="N134" s="32"/>
      <c r="O134" s="37" t="str">
        <f aca="true">IF($A134="","",IF($K134="","",IF($L134="",IF(TODAY()&gt;$K134,"Quá hạn chưa trả","Đang xử lý"),IF($L134&lt;=$K134,"Đúng hạn","Trả trễ"))))</f>
        <v/>
      </c>
      <c r="P134" s="38" t="str">
        <f aca="false">IF($A134="","",COUNTIFS('Báo giá'!$C$4:$C$203,$A134))</f>
        <v/>
      </c>
      <c r="Q134" s="38" t="str">
        <f aca="false">IF($A134="","",IF(SUMIFS('Báo giá'!$K$4:$K$203,'Báo giá'!$C$4:$C$203,$A134,'Báo giá'!$T$4:$T$203,"x")=0,"",SUMIFS('Báo giá'!$K$4:$K$203,'Báo giá'!$C$4:$C$203,$A134,'Báo giá'!$T$4:$T$203,"x")))</f>
        <v/>
      </c>
      <c r="R134" s="38" t="str">
        <f aca="false">IF($A134="","",IF(SUMIFS('Báo giá'!$L$4:$L$203,'Báo giá'!$C$4:$C$203,$A134,'Báo giá'!$T$4:$T$203,"x")=0,"",SUMIFS('Báo giá'!$L$4:$L$203,'Báo giá'!$C$4:$C$203,$A134,'Báo giá'!$T$4:$T$203,"x")))</f>
        <v/>
      </c>
      <c r="S134" s="38" t="str">
        <f aca="false">IF($A134="","",IF($R134="","",$R134-$J134))</f>
        <v/>
      </c>
      <c r="T134" s="37" t="str">
        <f aca="false">IF($A134="","",IF(COUNTIFS(PR!$C$4:$C$203,$A134)&gt;0,"Đã lập PR","Chưa lập PR"))</f>
        <v/>
      </c>
      <c r="U134" s="32"/>
    </row>
    <row r="135" customFormat="false" ht="15" hidden="false" customHeight="false" outlineLevel="0" collapsed="false">
      <c r="A135" s="32"/>
      <c r="B135" s="33"/>
      <c r="C135" s="32"/>
      <c r="D135" s="37" t="str">
        <f aca="false">IF($C135="","",IFERROR(INDEX('Dự án'!$B$4:$B$203,MATCH($C135,'Dự án'!$A$4:$A$203,0)),""))</f>
        <v/>
      </c>
      <c r="E135" s="32"/>
      <c r="F135" s="32"/>
      <c r="G135" s="32"/>
      <c r="H135" s="34"/>
      <c r="I135" s="34"/>
      <c r="J135" s="38" t="str">
        <f aca="false">IF($A135="","",$H135*$I135)</f>
        <v/>
      </c>
      <c r="K135" s="33"/>
      <c r="L135" s="33"/>
      <c r="M135" s="38" t="str">
        <f aca="false">IF($A135="","",IF($L135="","",$L135-$B135))</f>
        <v/>
      </c>
      <c r="N135" s="32"/>
      <c r="O135" s="37" t="str">
        <f aca="true">IF($A135="","",IF($K135="","",IF($L135="",IF(TODAY()&gt;$K135,"Quá hạn chưa trả","Đang xử lý"),IF($L135&lt;=$K135,"Đúng hạn","Trả trễ"))))</f>
        <v/>
      </c>
      <c r="P135" s="38" t="str">
        <f aca="false">IF($A135="","",COUNTIFS('Báo giá'!$C$4:$C$203,$A135))</f>
        <v/>
      </c>
      <c r="Q135" s="38" t="str">
        <f aca="false">IF($A135="","",IF(SUMIFS('Báo giá'!$K$4:$K$203,'Báo giá'!$C$4:$C$203,$A135,'Báo giá'!$T$4:$T$203,"x")=0,"",SUMIFS('Báo giá'!$K$4:$K$203,'Báo giá'!$C$4:$C$203,$A135,'Báo giá'!$T$4:$T$203,"x")))</f>
        <v/>
      </c>
      <c r="R135" s="38" t="str">
        <f aca="false">IF($A135="","",IF(SUMIFS('Báo giá'!$L$4:$L$203,'Báo giá'!$C$4:$C$203,$A135,'Báo giá'!$T$4:$T$203,"x")=0,"",SUMIFS('Báo giá'!$L$4:$L$203,'Báo giá'!$C$4:$C$203,$A135,'Báo giá'!$T$4:$T$203,"x")))</f>
        <v/>
      </c>
      <c r="S135" s="38" t="str">
        <f aca="false">IF($A135="","",IF($R135="","",$R135-$J135))</f>
        <v/>
      </c>
      <c r="T135" s="37" t="str">
        <f aca="false">IF($A135="","",IF(COUNTIFS(PR!$C$4:$C$203,$A135)&gt;0,"Đã lập PR","Chưa lập PR"))</f>
        <v/>
      </c>
      <c r="U135" s="32"/>
    </row>
    <row r="136" customFormat="false" ht="15" hidden="false" customHeight="false" outlineLevel="0" collapsed="false">
      <c r="A136" s="32"/>
      <c r="B136" s="33"/>
      <c r="C136" s="32"/>
      <c r="D136" s="37" t="str">
        <f aca="false">IF($C136="","",IFERROR(INDEX('Dự án'!$B$4:$B$203,MATCH($C136,'Dự án'!$A$4:$A$203,0)),""))</f>
        <v/>
      </c>
      <c r="E136" s="32"/>
      <c r="F136" s="32"/>
      <c r="G136" s="32"/>
      <c r="H136" s="34"/>
      <c r="I136" s="34"/>
      <c r="J136" s="38" t="str">
        <f aca="false">IF($A136="","",$H136*$I136)</f>
        <v/>
      </c>
      <c r="K136" s="33"/>
      <c r="L136" s="33"/>
      <c r="M136" s="38" t="str">
        <f aca="false">IF($A136="","",IF($L136="","",$L136-$B136))</f>
        <v/>
      </c>
      <c r="N136" s="32"/>
      <c r="O136" s="37" t="str">
        <f aca="true">IF($A136="","",IF($K136="","",IF($L136="",IF(TODAY()&gt;$K136,"Quá hạn chưa trả","Đang xử lý"),IF($L136&lt;=$K136,"Đúng hạn","Trả trễ"))))</f>
        <v/>
      </c>
      <c r="P136" s="38" t="str">
        <f aca="false">IF($A136="","",COUNTIFS('Báo giá'!$C$4:$C$203,$A136))</f>
        <v/>
      </c>
      <c r="Q136" s="38" t="str">
        <f aca="false">IF($A136="","",IF(SUMIFS('Báo giá'!$K$4:$K$203,'Báo giá'!$C$4:$C$203,$A136,'Báo giá'!$T$4:$T$203,"x")=0,"",SUMIFS('Báo giá'!$K$4:$K$203,'Báo giá'!$C$4:$C$203,$A136,'Báo giá'!$T$4:$T$203,"x")))</f>
        <v/>
      </c>
      <c r="R136" s="38" t="str">
        <f aca="false">IF($A136="","",IF(SUMIFS('Báo giá'!$L$4:$L$203,'Báo giá'!$C$4:$C$203,$A136,'Báo giá'!$T$4:$T$203,"x")=0,"",SUMIFS('Báo giá'!$L$4:$L$203,'Báo giá'!$C$4:$C$203,$A136,'Báo giá'!$T$4:$T$203,"x")))</f>
        <v/>
      </c>
      <c r="S136" s="38" t="str">
        <f aca="false">IF($A136="","",IF($R136="","",$R136-$J136))</f>
        <v/>
      </c>
      <c r="T136" s="37" t="str">
        <f aca="false">IF($A136="","",IF(COUNTIFS(PR!$C$4:$C$203,$A136)&gt;0,"Đã lập PR","Chưa lập PR"))</f>
        <v/>
      </c>
      <c r="U136" s="32"/>
    </row>
    <row r="137" customFormat="false" ht="15" hidden="false" customHeight="false" outlineLevel="0" collapsed="false">
      <c r="A137" s="32"/>
      <c r="B137" s="33"/>
      <c r="C137" s="32"/>
      <c r="D137" s="37" t="str">
        <f aca="false">IF($C137="","",IFERROR(INDEX('Dự án'!$B$4:$B$203,MATCH($C137,'Dự án'!$A$4:$A$203,0)),""))</f>
        <v/>
      </c>
      <c r="E137" s="32"/>
      <c r="F137" s="32"/>
      <c r="G137" s="32"/>
      <c r="H137" s="34"/>
      <c r="I137" s="34"/>
      <c r="J137" s="38" t="str">
        <f aca="false">IF($A137="","",$H137*$I137)</f>
        <v/>
      </c>
      <c r="K137" s="33"/>
      <c r="L137" s="33"/>
      <c r="M137" s="38" t="str">
        <f aca="false">IF($A137="","",IF($L137="","",$L137-$B137))</f>
        <v/>
      </c>
      <c r="N137" s="32"/>
      <c r="O137" s="37" t="str">
        <f aca="true">IF($A137="","",IF($K137="","",IF($L137="",IF(TODAY()&gt;$K137,"Quá hạn chưa trả","Đang xử lý"),IF($L137&lt;=$K137,"Đúng hạn","Trả trễ"))))</f>
        <v/>
      </c>
      <c r="P137" s="38" t="str">
        <f aca="false">IF($A137="","",COUNTIFS('Báo giá'!$C$4:$C$203,$A137))</f>
        <v/>
      </c>
      <c r="Q137" s="38" t="str">
        <f aca="false">IF($A137="","",IF(SUMIFS('Báo giá'!$K$4:$K$203,'Báo giá'!$C$4:$C$203,$A137,'Báo giá'!$T$4:$T$203,"x")=0,"",SUMIFS('Báo giá'!$K$4:$K$203,'Báo giá'!$C$4:$C$203,$A137,'Báo giá'!$T$4:$T$203,"x")))</f>
        <v/>
      </c>
      <c r="R137" s="38" t="str">
        <f aca="false">IF($A137="","",IF(SUMIFS('Báo giá'!$L$4:$L$203,'Báo giá'!$C$4:$C$203,$A137,'Báo giá'!$T$4:$T$203,"x")=0,"",SUMIFS('Báo giá'!$L$4:$L$203,'Báo giá'!$C$4:$C$203,$A137,'Báo giá'!$T$4:$T$203,"x")))</f>
        <v/>
      </c>
      <c r="S137" s="38" t="str">
        <f aca="false">IF($A137="","",IF($R137="","",$R137-$J137))</f>
        <v/>
      </c>
      <c r="T137" s="37" t="str">
        <f aca="false">IF($A137="","",IF(COUNTIFS(PR!$C$4:$C$203,$A137)&gt;0,"Đã lập PR","Chưa lập PR"))</f>
        <v/>
      </c>
      <c r="U137" s="32"/>
    </row>
    <row r="138" customFormat="false" ht="15" hidden="false" customHeight="false" outlineLevel="0" collapsed="false">
      <c r="A138" s="32"/>
      <c r="B138" s="33"/>
      <c r="C138" s="32"/>
      <c r="D138" s="37" t="str">
        <f aca="false">IF($C138="","",IFERROR(INDEX('Dự án'!$B$4:$B$203,MATCH($C138,'Dự án'!$A$4:$A$203,0)),""))</f>
        <v/>
      </c>
      <c r="E138" s="32"/>
      <c r="F138" s="32"/>
      <c r="G138" s="32"/>
      <c r="H138" s="34"/>
      <c r="I138" s="34"/>
      <c r="J138" s="38" t="str">
        <f aca="false">IF($A138="","",$H138*$I138)</f>
        <v/>
      </c>
      <c r="K138" s="33"/>
      <c r="L138" s="33"/>
      <c r="M138" s="38" t="str">
        <f aca="false">IF($A138="","",IF($L138="","",$L138-$B138))</f>
        <v/>
      </c>
      <c r="N138" s="32"/>
      <c r="O138" s="37" t="str">
        <f aca="true">IF($A138="","",IF($K138="","",IF($L138="",IF(TODAY()&gt;$K138,"Quá hạn chưa trả","Đang xử lý"),IF($L138&lt;=$K138,"Đúng hạn","Trả trễ"))))</f>
        <v/>
      </c>
      <c r="P138" s="38" t="str">
        <f aca="false">IF($A138="","",COUNTIFS('Báo giá'!$C$4:$C$203,$A138))</f>
        <v/>
      </c>
      <c r="Q138" s="38" t="str">
        <f aca="false">IF($A138="","",IF(SUMIFS('Báo giá'!$K$4:$K$203,'Báo giá'!$C$4:$C$203,$A138,'Báo giá'!$T$4:$T$203,"x")=0,"",SUMIFS('Báo giá'!$K$4:$K$203,'Báo giá'!$C$4:$C$203,$A138,'Báo giá'!$T$4:$T$203,"x")))</f>
        <v/>
      </c>
      <c r="R138" s="38" t="str">
        <f aca="false">IF($A138="","",IF(SUMIFS('Báo giá'!$L$4:$L$203,'Báo giá'!$C$4:$C$203,$A138,'Báo giá'!$T$4:$T$203,"x")=0,"",SUMIFS('Báo giá'!$L$4:$L$203,'Báo giá'!$C$4:$C$203,$A138,'Báo giá'!$T$4:$T$203,"x")))</f>
        <v/>
      </c>
      <c r="S138" s="38" t="str">
        <f aca="false">IF($A138="","",IF($R138="","",$R138-$J138))</f>
        <v/>
      </c>
      <c r="T138" s="37" t="str">
        <f aca="false">IF($A138="","",IF(COUNTIFS(PR!$C$4:$C$203,$A138)&gt;0,"Đã lập PR","Chưa lập PR"))</f>
        <v/>
      </c>
      <c r="U138" s="32"/>
    </row>
    <row r="139" customFormat="false" ht="15" hidden="false" customHeight="false" outlineLevel="0" collapsed="false">
      <c r="A139" s="32"/>
      <c r="B139" s="33"/>
      <c r="C139" s="32"/>
      <c r="D139" s="37" t="str">
        <f aca="false">IF($C139="","",IFERROR(INDEX('Dự án'!$B$4:$B$203,MATCH($C139,'Dự án'!$A$4:$A$203,0)),""))</f>
        <v/>
      </c>
      <c r="E139" s="32"/>
      <c r="F139" s="32"/>
      <c r="G139" s="32"/>
      <c r="H139" s="34"/>
      <c r="I139" s="34"/>
      <c r="J139" s="38" t="str">
        <f aca="false">IF($A139="","",$H139*$I139)</f>
        <v/>
      </c>
      <c r="K139" s="33"/>
      <c r="L139" s="33"/>
      <c r="M139" s="38" t="str">
        <f aca="false">IF($A139="","",IF($L139="","",$L139-$B139))</f>
        <v/>
      </c>
      <c r="N139" s="32"/>
      <c r="O139" s="37" t="str">
        <f aca="true">IF($A139="","",IF($K139="","",IF($L139="",IF(TODAY()&gt;$K139,"Quá hạn chưa trả","Đang xử lý"),IF($L139&lt;=$K139,"Đúng hạn","Trả trễ"))))</f>
        <v/>
      </c>
      <c r="P139" s="38" t="str">
        <f aca="false">IF($A139="","",COUNTIFS('Báo giá'!$C$4:$C$203,$A139))</f>
        <v/>
      </c>
      <c r="Q139" s="38" t="str">
        <f aca="false">IF($A139="","",IF(SUMIFS('Báo giá'!$K$4:$K$203,'Báo giá'!$C$4:$C$203,$A139,'Báo giá'!$T$4:$T$203,"x")=0,"",SUMIFS('Báo giá'!$K$4:$K$203,'Báo giá'!$C$4:$C$203,$A139,'Báo giá'!$T$4:$T$203,"x")))</f>
        <v/>
      </c>
      <c r="R139" s="38" t="str">
        <f aca="false">IF($A139="","",IF(SUMIFS('Báo giá'!$L$4:$L$203,'Báo giá'!$C$4:$C$203,$A139,'Báo giá'!$T$4:$T$203,"x")=0,"",SUMIFS('Báo giá'!$L$4:$L$203,'Báo giá'!$C$4:$C$203,$A139,'Báo giá'!$T$4:$T$203,"x")))</f>
        <v/>
      </c>
      <c r="S139" s="38" t="str">
        <f aca="false">IF($A139="","",IF($R139="","",$R139-$J139))</f>
        <v/>
      </c>
      <c r="T139" s="37" t="str">
        <f aca="false">IF($A139="","",IF(COUNTIFS(PR!$C$4:$C$203,$A139)&gt;0,"Đã lập PR","Chưa lập PR"))</f>
        <v/>
      </c>
      <c r="U139" s="32"/>
    </row>
    <row r="140" customFormat="false" ht="15" hidden="false" customHeight="false" outlineLevel="0" collapsed="false">
      <c r="A140" s="32"/>
      <c r="B140" s="33"/>
      <c r="C140" s="32"/>
      <c r="D140" s="37" t="str">
        <f aca="false">IF($C140="","",IFERROR(INDEX('Dự án'!$B$4:$B$203,MATCH($C140,'Dự án'!$A$4:$A$203,0)),""))</f>
        <v/>
      </c>
      <c r="E140" s="32"/>
      <c r="F140" s="32"/>
      <c r="G140" s="32"/>
      <c r="H140" s="34"/>
      <c r="I140" s="34"/>
      <c r="J140" s="38" t="str">
        <f aca="false">IF($A140="","",$H140*$I140)</f>
        <v/>
      </c>
      <c r="K140" s="33"/>
      <c r="L140" s="33"/>
      <c r="M140" s="38" t="str">
        <f aca="false">IF($A140="","",IF($L140="","",$L140-$B140))</f>
        <v/>
      </c>
      <c r="N140" s="32"/>
      <c r="O140" s="37" t="str">
        <f aca="true">IF($A140="","",IF($K140="","",IF($L140="",IF(TODAY()&gt;$K140,"Quá hạn chưa trả","Đang xử lý"),IF($L140&lt;=$K140,"Đúng hạn","Trả trễ"))))</f>
        <v/>
      </c>
      <c r="P140" s="38" t="str">
        <f aca="false">IF($A140="","",COUNTIFS('Báo giá'!$C$4:$C$203,$A140))</f>
        <v/>
      </c>
      <c r="Q140" s="38" t="str">
        <f aca="false">IF($A140="","",IF(SUMIFS('Báo giá'!$K$4:$K$203,'Báo giá'!$C$4:$C$203,$A140,'Báo giá'!$T$4:$T$203,"x")=0,"",SUMIFS('Báo giá'!$K$4:$K$203,'Báo giá'!$C$4:$C$203,$A140,'Báo giá'!$T$4:$T$203,"x")))</f>
        <v/>
      </c>
      <c r="R140" s="38" t="str">
        <f aca="false">IF($A140="","",IF(SUMIFS('Báo giá'!$L$4:$L$203,'Báo giá'!$C$4:$C$203,$A140,'Báo giá'!$T$4:$T$203,"x")=0,"",SUMIFS('Báo giá'!$L$4:$L$203,'Báo giá'!$C$4:$C$203,$A140,'Báo giá'!$T$4:$T$203,"x")))</f>
        <v/>
      </c>
      <c r="S140" s="38" t="str">
        <f aca="false">IF($A140="","",IF($R140="","",$R140-$J140))</f>
        <v/>
      </c>
      <c r="T140" s="37" t="str">
        <f aca="false">IF($A140="","",IF(COUNTIFS(PR!$C$4:$C$203,$A140)&gt;0,"Đã lập PR","Chưa lập PR"))</f>
        <v/>
      </c>
      <c r="U140" s="32"/>
    </row>
    <row r="141" customFormat="false" ht="15" hidden="false" customHeight="false" outlineLevel="0" collapsed="false">
      <c r="A141" s="32"/>
      <c r="B141" s="33"/>
      <c r="C141" s="32"/>
      <c r="D141" s="37" t="str">
        <f aca="false">IF($C141="","",IFERROR(INDEX('Dự án'!$B$4:$B$203,MATCH($C141,'Dự án'!$A$4:$A$203,0)),""))</f>
        <v/>
      </c>
      <c r="E141" s="32"/>
      <c r="F141" s="32"/>
      <c r="G141" s="32"/>
      <c r="H141" s="34"/>
      <c r="I141" s="34"/>
      <c r="J141" s="38" t="str">
        <f aca="false">IF($A141="","",$H141*$I141)</f>
        <v/>
      </c>
      <c r="K141" s="33"/>
      <c r="L141" s="33"/>
      <c r="M141" s="38" t="str">
        <f aca="false">IF($A141="","",IF($L141="","",$L141-$B141))</f>
        <v/>
      </c>
      <c r="N141" s="32"/>
      <c r="O141" s="37" t="str">
        <f aca="true">IF($A141="","",IF($K141="","",IF($L141="",IF(TODAY()&gt;$K141,"Quá hạn chưa trả","Đang xử lý"),IF($L141&lt;=$K141,"Đúng hạn","Trả trễ"))))</f>
        <v/>
      </c>
      <c r="P141" s="38" t="str">
        <f aca="false">IF($A141="","",COUNTIFS('Báo giá'!$C$4:$C$203,$A141))</f>
        <v/>
      </c>
      <c r="Q141" s="38" t="str">
        <f aca="false">IF($A141="","",IF(SUMIFS('Báo giá'!$K$4:$K$203,'Báo giá'!$C$4:$C$203,$A141,'Báo giá'!$T$4:$T$203,"x")=0,"",SUMIFS('Báo giá'!$K$4:$K$203,'Báo giá'!$C$4:$C$203,$A141,'Báo giá'!$T$4:$T$203,"x")))</f>
        <v/>
      </c>
      <c r="R141" s="38" t="str">
        <f aca="false">IF($A141="","",IF(SUMIFS('Báo giá'!$L$4:$L$203,'Báo giá'!$C$4:$C$203,$A141,'Báo giá'!$T$4:$T$203,"x")=0,"",SUMIFS('Báo giá'!$L$4:$L$203,'Báo giá'!$C$4:$C$203,$A141,'Báo giá'!$T$4:$T$203,"x")))</f>
        <v/>
      </c>
      <c r="S141" s="38" t="str">
        <f aca="false">IF($A141="","",IF($R141="","",$R141-$J141))</f>
        <v/>
      </c>
      <c r="T141" s="37" t="str">
        <f aca="false">IF($A141="","",IF(COUNTIFS(PR!$C$4:$C$203,$A141)&gt;0,"Đã lập PR","Chưa lập PR"))</f>
        <v/>
      </c>
      <c r="U141" s="32"/>
    </row>
    <row r="142" customFormat="false" ht="15" hidden="false" customHeight="false" outlineLevel="0" collapsed="false">
      <c r="A142" s="32"/>
      <c r="B142" s="33"/>
      <c r="C142" s="32"/>
      <c r="D142" s="37" t="str">
        <f aca="false">IF($C142="","",IFERROR(INDEX('Dự án'!$B$4:$B$203,MATCH($C142,'Dự án'!$A$4:$A$203,0)),""))</f>
        <v/>
      </c>
      <c r="E142" s="32"/>
      <c r="F142" s="32"/>
      <c r="G142" s="32"/>
      <c r="H142" s="34"/>
      <c r="I142" s="34"/>
      <c r="J142" s="38" t="str">
        <f aca="false">IF($A142="","",$H142*$I142)</f>
        <v/>
      </c>
      <c r="K142" s="33"/>
      <c r="L142" s="33"/>
      <c r="M142" s="38" t="str">
        <f aca="false">IF($A142="","",IF($L142="","",$L142-$B142))</f>
        <v/>
      </c>
      <c r="N142" s="32"/>
      <c r="O142" s="37" t="str">
        <f aca="true">IF($A142="","",IF($K142="","",IF($L142="",IF(TODAY()&gt;$K142,"Quá hạn chưa trả","Đang xử lý"),IF($L142&lt;=$K142,"Đúng hạn","Trả trễ"))))</f>
        <v/>
      </c>
      <c r="P142" s="38" t="str">
        <f aca="false">IF($A142="","",COUNTIFS('Báo giá'!$C$4:$C$203,$A142))</f>
        <v/>
      </c>
      <c r="Q142" s="38" t="str">
        <f aca="false">IF($A142="","",IF(SUMIFS('Báo giá'!$K$4:$K$203,'Báo giá'!$C$4:$C$203,$A142,'Báo giá'!$T$4:$T$203,"x")=0,"",SUMIFS('Báo giá'!$K$4:$K$203,'Báo giá'!$C$4:$C$203,$A142,'Báo giá'!$T$4:$T$203,"x")))</f>
        <v/>
      </c>
      <c r="R142" s="38" t="str">
        <f aca="false">IF($A142="","",IF(SUMIFS('Báo giá'!$L$4:$L$203,'Báo giá'!$C$4:$C$203,$A142,'Báo giá'!$T$4:$T$203,"x")=0,"",SUMIFS('Báo giá'!$L$4:$L$203,'Báo giá'!$C$4:$C$203,$A142,'Báo giá'!$T$4:$T$203,"x")))</f>
        <v/>
      </c>
      <c r="S142" s="38" t="str">
        <f aca="false">IF($A142="","",IF($R142="","",$R142-$J142))</f>
        <v/>
      </c>
      <c r="T142" s="37" t="str">
        <f aca="false">IF($A142="","",IF(COUNTIFS(PR!$C$4:$C$203,$A142)&gt;0,"Đã lập PR","Chưa lập PR"))</f>
        <v/>
      </c>
      <c r="U142" s="32"/>
    </row>
    <row r="143" customFormat="false" ht="15" hidden="false" customHeight="false" outlineLevel="0" collapsed="false">
      <c r="A143" s="32"/>
      <c r="B143" s="33"/>
      <c r="C143" s="32"/>
      <c r="D143" s="37" t="str">
        <f aca="false">IF($C143="","",IFERROR(INDEX('Dự án'!$B$4:$B$203,MATCH($C143,'Dự án'!$A$4:$A$203,0)),""))</f>
        <v/>
      </c>
      <c r="E143" s="32"/>
      <c r="F143" s="32"/>
      <c r="G143" s="32"/>
      <c r="H143" s="34"/>
      <c r="I143" s="34"/>
      <c r="J143" s="38" t="str">
        <f aca="false">IF($A143="","",$H143*$I143)</f>
        <v/>
      </c>
      <c r="K143" s="33"/>
      <c r="L143" s="33"/>
      <c r="M143" s="38" t="str">
        <f aca="false">IF($A143="","",IF($L143="","",$L143-$B143))</f>
        <v/>
      </c>
      <c r="N143" s="32"/>
      <c r="O143" s="37" t="str">
        <f aca="true">IF($A143="","",IF($K143="","",IF($L143="",IF(TODAY()&gt;$K143,"Quá hạn chưa trả","Đang xử lý"),IF($L143&lt;=$K143,"Đúng hạn","Trả trễ"))))</f>
        <v/>
      </c>
      <c r="P143" s="38" t="str">
        <f aca="false">IF($A143="","",COUNTIFS('Báo giá'!$C$4:$C$203,$A143))</f>
        <v/>
      </c>
      <c r="Q143" s="38" t="str">
        <f aca="false">IF($A143="","",IF(SUMIFS('Báo giá'!$K$4:$K$203,'Báo giá'!$C$4:$C$203,$A143,'Báo giá'!$T$4:$T$203,"x")=0,"",SUMIFS('Báo giá'!$K$4:$K$203,'Báo giá'!$C$4:$C$203,$A143,'Báo giá'!$T$4:$T$203,"x")))</f>
        <v/>
      </c>
      <c r="R143" s="38" t="str">
        <f aca="false">IF($A143="","",IF(SUMIFS('Báo giá'!$L$4:$L$203,'Báo giá'!$C$4:$C$203,$A143,'Báo giá'!$T$4:$T$203,"x")=0,"",SUMIFS('Báo giá'!$L$4:$L$203,'Báo giá'!$C$4:$C$203,$A143,'Báo giá'!$T$4:$T$203,"x")))</f>
        <v/>
      </c>
      <c r="S143" s="38" t="str">
        <f aca="false">IF($A143="","",IF($R143="","",$R143-$J143))</f>
        <v/>
      </c>
      <c r="T143" s="37" t="str">
        <f aca="false">IF($A143="","",IF(COUNTIFS(PR!$C$4:$C$203,$A143)&gt;0,"Đã lập PR","Chưa lập PR"))</f>
        <v/>
      </c>
      <c r="U143" s="32"/>
    </row>
    <row r="144" customFormat="false" ht="15" hidden="false" customHeight="false" outlineLevel="0" collapsed="false">
      <c r="A144" s="32"/>
      <c r="B144" s="33"/>
      <c r="C144" s="32"/>
      <c r="D144" s="37" t="str">
        <f aca="false">IF($C144="","",IFERROR(INDEX('Dự án'!$B$4:$B$203,MATCH($C144,'Dự án'!$A$4:$A$203,0)),""))</f>
        <v/>
      </c>
      <c r="E144" s="32"/>
      <c r="F144" s="32"/>
      <c r="G144" s="32"/>
      <c r="H144" s="34"/>
      <c r="I144" s="34"/>
      <c r="J144" s="38" t="str">
        <f aca="false">IF($A144="","",$H144*$I144)</f>
        <v/>
      </c>
      <c r="K144" s="33"/>
      <c r="L144" s="33"/>
      <c r="M144" s="38" t="str">
        <f aca="false">IF($A144="","",IF($L144="","",$L144-$B144))</f>
        <v/>
      </c>
      <c r="N144" s="32"/>
      <c r="O144" s="37" t="str">
        <f aca="true">IF($A144="","",IF($K144="","",IF($L144="",IF(TODAY()&gt;$K144,"Quá hạn chưa trả","Đang xử lý"),IF($L144&lt;=$K144,"Đúng hạn","Trả trễ"))))</f>
        <v/>
      </c>
      <c r="P144" s="38" t="str">
        <f aca="false">IF($A144="","",COUNTIFS('Báo giá'!$C$4:$C$203,$A144))</f>
        <v/>
      </c>
      <c r="Q144" s="38" t="str">
        <f aca="false">IF($A144="","",IF(SUMIFS('Báo giá'!$K$4:$K$203,'Báo giá'!$C$4:$C$203,$A144,'Báo giá'!$T$4:$T$203,"x")=0,"",SUMIFS('Báo giá'!$K$4:$K$203,'Báo giá'!$C$4:$C$203,$A144,'Báo giá'!$T$4:$T$203,"x")))</f>
        <v/>
      </c>
      <c r="R144" s="38" t="str">
        <f aca="false">IF($A144="","",IF(SUMIFS('Báo giá'!$L$4:$L$203,'Báo giá'!$C$4:$C$203,$A144,'Báo giá'!$T$4:$T$203,"x")=0,"",SUMIFS('Báo giá'!$L$4:$L$203,'Báo giá'!$C$4:$C$203,$A144,'Báo giá'!$T$4:$T$203,"x")))</f>
        <v/>
      </c>
      <c r="S144" s="38" t="str">
        <f aca="false">IF($A144="","",IF($R144="","",$R144-$J144))</f>
        <v/>
      </c>
      <c r="T144" s="37" t="str">
        <f aca="false">IF($A144="","",IF(COUNTIFS(PR!$C$4:$C$203,$A144)&gt;0,"Đã lập PR","Chưa lập PR"))</f>
        <v/>
      </c>
      <c r="U144" s="32"/>
    </row>
    <row r="145" customFormat="false" ht="15" hidden="false" customHeight="false" outlineLevel="0" collapsed="false">
      <c r="A145" s="32"/>
      <c r="B145" s="33"/>
      <c r="C145" s="32"/>
      <c r="D145" s="37" t="str">
        <f aca="false">IF($C145="","",IFERROR(INDEX('Dự án'!$B$4:$B$203,MATCH($C145,'Dự án'!$A$4:$A$203,0)),""))</f>
        <v/>
      </c>
      <c r="E145" s="32"/>
      <c r="F145" s="32"/>
      <c r="G145" s="32"/>
      <c r="H145" s="34"/>
      <c r="I145" s="34"/>
      <c r="J145" s="38" t="str">
        <f aca="false">IF($A145="","",$H145*$I145)</f>
        <v/>
      </c>
      <c r="K145" s="33"/>
      <c r="L145" s="33"/>
      <c r="M145" s="38" t="str">
        <f aca="false">IF($A145="","",IF($L145="","",$L145-$B145))</f>
        <v/>
      </c>
      <c r="N145" s="32"/>
      <c r="O145" s="37" t="str">
        <f aca="true">IF($A145="","",IF($K145="","",IF($L145="",IF(TODAY()&gt;$K145,"Quá hạn chưa trả","Đang xử lý"),IF($L145&lt;=$K145,"Đúng hạn","Trả trễ"))))</f>
        <v/>
      </c>
      <c r="P145" s="38" t="str">
        <f aca="false">IF($A145="","",COUNTIFS('Báo giá'!$C$4:$C$203,$A145))</f>
        <v/>
      </c>
      <c r="Q145" s="38" t="str">
        <f aca="false">IF($A145="","",IF(SUMIFS('Báo giá'!$K$4:$K$203,'Báo giá'!$C$4:$C$203,$A145,'Báo giá'!$T$4:$T$203,"x")=0,"",SUMIFS('Báo giá'!$K$4:$K$203,'Báo giá'!$C$4:$C$203,$A145,'Báo giá'!$T$4:$T$203,"x")))</f>
        <v/>
      </c>
      <c r="R145" s="38" t="str">
        <f aca="false">IF($A145="","",IF(SUMIFS('Báo giá'!$L$4:$L$203,'Báo giá'!$C$4:$C$203,$A145,'Báo giá'!$T$4:$T$203,"x")=0,"",SUMIFS('Báo giá'!$L$4:$L$203,'Báo giá'!$C$4:$C$203,$A145,'Báo giá'!$T$4:$T$203,"x")))</f>
        <v/>
      </c>
      <c r="S145" s="38" t="str">
        <f aca="false">IF($A145="","",IF($R145="","",$R145-$J145))</f>
        <v/>
      </c>
      <c r="T145" s="37" t="str">
        <f aca="false">IF($A145="","",IF(COUNTIFS(PR!$C$4:$C$203,$A145)&gt;0,"Đã lập PR","Chưa lập PR"))</f>
        <v/>
      </c>
      <c r="U145" s="32"/>
    </row>
    <row r="146" customFormat="false" ht="15" hidden="false" customHeight="false" outlineLevel="0" collapsed="false">
      <c r="A146" s="32"/>
      <c r="B146" s="33"/>
      <c r="C146" s="32"/>
      <c r="D146" s="37" t="str">
        <f aca="false">IF($C146="","",IFERROR(INDEX('Dự án'!$B$4:$B$203,MATCH($C146,'Dự án'!$A$4:$A$203,0)),""))</f>
        <v/>
      </c>
      <c r="E146" s="32"/>
      <c r="F146" s="32"/>
      <c r="G146" s="32"/>
      <c r="H146" s="34"/>
      <c r="I146" s="34"/>
      <c r="J146" s="38" t="str">
        <f aca="false">IF($A146="","",$H146*$I146)</f>
        <v/>
      </c>
      <c r="K146" s="33"/>
      <c r="L146" s="33"/>
      <c r="M146" s="38" t="str">
        <f aca="false">IF($A146="","",IF($L146="","",$L146-$B146))</f>
        <v/>
      </c>
      <c r="N146" s="32"/>
      <c r="O146" s="37" t="str">
        <f aca="true">IF($A146="","",IF($K146="","",IF($L146="",IF(TODAY()&gt;$K146,"Quá hạn chưa trả","Đang xử lý"),IF($L146&lt;=$K146,"Đúng hạn","Trả trễ"))))</f>
        <v/>
      </c>
      <c r="P146" s="38" t="str">
        <f aca="false">IF($A146="","",COUNTIFS('Báo giá'!$C$4:$C$203,$A146))</f>
        <v/>
      </c>
      <c r="Q146" s="38" t="str">
        <f aca="false">IF($A146="","",IF(SUMIFS('Báo giá'!$K$4:$K$203,'Báo giá'!$C$4:$C$203,$A146,'Báo giá'!$T$4:$T$203,"x")=0,"",SUMIFS('Báo giá'!$K$4:$K$203,'Báo giá'!$C$4:$C$203,$A146,'Báo giá'!$T$4:$T$203,"x")))</f>
        <v/>
      </c>
      <c r="R146" s="38" t="str">
        <f aca="false">IF($A146="","",IF(SUMIFS('Báo giá'!$L$4:$L$203,'Báo giá'!$C$4:$C$203,$A146,'Báo giá'!$T$4:$T$203,"x")=0,"",SUMIFS('Báo giá'!$L$4:$L$203,'Báo giá'!$C$4:$C$203,$A146,'Báo giá'!$T$4:$T$203,"x")))</f>
        <v/>
      </c>
      <c r="S146" s="38" t="str">
        <f aca="false">IF($A146="","",IF($R146="","",$R146-$J146))</f>
        <v/>
      </c>
      <c r="T146" s="37" t="str">
        <f aca="false">IF($A146="","",IF(COUNTIFS(PR!$C$4:$C$203,$A146)&gt;0,"Đã lập PR","Chưa lập PR"))</f>
        <v/>
      </c>
      <c r="U146" s="32"/>
    </row>
    <row r="147" customFormat="false" ht="15" hidden="false" customHeight="false" outlineLevel="0" collapsed="false">
      <c r="A147" s="32"/>
      <c r="B147" s="33"/>
      <c r="C147" s="32"/>
      <c r="D147" s="37" t="str">
        <f aca="false">IF($C147="","",IFERROR(INDEX('Dự án'!$B$4:$B$203,MATCH($C147,'Dự án'!$A$4:$A$203,0)),""))</f>
        <v/>
      </c>
      <c r="E147" s="32"/>
      <c r="F147" s="32"/>
      <c r="G147" s="32"/>
      <c r="H147" s="34"/>
      <c r="I147" s="34"/>
      <c r="J147" s="38" t="str">
        <f aca="false">IF($A147="","",$H147*$I147)</f>
        <v/>
      </c>
      <c r="K147" s="33"/>
      <c r="L147" s="33"/>
      <c r="M147" s="38" t="str">
        <f aca="false">IF($A147="","",IF($L147="","",$L147-$B147))</f>
        <v/>
      </c>
      <c r="N147" s="32"/>
      <c r="O147" s="37" t="str">
        <f aca="true">IF($A147="","",IF($K147="","",IF($L147="",IF(TODAY()&gt;$K147,"Quá hạn chưa trả","Đang xử lý"),IF($L147&lt;=$K147,"Đúng hạn","Trả trễ"))))</f>
        <v/>
      </c>
      <c r="P147" s="38" t="str">
        <f aca="false">IF($A147="","",COUNTIFS('Báo giá'!$C$4:$C$203,$A147))</f>
        <v/>
      </c>
      <c r="Q147" s="38" t="str">
        <f aca="false">IF($A147="","",IF(SUMIFS('Báo giá'!$K$4:$K$203,'Báo giá'!$C$4:$C$203,$A147,'Báo giá'!$T$4:$T$203,"x")=0,"",SUMIFS('Báo giá'!$K$4:$K$203,'Báo giá'!$C$4:$C$203,$A147,'Báo giá'!$T$4:$T$203,"x")))</f>
        <v/>
      </c>
      <c r="R147" s="38" t="str">
        <f aca="false">IF($A147="","",IF(SUMIFS('Báo giá'!$L$4:$L$203,'Báo giá'!$C$4:$C$203,$A147,'Báo giá'!$T$4:$T$203,"x")=0,"",SUMIFS('Báo giá'!$L$4:$L$203,'Báo giá'!$C$4:$C$203,$A147,'Báo giá'!$T$4:$T$203,"x")))</f>
        <v/>
      </c>
      <c r="S147" s="38" t="str">
        <f aca="false">IF($A147="","",IF($R147="","",$R147-$J147))</f>
        <v/>
      </c>
      <c r="T147" s="37" t="str">
        <f aca="false">IF($A147="","",IF(COUNTIFS(PR!$C$4:$C$203,$A147)&gt;0,"Đã lập PR","Chưa lập PR"))</f>
        <v/>
      </c>
      <c r="U147" s="32"/>
    </row>
    <row r="148" customFormat="false" ht="15" hidden="false" customHeight="false" outlineLevel="0" collapsed="false">
      <c r="A148" s="32"/>
      <c r="B148" s="33"/>
      <c r="C148" s="32"/>
      <c r="D148" s="37" t="str">
        <f aca="false">IF($C148="","",IFERROR(INDEX('Dự án'!$B$4:$B$203,MATCH($C148,'Dự án'!$A$4:$A$203,0)),""))</f>
        <v/>
      </c>
      <c r="E148" s="32"/>
      <c r="F148" s="32"/>
      <c r="G148" s="32"/>
      <c r="H148" s="34"/>
      <c r="I148" s="34"/>
      <c r="J148" s="38" t="str">
        <f aca="false">IF($A148="","",$H148*$I148)</f>
        <v/>
      </c>
      <c r="K148" s="33"/>
      <c r="L148" s="33"/>
      <c r="M148" s="38" t="str">
        <f aca="false">IF($A148="","",IF($L148="","",$L148-$B148))</f>
        <v/>
      </c>
      <c r="N148" s="32"/>
      <c r="O148" s="37" t="str">
        <f aca="true">IF($A148="","",IF($K148="","",IF($L148="",IF(TODAY()&gt;$K148,"Quá hạn chưa trả","Đang xử lý"),IF($L148&lt;=$K148,"Đúng hạn","Trả trễ"))))</f>
        <v/>
      </c>
      <c r="P148" s="38" t="str">
        <f aca="false">IF($A148="","",COUNTIFS('Báo giá'!$C$4:$C$203,$A148))</f>
        <v/>
      </c>
      <c r="Q148" s="38" t="str">
        <f aca="false">IF($A148="","",IF(SUMIFS('Báo giá'!$K$4:$K$203,'Báo giá'!$C$4:$C$203,$A148,'Báo giá'!$T$4:$T$203,"x")=0,"",SUMIFS('Báo giá'!$K$4:$K$203,'Báo giá'!$C$4:$C$203,$A148,'Báo giá'!$T$4:$T$203,"x")))</f>
        <v/>
      </c>
      <c r="R148" s="38" t="str">
        <f aca="false">IF($A148="","",IF(SUMIFS('Báo giá'!$L$4:$L$203,'Báo giá'!$C$4:$C$203,$A148,'Báo giá'!$T$4:$T$203,"x")=0,"",SUMIFS('Báo giá'!$L$4:$L$203,'Báo giá'!$C$4:$C$203,$A148,'Báo giá'!$T$4:$T$203,"x")))</f>
        <v/>
      </c>
      <c r="S148" s="38" t="str">
        <f aca="false">IF($A148="","",IF($R148="","",$R148-$J148))</f>
        <v/>
      </c>
      <c r="T148" s="37" t="str">
        <f aca="false">IF($A148="","",IF(COUNTIFS(PR!$C$4:$C$203,$A148)&gt;0,"Đã lập PR","Chưa lập PR"))</f>
        <v/>
      </c>
      <c r="U148" s="32"/>
    </row>
    <row r="149" customFormat="false" ht="15" hidden="false" customHeight="false" outlineLevel="0" collapsed="false">
      <c r="A149" s="32"/>
      <c r="B149" s="33"/>
      <c r="C149" s="32"/>
      <c r="D149" s="37" t="str">
        <f aca="false">IF($C149="","",IFERROR(INDEX('Dự án'!$B$4:$B$203,MATCH($C149,'Dự án'!$A$4:$A$203,0)),""))</f>
        <v/>
      </c>
      <c r="E149" s="32"/>
      <c r="F149" s="32"/>
      <c r="G149" s="32"/>
      <c r="H149" s="34"/>
      <c r="I149" s="34"/>
      <c r="J149" s="38" t="str">
        <f aca="false">IF($A149="","",$H149*$I149)</f>
        <v/>
      </c>
      <c r="K149" s="33"/>
      <c r="L149" s="33"/>
      <c r="M149" s="38" t="str">
        <f aca="false">IF($A149="","",IF($L149="","",$L149-$B149))</f>
        <v/>
      </c>
      <c r="N149" s="32"/>
      <c r="O149" s="37" t="str">
        <f aca="true">IF($A149="","",IF($K149="","",IF($L149="",IF(TODAY()&gt;$K149,"Quá hạn chưa trả","Đang xử lý"),IF($L149&lt;=$K149,"Đúng hạn","Trả trễ"))))</f>
        <v/>
      </c>
      <c r="P149" s="38" t="str">
        <f aca="false">IF($A149="","",COUNTIFS('Báo giá'!$C$4:$C$203,$A149))</f>
        <v/>
      </c>
      <c r="Q149" s="38" t="str">
        <f aca="false">IF($A149="","",IF(SUMIFS('Báo giá'!$K$4:$K$203,'Báo giá'!$C$4:$C$203,$A149,'Báo giá'!$T$4:$T$203,"x")=0,"",SUMIFS('Báo giá'!$K$4:$K$203,'Báo giá'!$C$4:$C$203,$A149,'Báo giá'!$T$4:$T$203,"x")))</f>
        <v/>
      </c>
      <c r="R149" s="38" t="str">
        <f aca="false">IF($A149="","",IF(SUMIFS('Báo giá'!$L$4:$L$203,'Báo giá'!$C$4:$C$203,$A149,'Báo giá'!$T$4:$T$203,"x")=0,"",SUMIFS('Báo giá'!$L$4:$L$203,'Báo giá'!$C$4:$C$203,$A149,'Báo giá'!$T$4:$T$203,"x")))</f>
        <v/>
      </c>
      <c r="S149" s="38" t="str">
        <f aca="false">IF($A149="","",IF($R149="","",$R149-$J149))</f>
        <v/>
      </c>
      <c r="T149" s="37" t="str">
        <f aca="false">IF($A149="","",IF(COUNTIFS(PR!$C$4:$C$203,$A149)&gt;0,"Đã lập PR","Chưa lập PR"))</f>
        <v/>
      </c>
      <c r="U149" s="32"/>
    </row>
    <row r="150" customFormat="false" ht="15" hidden="false" customHeight="false" outlineLevel="0" collapsed="false">
      <c r="A150" s="32"/>
      <c r="B150" s="33"/>
      <c r="C150" s="32"/>
      <c r="D150" s="37" t="str">
        <f aca="false">IF($C150="","",IFERROR(INDEX('Dự án'!$B$4:$B$203,MATCH($C150,'Dự án'!$A$4:$A$203,0)),""))</f>
        <v/>
      </c>
      <c r="E150" s="32"/>
      <c r="F150" s="32"/>
      <c r="G150" s="32"/>
      <c r="H150" s="34"/>
      <c r="I150" s="34"/>
      <c r="J150" s="38" t="str">
        <f aca="false">IF($A150="","",$H150*$I150)</f>
        <v/>
      </c>
      <c r="K150" s="33"/>
      <c r="L150" s="33"/>
      <c r="M150" s="38" t="str">
        <f aca="false">IF($A150="","",IF($L150="","",$L150-$B150))</f>
        <v/>
      </c>
      <c r="N150" s="32"/>
      <c r="O150" s="37" t="str">
        <f aca="true">IF($A150="","",IF($K150="","",IF($L150="",IF(TODAY()&gt;$K150,"Quá hạn chưa trả","Đang xử lý"),IF($L150&lt;=$K150,"Đúng hạn","Trả trễ"))))</f>
        <v/>
      </c>
      <c r="P150" s="38" t="str">
        <f aca="false">IF($A150="","",COUNTIFS('Báo giá'!$C$4:$C$203,$A150))</f>
        <v/>
      </c>
      <c r="Q150" s="38" t="str">
        <f aca="false">IF($A150="","",IF(SUMIFS('Báo giá'!$K$4:$K$203,'Báo giá'!$C$4:$C$203,$A150,'Báo giá'!$T$4:$T$203,"x")=0,"",SUMIFS('Báo giá'!$K$4:$K$203,'Báo giá'!$C$4:$C$203,$A150,'Báo giá'!$T$4:$T$203,"x")))</f>
        <v/>
      </c>
      <c r="R150" s="38" t="str">
        <f aca="false">IF($A150="","",IF(SUMIFS('Báo giá'!$L$4:$L$203,'Báo giá'!$C$4:$C$203,$A150,'Báo giá'!$T$4:$T$203,"x")=0,"",SUMIFS('Báo giá'!$L$4:$L$203,'Báo giá'!$C$4:$C$203,$A150,'Báo giá'!$T$4:$T$203,"x")))</f>
        <v/>
      </c>
      <c r="S150" s="38" t="str">
        <f aca="false">IF($A150="","",IF($R150="","",$R150-$J150))</f>
        <v/>
      </c>
      <c r="T150" s="37" t="str">
        <f aca="false">IF($A150="","",IF(COUNTIFS(PR!$C$4:$C$203,$A150)&gt;0,"Đã lập PR","Chưa lập PR"))</f>
        <v/>
      </c>
      <c r="U150" s="32"/>
    </row>
    <row r="151" customFormat="false" ht="15" hidden="false" customHeight="false" outlineLevel="0" collapsed="false">
      <c r="A151" s="32"/>
      <c r="B151" s="33"/>
      <c r="C151" s="32"/>
      <c r="D151" s="37" t="str">
        <f aca="false">IF($C151="","",IFERROR(INDEX('Dự án'!$B$4:$B$203,MATCH($C151,'Dự án'!$A$4:$A$203,0)),""))</f>
        <v/>
      </c>
      <c r="E151" s="32"/>
      <c r="F151" s="32"/>
      <c r="G151" s="32"/>
      <c r="H151" s="34"/>
      <c r="I151" s="34"/>
      <c r="J151" s="38" t="str">
        <f aca="false">IF($A151="","",$H151*$I151)</f>
        <v/>
      </c>
      <c r="K151" s="33"/>
      <c r="L151" s="33"/>
      <c r="M151" s="38" t="str">
        <f aca="false">IF($A151="","",IF($L151="","",$L151-$B151))</f>
        <v/>
      </c>
      <c r="N151" s="32"/>
      <c r="O151" s="37" t="str">
        <f aca="true">IF($A151="","",IF($K151="","",IF($L151="",IF(TODAY()&gt;$K151,"Quá hạn chưa trả","Đang xử lý"),IF($L151&lt;=$K151,"Đúng hạn","Trả trễ"))))</f>
        <v/>
      </c>
      <c r="P151" s="38" t="str">
        <f aca="false">IF($A151="","",COUNTIFS('Báo giá'!$C$4:$C$203,$A151))</f>
        <v/>
      </c>
      <c r="Q151" s="38" t="str">
        <f aca="false">IF($A151="","",IF(SUMIFS('Báo giá'!$K$4:$K$203,'Báo giá'!$C$4:$C$203,$A151,'Báo giá'!$T$4:$T$203,"x")=0,"",SUMIFS('Báo giá'!$K$4:$K$203,'Báo giá'!$C$4:$C$203,$A151,'Báo giá'!$T$4:$T$203,"x")))</f>
        <v/>
      </c>
      <c r="R151" s="38" t="str">
        <f aca="false">IF($A151="","",IF(SUMIFS('Báo giá'!$L$4:$L$203,'Báo giá'!$C$4:$C$203,$A151,'Báo giá'!$T$4:$T$203,"x")=0,"",SUMIFS('Báo giá'!$L$4:$L$203,'Báo giá'!$C$4:$C$203,$A151,'Báo giá'!$T$4:$T$203,"x")))</f>
        <v/>
      </c>
      <c r="S151" s="38" t="str">
        <f aca="false">IF($A151="","",IF($R151="","",$R151-$J151))</f>
        <v/>
      </c>
      <c r="T151" s="37" t="str">
        <f aca="false">IF($A151="","",IF(COUNTIFS(PR!$C$4:$C$203,$A151)&gt;0,"Đã lập PR","Chưa lập PR"))</f>
        <v/>
      </c>
      <c r="U151" s="32"/>
    </row>
    <row r="152" customFormat="false" ht="15" hidden="false" customHeight="false" outlineLevel="0" collapsed="false">
      <c r="A152" s="32"/>
      <c r="B152" s="33"/>
      <c r="C152" s="32"/>
      <c r="D152" s="37" t="str">
        <f aca="false">IF($C152="","",IFERROR(INDEX('Dự án'!$B$4:$B$203,MATCH($C152,'Dự án'!$A$4:$A$203,0)),""))</f>
        <v/>
      </c>
      <c r="E152" s="32"/>
      <c r="F152" s="32"/>
      <c r="G152" s="32"/>
      <c r="H152" s="34"/>
      <c r="I152" s="34"/>
      <c r="J152" s="38" t="str">
        <f aca="false">IF($A152="","",$H152*$I152)</f>
        <v/>
      </c>
      <c r="K152" s="33"/>
      <c r="L152" s="33"/>
      <c r="M152" s="38" t="str">
        <f aca="false">IF($A152="","",IF($L152="","",$L152-$B152))</f>
        <v/>
      </c>
      <c r="N152" s="32"/>
      <c r="O152" s="37" t="str">
        <f aca="true">IF($A152="","",IF($K152="","",IF($L152="",IF(TODAY()&gt;$K152,"Quá hạn chưa trả","Đang xử lý"),IF($L152&lt;=$K152,"Đúng hạn","Trả trễ"))))</f>
        <v/>
      </c>
      <c r="P152" s="38" t="str">
        <f aca="false">IF($A152="","",COUNTIFS('Báo giá'!$C$4:$C$203,$A152))</f>
        <v/>
      </c>
      <c r="Q152" s="38" t="str">
        <f aca="false">IF($A152="","",IF(SUMIFS('Báo giá'!$K$4:$K$203,'Báo giá'!$C$4:$C$203,$A152,'Báo giá'!$T$4:$T$203,"x")=0,"",SUMIFS('Báo giá'!$K$4:$K$203,'Báo giá'!$C$4:$C$203,$A152,'Báo giá'!$T$4:$T$203,"x")))</f>
        <v/>
      </c>
      <c r="R152" s="38" t="str">
        <f aca="false">IF($A152="","",IF(SUMIFS('Báo giá'!$L$4:$L$203,'Báo giá'!$C$4:$C$203,$A152,'Báo giá'!$T$4:$T$203,"x")=0,"",SUMIFS('Báo giá'!$L$4:$L$203,'Báo giá'!$C$4:$C$203,$A152,'Báo giá'!$T$4:$T$203,"x")))</f>
        <v/>
      </c>
      <c r="S152" s="38" t="str">
        <f aca="false">IF($A152="","",IF($R152="","",$R152-$J152))</f>
        <v/>
      </c>
      <c r="T152" s="37" t="str">
        <f aca="false">IF($A152="","",IF(COUNTIFS(PR!$C$4:$C$203,$A152)&gt;0,"Đã lập PR","Chưa lập PR"))</f>
        <v/>
      </c>
      <c r="U152" s="32"/>
    </row>
    <row r="153" customFormat="false" ht="15" hidden="false" customHeight="false" outlineLevel="0" collapsed="false">
      <c r="A153" s="32"/>
      <c r="B153" s="33"/>
      <c r="C153" s="32"/>
      <c r="D153" s="37" t="str">
        <f aca="false">IF($C153="","",IFERROR(INDEX('Dự án'!$B$4:$B$203,MATCH($C153,'Dự án'!$A$4:$A$203,0)),""))</f>
        <v/>
      </c>
      <c r="E153" s="32"/>
      <c r="F153" s="32"/>
      <c r="G153" s="32"/>
      <c r="H153" s="34"/>
      <c r="I153" s="34"/>
      <c r="J153" s="38" t="str">
        <f aca="false">IF($A153="","",$H153*$I153)</f>
        <v/>
      </c>
      <c r="K153" s="33"/>
      <c r="L153" s="33"/>
      <c r="M153" s="38" t="str">
        <f aca="false">IF($A153="","",IF($L153="","",$L153-$B153))</f>
        <v/>
      </c>
      <c r="N153" s="32"/>
      <c r="O153" s="37" t="str">
        <f aca="true">IF($A153="","",IF($K153="","",IF($L153="",IF(TODAY()&gt;$K153,"Quá hạn chưa trả","Đang xử lý"),IF($L153&lt;=$K153,"Đúng hạn","Trả trễ"))))</f>
        <v/>
      </c>
      <c r="P153" s="38" t="str">
        <f aca="false">IF($A153="","",COUNTIFS('Báo giá'!$C$4:$C$203,$A153))</f>
        <v/>
      </c>
      <c r="Q153" s="38" t="str">
        <f aca="false">IF($A153="","",IF(SUMIFS('Báo giá'!$K$4:$K$203,'Báo giá'!$C$4:$C$203,$A153,'Báo giá'!$T$4:$T$203,"x")=0,"",SUMIFS('Báo giá'!$K$4:$K$203,'Báo giá'!$C$4:$C$203,$A153,'Báo giá'!$T$4:$T$203,"x")))</f>
        <v/>
      </c>
      <c r="R153" s="38" t="str">
        <f aca="false">IF($A153="","",IF(SUMIFS('Báo giá'!$L$4:$L$203,'Báo giá'!$C$4:$C$203,$A153,'Báo giá'!$T$4:$T$203,"x")=0,"",SUMIFS('Báo giá'!$L$4:$L$203,'Báo giá'!$C$4:$C$203,$A153,'Báo giá'!$T$4:$T$203,"x")))</f>
        <v/>
      </c>
      <c r="S153" s="38" t="str">
        <f aca="false">IF($A153="","",IF($R153="","",$R153-$J153))</f>
        <v/>
      </c>
      <c r="T153" s="37" t="str">
        <f aca="false">IF($A153="","",IF(COUNTIFS(PR!$C$4:$C$203,$A153)&gt;0,"Đã lập PR","Chưa lập PR"))</f>
        <v/>
      </c>
      <c r="U153" s="32"/>
    </row>
    <row r="154" customFormat="false" ht="15" hidden="false" customHeight="false" outlineLevel="0" collapsed="false">
      <c r="A154" s="32"/>
      <c r="B154" s="33"/>
      <c r="C154" s="32"/>
      <c r="D154" s="37" t="str">
        <f aca="false">IF($C154="","",IFERROR(INDEX('Dự án'!$B$4:$B$203,MATCH($C154,'Dự án'!$A$4:$A$203,0)),""))</f>
        <v/>
      </c>
      <c r="E154" s="32"/>
      <c r="F154" s="32"/>
      <c r="G154" s="32"/>
      <c r="H154" s="34"/>
      <c r="I154" s="34"/>
      <c r="J154" s="38" t="str">
        <f aca="false">IF($A154="","",$H154*$I154)</f>
        <v/>
      </c>
      <c r="K154" s="33"/>
      <c r="L154" s="33"/>
      <c r="M154" s="38" t="str">
        <f aca="false">IF($A154="","",IF($L154="","",$L154-$B154))</f>
        <v/>
      </c>
      <c r="N154" s="32"/>
      <c r="O154" s="37" t="str">
        <f aca="true">IF($A154="","",IF($K154="","",IF($L154="",IF(TODAY()&gt;$K154,"Quá hạn chưa trả","Đang xử lý"),IF($L154&lt;=$K154,"Đúng hạn","Trả trễ"))))</f>
        <v/>
      </c>
      <c r="P154" s="38" t="str">
        <f aca="false">IF($A154="","",COUNTIFS('Báo giá'!$C$4:$C$203,$A154))</f>
        <v/>
      </c>
      <c r="Q154" s="38" t="str">
        <f aca="false">IF($A154="","",IF(SUMIFS('Báo giá'!$K$4:$K$203,'Báo giá'!$C$4:$C$203,$A154,'Báo giá'!$T$4:$T$203,"x")=0,"",SUMIFS('Báo giá'!$K$4:$K$203,'Báo giá'!$C$4:$C$203,$A154,'Báo giá'!$T$4:$T$203,"x")))</f>
        <v/>
      </c>
      <c r="R154" s="38" t="str">
        <f aca="false">IF($A154="","",IF(SUMIFS('Báo giá'!$L$4:$L$203,'Báo giá'!$C$4:$C$203,$A154,'Báo giá'!$T$4:$T$203,"x")=0,"",SUMIFS('Báo giá'!$L$4:$L$203,'Báo giá'!$C$4:$C$203,$A154,'Báo giá'!$T$4:$T$203,"x")))</f>
        <v/>
      </c>
      <c r="S154" s="38" t="str">
        <f aca="false">IF($A154="","",IF($R154="","",$R154-$J154))</f>
        <v/>
      </c>
      <c r="T154" s="37" t="str">
        <f aca="false">IF($A154="","",IF(COUNTIFS(PR!$C$4:$C$203,$A154)&gt;0,"Đã lập PR","Chưa lập PR"))</f>
        <v/>
      </c>
      <c r="U154" s="32"/>
    </row>
    <row r="155" customFormat="false" ht="15" hidden="false" customHeight="false" outlineLevel="0" collapsed="false">
      <c r="A155" s="32"/>
      <c r="B155" s="33"/>
      <c r="C155" s="32"/>
      <c r="D155" s="37" t="str">
        <f aca="false">IF($C155="","",IFERROR(INDEX('Dự án'!$B$4:$B$203,MATCH($C155,'Dự án'!$A$4:$A$203,0)),""))</f>
        <v/>
      </c>
      <c r="E155" s="32"/>
      <c r="F155" s="32"/>
      <c r="G155" s="32"/>
      <c r="H155" s="34"/>
      <c r="I155" s="34"/>
      <c r="J155" s="38" t="str">
        <f aca="false">IF($A155="","",$H155*$I155)</f>
        <v/>
      </c>
      <c r="K155" s="33"/>
      <c r="L155" s="33"/>
      <c r="M155" s="38" t="str">
        <f aca="false">IF($A155="","",IF($L155="","",$L155-$B155))</f>
        <v/>
      </c>
      <c r="N155" s="32"/>
      <c r="O155" s="37" t="str">
        <f aca="true">IF($A155="","",IF($K155="","",IF($L155="",IF(TODAY()&gt;$K155,"Quá hạn chưa trả","Đang xử lý"),IF($L155&lt;=$K155,"Đúng hạn","Trả trễ"))))</f>
        <v/>
      </c>
      <c r="P155" s="38" t="str">
        <f aca="false">IF($A155="","",COUNTIFS('Báo giá'!$C$4:$C$203,$A155))</f>
        <v/>
      </c>
      <c r="Q155" s="38" t="str">
        <f aca="false">IF($A155="","",IF(SUMIFS('Báo giá'!$K$4:$K$203,'Báo giá'!$C$4:$C$203,$A155,'Báo giá'!$T$4:$T$203,"x")=0,"",SUMIFS('Báo giá'!$K$4:$K$203,'Báo giá'!$C$4:$C$203,$A155,'Báo giá'!$T$4:$T$203,"x")))</f>
        <v/>
      </c>
      <c r="R155" s="38" t="str">
        <f aca="false">IF($A155="","",IF(SUMIFS('Báo giá'!$L$4:$L$203,'Báo giá'!$C$4:$C$203,$A155,'Báo giá'!$T$4:$T$203,"x")=0,"",SUMIFS('Báo giá'!$L$4:$L$203,'Báo giá'!$C$4:$C$203,$A155,'Báo giá'!$T$4:$T$203,"x")))</f>
        <v/>
      </c>
      <c r="S155" s="38" t="str">
        <f aca="false">IF($A155="","",IF($R155="","",$R155-$J155))</f>
        <v/>
      </c>
      <c r="T155" s="37" t="str">
        <f aca="false">IF($A155="","",IF(COUNTIFS(PR!$C$4:$C$203,$A155)&gt;0,"Đã lập PR","Chưa lập PR"))</f>
        <v/>
      </c>
      <c r="U155" s="32"/>
    </row>
    <row r="156" customFormat="false" ht="15" hidden="false" customHeight="false" outlineLevel="0" collapsed="false">
      <c r="A156" s="32"/>
      <c r="B156" s="33"/>
      <c r="C156" s="32"/>
      <c r="D156" s="37" t="str">
        <f aca="false">IF($C156="","",IFERROR(INDEX('Dự án'!$B$4:$B$203,MATCH($C156,'Dự án'!$A$4:$A$203,0)),""))</f>
        <v/>
      </c>
      <c r="E156" s="32"/>
      <c r="F156" s="32"/>
      <c r="G156" s="32"/>
      <c r="H156" s="34"/>
      <c r="I156" s="34"/>
      <c r="J156" s="38" t="str">
        <f aca="false">IF($A156="","",$H156*$I156)</f>
        <v/>
      </c>
      <c r="K156" s="33"/>
      <c r="L156" s="33"/>
      <c r="M156" s="38" t="str">
        <f aca="false">IF($A156="","",IF($L156="","",$L156-$B156))</f>
        <v/>
      </c>
      <c r="N156" s="32"/>
      <c r="O156" s="37" t="str">
        <f aca="true">IF($A156="","",IF($K156="","",IF($L156="",IF(TODAY()&gt;$K156,"Quá hạn chưa trả","Đang xử lý"),IF($L156&lt;=$K156,"Đúng hạn","Trả trễ"))))</f>
        <v/>
      </c>
      <c r="P156" s="38" t="str">
        <f aca="false">IF($A156="","",COUNTIFS('Báo giá'!$C$4:$C$203,$A156))</f>
        <v/>
      </c>
      <c r="Q156" s="38" t="str">
        <f aca="false">IF($A156="","",IF(SUMIFS('Báo giá'!$K$4:$K$203,'Báo giá'!$C$4:$C$203,$A156,'Báo giá'!$T$4:$T$203,"x")=0,"",SUMIFS('Báo giá'!$K$4:$K$203,'Báo giá'!$C$4:$C$203,$A156,'Báo giá'!$T$4:$T$203,"x")))</f>
        <v/>
      </c>
      <c r="R156" s="38" t="str">
        <f aca="false">IF($A156="","",IF(SUMIFS('Báo giá'!$L$4:$L$203,'Báo giá'!$C$4:$C$203,$A156,'Báo giá'!$T$4:$T$203,"x")=0,"",SUMIFS('Báo giá'!$L$4:$L$203,'Báo giá'!$C$4:$C$203,$A156,'Báo giá'!$T$4:$T$203,"x")))</f>
        <v/>
      </c>
      <c r="S156" s="38" t="str">
        <f aca="false">IF($A156="","",IF($R156="","",$R156-$J156))</f>
        <v/>
      </c>
      <c r="T156" s="37" t="str">
        <f aca="false">IF($A156="","",IF(COUNTIFS(PR!$C$4:$C$203,$A156)&gt;0,"Đã lập PR","Chưa lập PR"))</f>
        <v/>
      </c>
      <c r="U156" s="32"/>
    </row>
    <row r="157" customFormat="false" ht="15" hidden="false" customHeight="false" outlineLevel="0" collapsed="false">
      <c r="A157" s="32"/>
      <c r="B157" s="33"/>
      <c r="C157" s="32"/>
      <c r="D157" s="37" t="str">
        <f aca="false">IF($C157="","",IFERROR(INDEX('Dự án'!$B$4:$B$203,MATCH($C157,'Dự án'!$A$4:$A$203,0)),""))</f>
        <v/>
      </c>
      <c r="E157" s="32"/>
      <c r="F157" s="32"/>
      <c r="G157" s="32"/>
      <c r="H157" s="34"/>
      <c r="I157" s="34"/>
      <c r="J157" s="38" t="str">
        <f aca="false">IF($A157="","",$H157*$I157)</f>
        <v/>
      </c>
      <c r="K157" s="33"/>
      <c r="L157" s="33"/>
      <c r="M157" s="38" t="str">
        <f aca="false">IF($A157="","",IF($L157="","",$L157-$B157))</f>
        <v/>
      </c>
      <c r="N157" s="32"/>
      <c r="O157" s="37" t="str">
        <f aca="true">IF($A157="","",IF($K157="","",IF($L157="",IF(TODAY()&gt;$K157,"Quá hạn chưa trả","Đang xử lý"),IF($L157&lt;=$K157,"Đúng hạn","Trả trễ"))))</f>
        <v/>
      </c>
      <c r="P157" s="38" t="str">
        <f aca="false">IF($A157="","",COUNTIFS('Báo giá'!$C$4:$C$203,$A157))</f>
        <v/>
      </c>
      <c r="Q157" s="38" t="str">
        <f aca="false">IF($A157="","",IF(SUMIFS('Báo giá'!$K$4:$K$203,'Báo giá'!$C$4:$C$203,$A157,'Báo giá'!$T$4:$T$203,"x")=0,"",SUMIFS('Báo giá'!$K$4:$K$203,'Báo giá'!$C$4:$C$203,$A157,'Báo giá'!$T$4:$T$203,"x")))</f>
        <v/>
      </c>
      <c r="R157" s="38" t="str">
        <f aca="false">IF($A157="","",IF(SUMIFS('Báo giá'!$L$4:$L$203,'Báo giá'!$C$4:$C$203,$A157,'Báo giá'!$T$4:$T$203,"x")=0,"",SUMIFS('Báo giá'!$L$4:$L$203,'Báo giá'!$C$4:$C$203,$A157,'Báo giá'!$T$4:$T$203,"x")))</f>
        <v/>
      </c>
      <c r="S157" s="38" t="str">
        <f aca="false">IF($A157="","",IF($R157="","",$R157-$J157))</f>
        <v/>
      </c>
      <c r="T157" s="37" t="str">
        <f aca="false">IF($A157="","",IF(COUNTIFS(PR!$C$4:$C$203,$A157)&gt;0,"Đã lập PR","Chưa lập PR"))</f>
        <v/>
      </c>
      <c r="U157" s="32"/>
    </row>
    <row r="158" customFormat="false" ht="15" hidden="false" customHeight="false" outlineLevel="0" collapsed="false">
      <c r="A158" s="32"/>
      <c r="B158" s="33"/>
      <c r="C158" s="32"/>
      <c r="D158" s="37" t="str">
        <f aca="false">IF($C158="","",IFERROR(INDEX('Dự án'!$B$4:$B$203,MATCH($C158,'Dự án'!$A$4:$A$203,0)),""))</f>
        <v/>
      </c>
      <c r="E158" s="32"/>
      <c r="F158" s="32"/>
      <c r="G158" s="32"/>
      <c r="H158" s="34"/>
      <c r="I158" s="34"/>
      <c r="J158" s="38" t="str">
        <f aca="false">IF($A158="","",$H158*$I158)</f>
        <v/>
      </c>
      <c r="K158" s="33"/>
      <c r="L158" s="33"/>
      <c r="M158" s="38" t="str">
        <f aca="false">IF($A158="","",IF($L158="","",$L158-$B158))</f>
        <v/>
      </c>
      <c r="N158" s="32"/>
      <c r="O158" s="37" t="str">
        <f aca="true">IF($A158="","",IF($K158="","",IF($L158="",IF(TODAY()&gt;$K158,"Quá hạn chưa trả","Đang xử lý"),IF($L158&lt;=$K158,"Đúng hạn","Trả trễ"))))</f>
        <v/>
      </c>
      <c r="P158" s="38" t="str">
        <f aca="false">IF($A158="","",COUNTIFS('Báo giá'!$C$4:$C$203,$A158))</f>
        <v/>
      </c>
      <c r="Q158" s="38" t="str">
        <f aca="false">IF($A158="","",IF(SUMIFS('Báo giá'!$K$4:$K$203,'Báo giá'!$C$4:$C$203,$A158,'Báo giá'!$T$4:$T$203,"x")=0,"",SUMIFS('Báo giá'!$K$4:$K$203,'Báo giá'!$C$4:$C$203,$A158,'Báo giá'!$T$4:$T$203,"x")))</f>
        <v/>
      </c>
      <c r="R158" s="38" t="str">
        <f aca="false">IF($A158="","",IF(SUMIFS('Báo giá'!$L$4:$L$203,'Báo giá'!$C$4:$C$203,$A158,'Báo giá'!$T$4:$T$203,"x")=0,"",SUMIFS('Báo giá'!$L$4:$L$203,'Báo giá'!$C$4:$C$203,$A158,'Báo giá'!$T$4:$T$203,"x")))</f>
        <v/>
      </c>
      <c r="S158" s="38" t="str">
        <f aca="false">IF($A158="","",IF($R158="","",$R158-$J158))</f>
        <v/>
      </c>
      <c r="T158" s="37" t="str">
        <f aca="false">IF($A158="","",IF(COUNTIFS(PR!$C$4:$C$203,$A158)&gt;0,"Đã lập PR","Chưa lập PR"))</f>
        <v/>
      </c>
      <c r="U158" s="32"/>
    </row>
    <row r="159" customFormat="false" ht="15" hidden="false" customHeight="false" outlineLevel="0" collapsed="false">
      <c r="A159" s="32"/>
      <c r="B159" s="33"/>
      <c r="C159" s="32"/>
      <c r="D159" s="37" t="str">
        <f aca="false">IF($C159="","",IFERROR(INDEX('Dự án'!$B$4:$B$203,MATCH($C159,'Dự án'!$A$4:$A$203,0)),""))</f>
        <v/>
      </c>
      <c r="E159" s="32"/>
      <c r="F159" s="32"/>
      <c r="G159" s="32"/>
      <c r="H159" s="34"/>
      <c r="I159" s="34"/>
      <c r="J159" s="38" t="str">
        <f aca="false">IF($A159="","",$H159*$I159)</f>
        <v/>
      </c>
      <c r="K159" s="33"/>
      <c r="L159" s="33"/>
      <c r="M159" s="38" t="str">
        <f aca="false">IF($A159="","",IF($L159="","",$L159-$B159))</f>
        <v/>
      </c>
      <c r="N159" s="32"/>
      <c r="O159" s="37" t="str">
        <f aca="true">IF($A159="","",IF($K159="","",IF($L159="",IF(TODAY()&gt;$K159,"Quá hạn chưa trả","Đang xử lý"),IF($L159&lt;=$K159,"Đúng hạn","Trả trễ"))))</f>
        <v/>
      </c>
      <c r="P159" s="38" t="str">
        <f aca="false">IF($A159="","",COUNTIFS('Báo giá'!$C$4:$C$203,$A159))</f>
        <v/>
      </c>
      <c r="Q159" s="38" t="str">
        <f aca="false">IF($A159="","",IF(SUMIFS('Báo giá'!$K$4:$K$203,'Báo giá'!$C$4:$C$203,$A159,'Báo giá'!$T$4:$T$203,"x")=0,"",SUMIFS('Báo giá'!$K$4:$K$203,'Báo giá'!$C$4:$C$203,$A159,'Báo giá'!$T$4:$T$203,"x")))</f>
        <v/>
      </c>
      <c r="R159" s="38" t="str">
        <f aca="false">IF($A159="","",IF(SUMIFS('Báo giá'!$L$4:$L$203,'Báo giá'!$C$4:$C$203,$A159,'Báo giá'!$T$4:$T$203,"x")=0,"",SUMIFS('Báo giá'!$L$4:$L$203,'Báo giá'!$C$4:$C$203,$A159,'Báo giá'!$T$4:$T$203,"x")))</f>
        <v/>
      </c>
      <c r="S159" s="38" t="str">
        <f aca="false">IF($A159="","",IF($R159="","",$R159-$J159))</f>
        <v/>
      </c>
      <c r="T159" s="37" t="str">
        <f aca="false">IF($A159="","",IF(COUNTIFS(PR!$C$4:$C$203,$A159)&gt;0,"Đã lập PR","Chưa lập PR"))</f>
        <v/>
      </c>
      <c r="U159" s="32"/>
    </row>
    <row r="160" customFormat="false" ht="15" hidden="false" customHeight="false" outlineLevel="0" collapsed="false">
      <c r="A160" s="32"/>
      <c r="B160" s="33"/>
      <c r="C160" s="32"/>
      <c r="D160" s="37" t="str">
        <f aca="false">IF($C160="","",IFERROR(INDEX('Dự án'!$B$4:$B$203,MATCH($C160,'Dự án'!$A$4:$A$203,0)),""))</f>
        <v/>
      </c>
      <c r="E160" s="32"/>
      <c r="F160" s="32"/>
      <c r="G160" s="32"/>
      <c r="H160" s="34"/>
      <c r="I160" s="34"/>
      <c r="J160" s="38" t="str">
        <f aca="false">IF($A160="","",$H160*$I160)</f>
        <v/>
      </c>
      <c r="K160" s="33"/>
      <c r="L160" s="33"/>
      <c r="M160" s="38" t="str">
        <f aca="false">IF($A160="","",IF($L160="","",$L160-$B160))</f>
        <v/>
      </c>
      <c r="N160" s="32"/>
      <c r="O160" s="37" t="str">
        <f aca="true">IF($A160="","",IF($K160="","",IF($L160="",IF(TODAY()&gt;$K160,"Quá hạn chưa trả","Đang xử lý"),IF($L160&lt;=$K160,"Đúng hạn","Trả trễ"))))</f>
        <v/>
      </c>
      <c r="P160" s="38" t="str">
        <f aca="false">IF($A160="","",COUNTIFS('Báo giá'!$C$4:$C$203,$A160))</f>
        <v/>
      </c>
      <c r="Q160" s="38" t="str">
        <f aca="false">IF($A160="","",IF(SUMIFS('Báo giá'!$K$4:$K$203,'Báo giá'!$C$4:$C$203,$A160,'Báo giá'!$T$4:$T$203,"x")=0,"",SUMIFS('Báo giá'!$K$4:$K$203,'Báo giá'!$C$4:$C$203,$A160,'Báo giá'!$T$4:$T$203,"x")))</f>
        <v/>
      </c>
      <c r="R160" s="38" t="str">
        <f aca="false">IF($A160="","",IF(SUMIFS('Báo giá'!$L$4:$L$203,'Báo giá'!$C$4:$C$203,$A160,'Báo giá'!$T$4:$T$203,"x")=0,"",SUMIFS('Báo giá'!$L$4:$L$203,'Báo giá'!$C$4:$C$203,$A160,'Báo giá'!$T$4:$T$203,"x")))</f>
        <v/>
      </c>
      <c r="S160" s="38" t="str">
        <f aca="false">IF($A160="","",IF($R160="","",$R160-$J160))</f>
        <v/>
      </c>
      <c r="T160" s="37" t="str">
        <f aca="false">IF($A160="","",IF(COUNTIFS(PR!$C$4:$C$203,$A160)&gt;0,"Đã lập PR","Chưa lập PR"))</f>
        <v/>
      </c>
      <c r="U160" s="32"/>
    </row>
    <row r="161" customFormat="false" ht="15" hidden="false" customHeight="false" outlineLevel="0" collapsed="false">
      <c r="A161" s="32"/>
      <c r="B161" s="33"/>
      <c r="C161" s="32"/>
      <c r="D161" s="37" t="str">
        <f aca="false">IF($C161="","",IFERROR(INDEX('Dự án'!$B$4:$B$203,MATCH($C161,'Dự án'!$A$4:$A$203,0)),""))</f>
        <v/>
      </c>
      <c r="E161" s="32"/>
      <c r="F161" s="32"/>
      <c r="G161" s="32"/>
      <c r="H161" s="34"/>
      <c r="I161" s="34"/>
      <c r="J161" s="38" t="str">
        <f aca="false">IF($A161="","",$H161*$I161)</f>
        <v/>
      </c>
      <c r="K161" s="33"/>
      <c r="L161" s="33"/>
      <c r="M161" s="38" t="str">
        <f aca="false">IF($A161="","",IF($L161="","",$L161-$B161))</f>
        <v/>
      </c>
      <c r="N161" s="32"/>
      <c r="O161" s="37" t="str">
        <f aca="true">IF($A161="","",IF($K161="","",IF($L161="",IF(TODAY()&gt;$K161,"Quá hạn chưa trả","Đang xử lý"),IF($L161&lt;=$K161,"Đúng hạn","Trả trễ"))))</f>
        <v/>
      </c>
      <c r="P161" s="38" t="str">
        <f aca="false">IF($A161="","",COUNTIFS('Báo giá'!$C$4:$C$203,$A161))</f>
        <v/>
      </c>
      <c r="Q161" s="38" t="str">
        <f aca="false">IF($A161="","",IF(SUMIFS('Báo giá'!$K$4:$K$203,'Báo giá'!$C$4:$C$203,$A161,'Báo giá'!$T$4:$T$203,"x")=0,"",SUMIFS('Báo giá'!$K$4:$K$203,'Báo giá'!$C$4:$C$203,$A161,'Báo giá'!$T$4:$T$203,"x")))</f>
        <v/>
      </c>
      <c r="R161" s="38" t="str">
        <f aca="false">IF($A161="","",IF(SUMIFS('Báo giá'!$L$4:$L$203,'Báo giá'!$C$4:$C$203,$A161,'Báo giá'!$T$4:$T$203,"x")=0,"",SUMIFS('Báo giá'!$L$4:$L$203,'Báo giá'!$C$4:$C$203,$A161,'Báo giá'!$T$4:$T$203,"x")))</f>
        <v/>
      </c>
      <c r="S161" s="38" t="str">
        <f aca="false">IF($A161="","",IF($R161="","",$R161-$J161))</f>
        <v/>
      </c>
      <c r="T161" s="37" t="str">
        <f aca="false">IF($A161="","",IF(COUNTIFS(PR!$C$4:$C$203,$A161)&gt;0,"Đã lập PR","Chưa lập PR"))</f>
        <v/>
      </c>
      <c r="U161" s="32"/>
    </row>
    <row r="162" customFormat="false" ht="15" hidden="false" customHeight="false" outlineLevel="0" collapsed="false">
      <c r="A162" s="32"/>
      <c r="B162" s="33"/>
      <c r="C162" s="32"/>
      <c r="D162" s="37" t="str">
        <f aca="false">IF($C162="","",IFERROR(INDEX('Dự án'!$B$4:$B$203,MATCH($C162,'Dự án'!$A$4:$A$203,0)),""))</f>
        <v/>
      </c>
      <c r="E162" s="32"/>
      <c r="F162" s="32"/>
      <c r="G162" s="32"/>
      <c r="H162" s="34"/>
      <c r="I162" s="34"/>
      <c r="J162" s="38" t="str">
        <f aca="false">IF($A162="","",$H162*$I162)</f>
        <v/>
      </c>
      <c r="K162" s="33"/>
      <c r="L162" s="33"/>
      <c r="M162" s="38" t="str">
        <f aca="false">IF($A162="","",IF($L162="","",$L162-$B162))</f>
        <v/>
      </c>
      <c r="N162" s="32"/>
      <c r="O162" s="37" t="str">
        <f aca="true">IF($A162="","",IF($K162="","",IF($L162="",IF(TODAY()&gt;$K162,"Quá hạn chưa trả","Đang xử lý"),IF($L162&lt;=$K162,"Đúng hạn","Trả trễ"))))</f>
        <v/>
      </c>
      <c r="P162" s="38" t="str">
        <f aca="false">IF($A162="","",COUNTIFS('Báo giá'!$C$4:$C$203,$A162))</f>
        <v/>
      </c>
      <c r="Q162" s="38" t="str">
        <f aca="false">IF($A162="","",IF(SUMIFS('Báo giá'!$K$4:$K$203,'Báo giá'!$C$4:$C$203,$A162,'Báo giá'!$T$4:$T$203,"x")=0,"",SUMIFS('Báo giá'!$K$4:$K$203,'Báo giá'!$C$4:$C$203,$A162,'Báo giá'!$T$4:$T$203,"x")))</f>
        <v/>
      </c>
      <c r="R162" s="38" t="str">
        <f aca="false">IF($A162="","",IF(SUMIFS('Báo giá'!$L$4:$L$203,'Báo giá'!$C$4:$C$203,$A162,'Báo giá'!$T$4:$T$203,"x")=0,"",SUMIFS('Báo giá'!$L$4:$L$203,'Báo giá'!$C$4:$C$203,$A162,'Báo giá'!$T$4:$T$203,"x")))</f>
        <v/>
      </c>
      <c r="S162" s="38" t="str">
        <f aca="false">IF($A162="","",IF($R162="","",$R162-$J162))</f>
        <v/>
      </c>
      <c r="T162" s="37" t="str">
        <f aca="false">IF($A162="","",IF(COUNTIFS(PR!$C$4:$C$203,$A162)&gt;0,"Đã lập PR","Chưa lập PR"))</f>
        <v/>
      </c>
      <c r="U162" s="32"/>
    </row>
    <row r="163" customFormat="false" ht="15" hidden="false" customHeight="false" outlineLevel="0" collapsed="false">
      <c r="A163" s="32"/>
      <c r="B163" s="33"/>
      <c r="C163" s="32"/>
      <c r="D163" s="37" t="str">
        <f aca="false">IF($C163="","",IFERROR(INDEX('Dự án'!$B$4:$B$203,MATCH($C163,'Dự án'!$A$4:$A$203,0)),""))</f>
        <v/>
      </c>
      <c r="E163" s="32"/>
      <c r="F163" s="32"/>
      <c r="G163" s="32"/>
      <c r="H163" s="34"/>
      <c r="I163" s="34"/>
      <c r="J163" s="38" t="str">
        <f aca="false">IF($A163="","",$H163*$I163)</f>
        <v/>
      </c>
      <c r="K163" s="33"/>
      <c r="L163" s="33"/>
      <c r="M163" s="38" t="str">
        <f aca="false">IF($A163="","",IF($L163="","",$L163-$B163))</f>
        <v/>
      </c>
      <c r="N163" s="32"/>
      <c r="O163" s="37" t="str">
        <f aca="true">IF($A163="","",IF($K163="","",IF($L163="",IF(TODAY()&gt;$K163,"Quá hạn chưa trả","Đang xử lý"),IF($L163&lt;=$K163,"Đúng hạn","Trả trễ"))))</f>
        <v/>
      </c>
      <c r="P163" s="38" t="str">
        <f aca="false">IF($A163="","",COUNTIFS('Báo giá'!$C$4:$C$203,$A163))</f>
        <v/>
      </c>
      <c r="Q163" s="38" t="str">
        <f aca="false">IF($A163="","",IF(SUMIFS('Báo giá'!$K$4:$K$203,'Báo giá'!$C$4:$C$203,$A163,'Báo giá'!$T$4:$T$203,"x")=0,"",SUMIFS('Báo giá'!$K$4:$K$203,'Báo giá'!$C$4:$C$203,$A163,'Báo giá'!$T$4:$T$203,"x")))</f>
        <v/>
      </c>
      <c r="R163" s="38" t="str">
        <f aca="false">IF($A163="","",IF(SUMIFS('Báo giá'!$L$4:$L$203,'Báo giá'!$C$4:$C$203,$A163,'Báo giá'!$T$4:$T$203,"x")=0,"",SUMIFS('Báo giá'!$L$4:$L$203,'Báo giá'!$C$4:$C$203,$A163,'Báo giá'!$T$4:$T$203,"x")))</f>
        <v/>
      </c>
      <c r="S163" s="38" t="str">
        <f aca="false">IF($A163="","",IF($R163="","",$R163-$J163))</f>
        <v/>
      </c>
      <c r="T163" s="37" t="str">
        <f aca="false">IF($A163="","",IF(COUNTIFS(PR!$C$4:$C$203,$A163)&gt;0,"Đã lập PR","Chưa lập PR"))</f>
        <v/>
      </c>
      <c r="U163" s="32"/>
    </row>
    <row r="164" customFormat="false" ht="15" hidden="false" customHeight="false" outlineLevel="0" collapsed="false">
      <c r="A164" s="32"/>
      <c r="B164" s="33"/>
      <c r="C164" s="32"/>
      <c r="D164" s="37" t="str">
        <f aca="false">IF($C164="","",IFERROR(INDEX('Dự án'!$B$4:$B$203,MATCH($C164,'Dự án'!$A$4:$A$203,0)),""))</f>
        <v/>
      </c>
      <c r="E164" s="32"/>
      <c r="F164" s="32"/>
      <c r="G164" s="32"/>
      <c r="H164" s="34"/>
      <c r="I164" s="34"/>
      <c r="J164" s="38" t="str">
        <f aca="false">IF($A164="","",$H164*$I164)</f>
        <v/>
      </c>
      <c r="K164" s="33"/>
      <c r="L164" s="33"/>
      <c r="M164" s="38" t="str">
        <f aca="false">IF($A164="","",IF($L164="","",$L164-$B164))</f>
        <v/>
      </c>
      <c r="N164" s="32"/>
      <c r="O164" s="37" t="str">
        <f aca="true">IF($A164="","",IF($K164="","",IF($L164="",IF(TODAY()&gt;$K164,"Quá hạn chưa trả","Đang xử lý"),IF($L164&lt;=$K164,"Đúng hạn","Trả trễ"))))</f>
        <v/>
      </c>
      <c r="P164" s="38" t="str">
        <f aca="false">IF($A164="","",COUNTIFS('Báo giá'!$C$4:$C$203,$A164))</f>
        <v/>
      </c>
      <c r="Q164" s="38" t="str">
        <f aca="false">IF($A164="","",IF(SUMIFS('Báo giá'!$K$4:$K$203,'Báo giá'!$C$4:$C$203,$A164,'Báo giá'!$T$4:$T$203,"x")=0,"",SUMIFS('Báo giá'!$K$4:$K$203,'Báo giá'!$C$4:$C$203,$A164,'Báo giá'!$T$4:$T$203,"x")))</f>
        <v/>
      </c>
      <c r="R164" s="38" t="str">
        <f aca="false">IF($A164="","",IF(SUMIFS('Báo giá'!$L$4:$L$203,'Báo giá'!$C$4:$C$203,$A164,'Báo giá'!$T$4:$T$203,"x")=0,"",SUMIFS('Báo giá'!$L$4:$L$203,'Báo giá'!$C$4:$C$203,$A164,'Báo giá'!$T$4:$T$203,"x")))</f>
        <v/>
      </c>
      <c r="S164" s="38" t="str">
        <f aca="false">IF($A164="","",IF($R164="","",$R164-$J164))</f>
        <v/>
      </c>
      <c r="T164" s="37" t="str">
        <f aca="false">IF($A164="","",IF(COUNTIFS(PR!$C$4:$C$203,$A164)&gt;0,"Đã lập PR","Chưa lập PR"))</f>
        <v/>
      </c>
      <c r="U164" s="32"/>
    </row>
    <row r="165" customFormat="false" ht="15" hidden="false" customHeight="false" outlineLevel="0" collapsed="false">
      <c r="A165" s="32"/>
      <c r="B165" s="33"/>
      <c r="C165" s="32"/>
      <c r="D165" s="37" t="str">
        <f aca="false">IF($C165="","",IFERROR(INDEX('Dự án'!$B$4:$B$203,MATCH($C165,'Dự án'!$A$4:$A$203,0)),""))</f>
        <v/>
      </c>
      <c r="E165" s="32"/>
      <c r="F165" s="32"/>
      <c r="G165" s="32"/>
      <c r="H165" s="34"/>
      <c r="I165" s="34"/>
      <c r="J165" s="38" t="str">
        <f aca="false">IF($A165="","",$H165*$I165)</f>
        <v/>
      </c>
      <c r="K165" s="33"/>
      <c r="L165" s="33"/>
      <c r="M165" s="38" t="str">
        <f aca="false">IF($A165="","",IF($L165="","",$L165-$B165))</f>
        <v/>
      </c>
      <c r="N165" s="32"/>
      <c r="O165" s="37" t="str">
        <f aca="true">IF($A165="","",IF($K165="","",IF($L165="",IF(TODAY()&gt;$K165,"Quá hạn chưa trả","Đang xử lý"),IF($L165&lt;=$K165,"Đúng hạn","Trả trễ"))))</f>
        <v/>
      </c>
      <c r="P165" s="38" t="str">
        <f aca="false">IF($A165="","",COUNTIFS('Báo giá'!$C$4:$C$203,$A165))</f>
        <v/>
      </c>
      <c r="Q165" s="38" t="str">
        <f aca="false">IF($A165="","",IF(SUMIFS('Báo giá'!$K$4:$K$203,'Báo giá'!$C$4:$C$203,$A165,'Báo giá'!$T$4:$T$203,"x")=0,"",SUMIFS('Báo giá'!$K$4:$K$203,'Báo giá'!$C$4:$C$203,$A165,'Báo giá'!$T$4:$T$203,"x")))</f>
        <v/>
      </c>
      <c r="R165" s="38" t="str">
        <f aca="false">IF($A165="","",IF(SUMIFS('Báo giá'!$L$4:$L$203,'Báo giá'!$C$4:$C$203,$A165,'Báo giá'!$T$4:$T$203,"x")=0,"",SUMIFS('Báo giá'!$L$4:$L$203,'Báo giá'!$C$4:$C$203,$A165,'Báo giá'!$T$4:$T$203,"x")))</f>
        <v/>
      </c>
      <c r="S165" s="38" t="str">
        <f aca="false">IF($A165="","",IF($R165="","",$R165-$J165))</f>
        <v/>
      </c>
      <c r="T165" s="37" t="str">
        <f aca="false">IF($A165="","",IF(COUNTIFS(PR!$C$4:$C$203,$A165)&gt;0,"Đã lập PR","Chưa lập PR"))</f>
        <v/>
      </c>
      <c r="U165" s="32"/>
    </row>
    <row r="166" customFormat="false" ht="15" hidden="false" customHeight="false" outlineLevel="0" collapsed="false">
      <c r="A166" s="32"/>
      <c r="B166" s="33"/>
      <c r="C166" s="32"/>
      <c r="D166" s="37" t="str">
        <f aca="false">IF($C166="","",IFERROR(INDEX('Dự án'!$B$4:$B$203,MATCH($C166,'Dự án'!$A$4:$A$203,0)),""))</f>
        <v/>
      </c>
      <c r="E166" s="32"/>
      <c r="F166" s="32"/>
      <c r="G166" s="32"/>
      <c r="H166" s="34"/>
      <c r="I166" s="34"/>
      <c r="J166" s="38" t="str">
        <f aca="false">IF($A166="","",$H166*$I166)</f>
        <v/>
      </c>
      <c r="K166" s="33"/>
      <c r="L166" s="33"/>
      <c r="M166" s="38" t="str">
        <f aca="false">IF($A166="","",IF($L166="","",$L166-$B166))</f>
        <v/>
      </c>
      <c r="N166" s="32"/>
      <c r="O166" s="37" t="str">
        <f aca="true">IF($A166="","",IF($K166="","",IF($L166="",IF(TODAY()&gt;$K166,"Quá hạn chưa trả","Đang xử lý"),IF($L166&lt;=$K166,"Đúng hạn","Trả trễ"))))</f>
        <v/>
      </c>
      <c r="P166" s="38" t="str">
        <f aca="false">IF($A166="","",COUNTIFS('Báo giá'!$C$4:$C$203,$A166))</f>
        <v/>
      </c>
      <c r="Q166" s="38" t="str">
        <f aca="false">IF($A166="","",IF(SUMIFS('Báo giá'!$K$4:$K$203,'Báo giá'!$C$4:$C$203,$A166,'Báo giá'!$T$4:$T$203,"x")=0,"",SUMIFS('Báo giá'!$K$4:$K$203,'Báo giá'!$C$4:$C$203,$A166,'Báo giá'!$T$4:$T$203,"x")))</f>
        <v/>
      </c>
      <c r="R166" s="38" t="str">
        <f aca="false">IF($A166="","",IF(SUMIFS('Báo giá'!$L$4:$L$203,'Báo giá'!$C$4:$C$203,$A166,'Báo giá'!$T$4:$T$203,"x")=0,"",SUMIFS('Báo giá'!$L$4:$L$203,'Báo giá'!$C$4:$C$203,$A166,'Báo giá'!$T$4:$T$203,"x")))</f>
        <v/>
      </c>
      <c r="S166" s="38" t="str">
        <f aca="false">IF($A166="","",IF($R166="","",$R166-$J166))</f>
        <v/>
      </c>
      <c r="T166" s="37" t="str">
        <f aca="false">IF($A166="","",IF(COUNTIFS(PR!$C$4:$C$203,$A166)&gt;0,"Đã lập PR","Chưa lập PR"))</f>
        <v/>
      </c>
      <c r="U166" s="32"/>
    </row>
    <row r="167" customFormat="false" ht="15" hidden="false" customHeight="false" outlineLevel="0" collapsed="false">
      <c r="A167" s="32"/>
      <c r="B167" s="33"/>
      <c r="C167" s="32"/>
      <c r="D167" s="37" t="str">
        <f aca="false">IF($C167="","",IFERROR(INDEX('Dự án'!$B$4:$B$203,MATCH($C167,'Dự án'!$A$4:$A$203,0)),""))</f>
        <v/>
      </c>
      <c r="E167" s="32"/>
      <c r="F167" s="32"/>
      <c r="G167" s="32"/>
      <c r="H167" s="34"/>
      <c r="I167" s="34"/>
      <c r="J167" s="38" t="str">
        <f aca="false">IF($A167="","",$H167*$I167)</f>
        <v/>
      </c>
      <c r="K167" s="33"/>
      <c r="L167" s="33"/>
      <c r="M167" s="38" t="str">
        <f aca="false">IF($A167="","",IF($L167="","",$L167-$B167))</f>
        <v/>
      </c>
      <c r="N167" s="32"/>
      <c r="O167" s="37" t="str">
        <f aca="true">IF($A167="","",IF($K167="","",IF($L167="",IF(TODAY()&gt;$K167,"Quá hạn chưa trả","Đang xử lý"),IF($L167&lt;=$K167,"Đúng hạn","Trả trễ"))))</f>
        <v/>
      </c>
      <c r="P167" s="38" t="str">
        <f aca="false">IF($A167="","",COUNTIFS('Báo giá'!$C$4:$C$203,$A167))</f>
        <v/>
      </c>
      <c r="Q167" s="38" t="str">
        <f aca="false">IF($A167="","",IF(SUMIFS('Báo giá'!$K$4:$K$203,'Báo giá'!$C$4:$C$203,$A167,'Báo giá'!$T$4:$T$203,"x")=0,"",SUMIFS('Báo giá'!$K$4:$K$203,'Báo giá'!$C$4:$C$203,$A167,'Báo giá'!$T$4:$T$203,"x")))</f>
        <v/>
      </c>
      <c r="R167" s="38" t="str">
        <f aca="false">IF($A167="","",IF(SUMIFS('Báo giá'!$L$4:$L$203,'Báo giá'!$C$4:$C$203,$A167,'Báo giá'!$T$4:$T$203,"x")=0,"",SUMIFS('Báo giá'!$L$4:$L$203,'Báo giá'!$C$4:$C$203,$A167,'Báo giá'!$T$4:$T$203,"x")))</f>
        <v/>
      </c>
      <c r="S167" s="38" t="str">
        <f aca="false">IF($A167="","",IF($R167="","",$R167-$J167))</f>
        <v/>
      </c>
      <c r="T167" s="37" t="str">
        <f aca="false">IF($A167="","",IF(COUNTIFS(PR!$C$4:$C$203,$A167)&gt;0,"Đã lập PR","Chưa lập PR"))</f>
        <v/>
      </c>
      <c r="U167" s="32"/>
    </row>
    <row r="168" customFormat="false" ht="15" hidden="false" customHeight="false" outlineLevel="0" collapsed="false">
      <c r="A168" s="32"/>
      <c r="B168" s="33"/>
      <c r="C168" s="32"/>
      <c r="D168" s="37" t="str">
        <f aca="false">IF($C168="","",IFERROR(INDEX('Dự án'!$B$4:$B$203,MATCH($C168,'Dự án'!$A$4:$A$203,0)),""))</f>
        <v/>
      </c>
      <c r="E168" s="32"/>
      <c r="F168" s="32"/>
      <c r="G168" s="32"/>
      <c r="H168" s="34"/>
      <c r="I168" s="34"/>
      <c r="J168" s="38" t="str">
        <f aca="false">IF($A168="","",$H168*$I168)</f>
        <v/>
      </c>
      <c r="K168" s="33"/>
      <c r="L168" s="33"/>
      <c r="M168" s="38" t="str">
        <f aca="false">IF($A168="","",IF($L168="","",$L168-$B168))</f>
        <v/>
      </c>
      <c r="N168" s="32"/>
      <c r="O168" s="37" t="str">
        <f aca="true">IF($A168="","",IF($K168="","",IF($L168="",IF(TODAY()&gt;$K168,"Quá hạn chưa trả","Đang xử lý"),IF($L168&lt;=$K168,"Đúng hạn","Trả trễ"))))</f>
        <v/>
      </c>
      <c r="P168" s="38" t="str">
        <f aca="false">IF($A168="","",COUNTIFS('Báo giá'!$C$4:$C$203,$A168))</f>
        <v/>
      </c>
      <c r="Q168" s="38" t="str">
        <f aca="false">IF($A168="","",IF(SUMIFS('Báo giá'!$K$4:$K$203,'Báo giá'!$C$4:$C$203,$A168,'Báo giá'!$T$4:$T$203,"x")=0,"",SUMIFS('Báo giá'!$K$4:$K$203,'Báo giá'!$C$4:$C$203,$A168,'Báo giá'!$T$4:$T$203,"x")))</f>
        <v/>
      </c>
      <c r="R168" s="38" t="str">
        <f aca="false">IF($A168="","",IF(SUMIFS('Báo giá'!$L$4:$L$203,'Báo giá'!$C$4:$C$203,$A168,'Báo giá'!$T$4:$T$203,"x")=0,"",SUMIFS('Báo giá'!$L$4:$L$203,'Báo giá'!$C$4:$C$203,$A168,'Báo giá'!$T$4:$T$203,"x")))</f>
        <v/>
      </c>
      <c r="S168" s="38" t="str">
        <f aca="false">IF($A168="","",IF($R168="","",$R168-$J168))</f>
        <v/>
      </c>
      <c r="T168" s="37" t="str">
        <f aca="false">IF($A168="","",IF(COUNTIFS(PR!$C$4:$C$203,$A168)&gt;0,"Đã lập PR","Chưa lập PR"))</f>
        <v/>
      </c>
      <c r="U168" s="32"/>
    </row>
    <row r="169" customFormat="false" ht="15" hidden="false" customHeight="false" outlineLevel="0" collapsed="false">
      <c r="A169" s="32"/>
      <c r="B169" s="33"/>
      <c r="C169" s="32"/>
      <c r="D169" s="37" t="str">
        <f aca="false">IF($C169="","",IFERROR(INDEX('Dự án'!$B$4:$B$203,MATCH($C169,'Dự án'!$A$4:$A$203,0)),""))</f>
        <v/>
      </c>
      <c r="E169" s="32"/>
      <c r="F169" s="32"/>
      <c r="G169" s="32"/>
      <c r="H169" s="34"/>
      <c r="I169" s="34"/>
      <c r="J169" s="38" t="str">
        <f aca="false">IF($A169="","",$H169*$I169)</f>
        <v/>
      </c>
      <c r="K169" s="33"/>
      <c r="L169" s="33"/>
      <c r="M169" s="38" t="str">
        <f aca="false">IF($A169="","",IF($L169="","",$L169-$B169))</f>
        <v/>
      </c>
      <c r="N169" s="32"/>
      <c r="O169" s="37" t="str">
        <f aca="true">IF($A169="","",IF($K169="","",IF($L169="",IF(TODAY()&gt;$K169,"Quá hạn chưa trả","Đang xử lý"),IF($L169&lt;=$K169,"Đúng hạn","Trả trễ"))))</f>
        <v/>
      </c>
      <c r="P169" s="38" t="str">
        <f aca="false">IF($A169="","",COUNTIFS('Báo giá'!$C$4:$C$203,$A169))</f>
        <v/>
      </c>
      <c r="Q169" s="38" t="str">
        <f aca="false">IF($A169="","",IF(SUMIFS('Báo giá'!$K$4:$K$203,'Báo giá'!$C$4:$C$203,$A169,'Báo giá'!$T$4:$T$203,"x")=0,"",SUMIFS('Báo giá'!$K$4:$K$203,'Báo giá'!$C$4:$C$203,$A169,'Báo giá'!$T$4:$T$203,"x")))</f>
        <v/>
      </c>
      <c r="R169" s="38" t="str">
        <f aca="false">IF($A169="","",IF(SUMIFS('Báo giá'!$L$4:$L$203,'Báo giá'!$C$4:$C$203,$A169,'Báo giá'!$T$4:$T$203,"x")=0,"",SUMIFS('Báo giá'!$L$4:$L$203,'Báo giá'!$C$4:$C$203,$A169,'Báo giá'!$T$4:$T$203,"x")))</f>
        <v/>
      </c>
      <c r="S169" s="38" t="str">
        <f aca="false">IF($A169="","",IF($R169="","",$R169-$J169))</f>
        <v/>
      </c>
      <c r="T169" s="37" t="str">
        <f aca="false">IF($A169="","",IF(COUNTIFS(PR!$C$4:$C$203,$A169)&gt;0,"Đã lập PR","Chưa lập PR"))</f>
        <v/>
      </c>
      <c r="U169" s="32"/>
    </row>
    <row r="170" customFormat="false" ht="15" hidden="false" customHeight="false" outlineLevel="0" collapsed="false">
      <c r="A170" s="32"/>
      <c r="B170" s="33"/>
      <c r="C170" s="32"/>
      <c r="D170" s="37" t="str">
        <f aca="false">IF($C170="","",IFERROR(INDEX('Dự án'!$B$4:$B$203,MATCH($C170,'Dự án'!$A$4:$A$203,0)),""))</f>
        <v/>
      </c>
      <c r="E170" s="32"/>
      <c r="F170" s="32"/>
      <c r="G170" s="32"/>
      <c r="H170" s="34"/>
      <c r="I170" s="34"/>
      <c r="J170" s="38" t="str">
        <f aca="false">IF($A170="","",$H170*$I170)</f>
        <v/>
      </c>
      <c r="K170" s="33"/>
      <c r="L170" s="33"/>
      <c r="M170" s="38" t="str">
        <f aca="false">IF($A170="","",IF($L170="","",$L170-$B170))</f>
        <v/>
      </c>
      <c r="N170" s="32"/>
      <c r="O170" s="37" t="str">
        <f aca="true">IF($A170="","",IF($K170="","",IF($L170="",IF(TODAY()&gt;$K170,"Quá hạn chưa trả","Đang xử lý"),IF($L170&lt;=$K170,"Đúng hạn","Trả trễ"))))</f>
        <v/>
      </c>
      <c r="P170" s="38" t="str">
        <f aca="false">IF($A170="","",COUNTIFS('Báo giá'!$C$4:$C$203,$A170))</f>
        <v/>
      </c>
      <c r="Q170" s="38" t="str">
        <f aca="false">IF($A170="","",IF(SUMIFS('Báo giá'!$K$4:$K$203,'Báo giá'!$C$4:$C$203,$A170,'Báo giá'!$T$4:$T$203,"x")=0,"",SUMIFS('Báo giá'!$K$4:$K$203,'Báo giá'!$C$4:$C$203,$A170,'Báo giá'!$T$4:$T$203,"x")))</f>
        <v/>
      </c>
      <c r="R170" s="38" t="str">
        <f aca="false">IF($A170="","",IF(SUMIFS('Báo giá'!$L$4:$L$203,'Báo giá'!$C$4:$C$203,$A170,'Báo giá'!$T$4:$T$203,"x")=0,"",SUMIFS('Báo giá'!$L$4:$L$203,'Báo giá'!$C$4:$C$203,$A170,'Báo giá'!$T$4:$T$203,"x")))</f>
        <v/>
      </c>
      <c r="S170" s="38" t="str">
        <f aca="false">IF($A170="","",IF($R170="","",$R170-$J170))</f>
        <v/>
      </c>
      <c r="T170" s="37" t="str">
        <f aca="false">IF($A170="","",IF(COUNTIFS(PR!$C$4:$C$203,$A170)&gt;0,"Đã lập PR","Chưa lập PR"))</f>
        <v/>
      </c>
      <c r="U170" s="32"/>
    </row>
    <row r="171" customFormat="false" ht="15" hidden="false" customHeight="false" outlineLevel="0" collapsed="false">
      <c r="A171" s="32"/>
      <c r="B171" s="33"/>
      <c r="C171" s="32"/>
      <c r="D171" s="37" t="str">
        <f aca="false">IF($C171="","",IFERROR(INDEX('Dự án'!$B$4:$B$203,MATCH($C171,'Dự án'!$A$4:$A$203,0)),""))</f>
        <v/>
      </c>
      <c r="E171" s="32"/>
      <c r="F171" s="32"/>
      <c r="G171" s="32"/>
      <c r="H171" s="34"/>
      <c r="I171" s="34"/>
      <c r="J171" s="38" t="str">
        <f aca="false">IF($A171="","",$H171*$I171)</f>
        <v/>
      </c>
      <c r="K171" s="33"/>
      <c r="L171" s="33"/>
      <c r="M171" s="38" t="str">
        <f aca="false">IF($A171="","",IF($L171="","",$L171-$B171))</f>
        <v/>
      </c>
      <c r="N171" s="32"/>
      <c r="O171" s="37" t="str">
        <f aca="true">IF($A171="","",IF($K171="","",IF($L171="",IF(TODAY()&gt;$K171,"Quá hạn chưa trả","Đang xử lý"),IF($L171&lt;=$K171,"Đúng hạn","Trả trễ"))))</f>
        <v/>
      </c>
      <c r="P171" s="38" t="str">
        <f aca="false">IF($A171="","",COUNTIFS('Báo giá'!$C$4:$C$203,$A171))</f>
        <v/>
      </c>
      <c r="Q171" s="38" t="str">
        <f aca="false">IF($A171="","",IF(SUMIFS('Báo giá'!$K$4:$K$203,'Báo giá'!$C$4:$C$203,$A171,'Báo giá'!$T$4:$T$203,"x")=0,"",SUMIFS('Báo giá'!$K$4:$K$203,'Báo giá'!$C$4:$C$203,$A171,'Báo giá'!$T$4:$T$203,"x")))</f>
        <v/>
      </c>
      <c r="R171" s="38" t="str">
        <f aca="false">IF($A171="","",IF(SUMIFS('Báo giá'!$L$4:$L$203,'Báo giá'!$C$4:$C$203,$A171,'Báo giá'!$T$4:$T$203,"x")=0,"",SUMIFS('Báo giá'!$L$4:$L$203,'Báo giá'!$C$4:$C$203,$A171,'Báo giá'!$T$4:$T$203,"x")))</f>
        <v/>
      </c>
      <c r="S171" s="38" t="str">
        <f aca="false">IF($A171="","",IF($R171="","",$R171-$J171))</f>
        <v/>
      </c>
      <c r="T171" s="37" t="str">
        <f aca="false">IF($A171="","",IF(COUNTIFS(PR!$C$4:$C$203,$A171)&gt;0,"Đã lập PR","Chưa lập PR"))</f>
        <v/>
      </c>
      <c r="U171" s="32"/>
    </row>
    <row r="172" customFormat="false" ht="15" hidden="false" customHeight="false" outlineLevel="0" collapsed="false">
      <c r="A172" s="32"/>
      <c r="B172" s="33"/>
      <c r="C172" s="32"/>
      <c r="D172" s="37" t="str">
        <f aca="false">IF($C172="","",IFERROR(INDEX('Dự án'!$B$4:$B$203,MATCH($C172,'Dự án'!$A$4:$A$203,0)),""))</f>
        <v/>
      </c>
      <c r="E172" s="32"/>
      <c r="F172" s="32"/>
      <c r="G172" s="32"/>
      <c r="H172" s="34"/>
      <c r="I172" s="34"/>
      <c r="J172" s="38" t="str">
        <f aca="false">IF($A172="","",$H172*$I172)</f>
        <v/>
      </c>
      <c r="K172" s="33"/>
      <c r="L172" s="33"/>
      <c r="M172" s="38" t="str">
        <f aca="false">IF($A172="","",IF($L172="","",$L172-$B172))</f>
        <v/>
      </c>
      <c r="N172" s="32"/>
      <c r="O172" s="37" t="str">
        <f aca="true">IF($A172="","",IF($K172="","",IF($L172="",IF(TODAY()&gt;$K172,"Quá hạn chưa trả","Đang xử lý"),IF($L172&lt;=$K172,"Đúng hạn","Trả trễ"))))</f>
        <v/>
      </c>
      <c r="P172" s="38" t="str">
        <f aca="false">IF($A172="","",COUNTIFS('Báo giá'!$C$4:$C$203,$A172))</f>
        <v/>
      </c>
      <c r="Q172" s="38" t="str">
        <f aca="false">IF($A172="","",IF(SUMIFS('Báo giá'!$K$4:$K$203,'Báo giá'!$C$4:$C$203,$A172,'Báo giá'!$T$4:$T$203,"x")=0,"",SUMIFS('Báo giá'!$K$4:$K$203,'Báo giá'!$C$4:$C$203,$A172,'Báo giá'!$T$4:$T$203,"x")))</f>
        <v/>
      </c>
      <c r="R172" s="38" t="str">
        <f aca="false">IF($A172="","",IF(SUMIFS('Báo giá'!$L$4:$L$203,'Báo giá'!$C$4:$C$203,$A172,'Báo giá'!$T$4:$T$203,"x")=0,"",SUMIFS('Báo giá'!$L$4:$L$203,'Báo giá'!$C$4:$C$203,$A172,'Báo giá'!$T$4:$T$203,"x")))</f>
        <v/>
      </c>
      <c r="S172" s="38" t="str">
        <f aca="false">IF($A172="","",IF($R172="","",$R172-$J172))</f>
        <v/>
      </c>
      <c r="T172" s="37" t="str">
        <f aca="false">IF($A172="","",IF(COUNTIFS(PR!$C$4:$C$203,$A172)&gt;0,"Đã lập PR","Chưa lập PR"))</f>
        <v/>
      </c>
      <c r="U172" s="32"/>
    </row>
    <row r="173" customFormat="false" ht="15" hidden="false" customHeight="false" outlineLevel="0" collapsed="false">
      <c r="A173" s="32"/>
      <c r="B173" s="33"/>
      <c r="C173" s="32"/>
      <c r="D173" s="37" t="str">
        <f aca="false">IF($C173="","",IFERROR(INDEX('Dự án'!$B$4:$B$203,MATCH($C173,'Dự án'!$A$4:$A$203,0)),""))</f>
        <v/>
      </c>
      <c r="E173" s="32"/>
      <c r="F173" s="32"/>
      <c r="G173" s="32"/>
      <c r="H173" s="34"/>
      <c r="I173" s="34"/>
      <c r="J173" s="38" t="str">
        <f aca="false">IF($A173="","",$H173*$I173)</f>
        <v/>
      </c>
      <c r="K173" s="33"/>
      <c r="L173" s="33"/>
      <c r="M173" s="38" t="str">
        <f aca="false">IF($A173="","",IF($L173="","",$L173-$B173))</f>
        <v/>
      </c>
      <c r="N173" s="32"/>
      <c r="O173" s="37" t="str">
        <f aca="true">IF($A173="","",IF($K173="","",IF($L173="",IF(TODAY()&gt;$K173,"Quá hạn chưa trả","Đang xử lý"),IF($L173&lt;=$K173,"Đúng hạn","Trả trễ"))))</f>
        <v/>
      </c>
      <c r="P173" s="38" t="str">
        <f aca="false">IF($A173="","",COUNTIFS('Báo giá'!$C$4:$C$203,$A173))</f>
        <v/>
      </c>
      <c r="Q173" s="38" t="str">
        <f aca="false">IF($A173="","",IF(SUMIFS('Báo giá'!$K$4:$K$203,'Báo giá'!$C$4:$C$203,$A173,'Báo giá'!$T$4:$T$203,"x")=0,"",SUMIFS('Báo giá'!$K$4:$K$203,'Báo giá'!$C$4:$C$203,$A173,'Báo giá'!$T$4:$T$203,"x")))</f>
        <v/>
      </c>
      <c r="R173" s="38" t="str">
        <f aca="false">IF($A173="","",IF(SUMIFS('Báo giá'!$L$4:$L$203,'Báo giá'!$C$4:$C$203,$A173,'Báo giá'!$T$4:$T$203,"x")=0,"",SUMIFS('Báo giá'!$L$4:$L$203,'Báo giá'!$C$4:$C$203,$A173,'Báo giá'!$T$4:$T$203,"x")))</f>
        <v/>
      </c>
      <c r="S173" s="38" t="str">
        <f aca="false">IF($A173="","",IF($R173="","",$R173-$J173))</f>
        <v/>
      </c>
      <c r="T173" s="37" t="str">
        <f aca="false">IF($A173="","",IF(COUNTIFS(PR!$C$4:$C$203,$A173)&gt;0,"Đã lập PR","Chưa lập PR"))</f>
        <v/>
      </c>
      <c r="U173" s="32"/>
    </row>
    <row r="174" customFormat="false" ht="15" hidden="false" customHeight="false" outlineLevel="0" collapsed="false">
      <c r="A174" s="32"/>
      <c r="B174" s="33"/>
      <c r="C174" s="32"/>
      <c r="D174" s="37" t="str">
        <f aca="false">IF($C174="","",IFERROR(INDEX('Dự án'!$B$4:$B$203,MATCH($C174,'Dự án'!$A$4:$A$203,0)),""))</f>
        <v/>
      </c>
      <c r="E174" s="32"/>
      <c r="F174" s="32"/>
      <c r="G174" s="32"/>
      <c r="H174" s="34"/>
      <c r="I174" s="34"/>
      <c r="J174" s="38" t="str">
        <f aca="false">IF($A174="","",$H174*$I174)</f>
        <v/>
      </c>
      <c r="K174" s="33"/>
      <c r="L174" s="33"/>
      <c r="M174" s="38" t="str">
        <f aca="false">IF($A174="","",IF($L174="","",$L174-$B174))</f>
        <v/>
      </c>
      <c r="N174" s="32"/>
      <c r="O174" s="37" t="str">
        <f aca="true">IF($A174="","",IF($K174="","",IF($L174="",IF(TODAY()&gt;$K174,"Quá hạn chưa trả","Đang xử lý"),IF($L174&lt;=$K174,"Đúng hạn","Trả trễ"))))</f>
        <v/>
      </c>
      <c r="P174" s="38" t="str">
        <f aca="false">IF($A174="","",COUNTIFS('Báo giá'!$C$4:$C$203,$A174))</f>
        <v/>
      </c>
      <c r="Q174" s="38" t="str">
        <f aca="false">IF($A174="","",IF(SUMIFS('Báo giá'!$K$4:$K$203,'Báo giá'!$C$4:$C$203,$A174,'Báo giá'!$T$4:$T$203,"x")=0,"",SUMIFS('Báo giá'!$K$4:$K$203,'Báo giá'!$C$4:$C$203,$A174,'Báo giá'!$T$4:$T$203,"x")))</f>
        <v/>
      </c>
      <c r="R174" s="38" t="str">
        <f aca="false">IF($A174="","",IF(SUMIFS('Báo giá'!$L$4:$L$203,'Báo giá'!$C$4:$C$203,$A174,'Báo giá'!$T$4:$T$203,"x")=0,"",SUMIFS('Báo giá'!$L$4:$L$203,'Báo giá'!$C$4:$C$203,$A174,'Báo giá'!$T$4:$T$203,"x")))</f>
        <v/>
      </c>
      <c r="S174" s="38" t="str">
        <f aca="false">IF($A174="","",IF($R174="","",$R174-$J174))</f>
        <v/>
      </c>
      <c r="T174" s="37" t="str">
        <f aca="false">IF($A174="","",IF(COUNTIFS(PR!$C$4:$C$203,$A174)&gt;0,"Đã lập PR","Chưa lập PR"))</f>
        <v/>
      </c>
      <c r="U174" s="32"/>
    </row>
    <row r="175" customFormat="false" ht="15" hidden="false" customHeight="false" outlineLevel="0" collapsed="false">
      <c r="A175" s="32"/>
      <c r="B175" s="33"/>
      <c r="C175" s="32"/>
      <c r="D175" s="37" t="str">
        <f aca="false">IF($C175="","",IFERROR(INDEX('Dự án'!$B$4:$B$203,MATCH($C175,'Dự án'!$A$4:$A$203,0)),""))</f>
        <v/>
      </c>
      <c r="E175" s="32"/>
      <c r="F175" s="32"/>
      <c r="G175" s="32"/>
      <c r="H175" s="34"/>
      <c r="I175" s="34"/>
      <c r="J175" s="38" t="str">
        <f aca="false">IF($A175="","",$H175*$I175)</f>
        <v/>
      </c>
      <c r="K175" s="33"/>
      <c r="L175" s="33"/>
      <c r="M175" s="38" t="str">
        <f aca="false">IF($A175="","",IF($L175="","",$L175-$B175))</f>
        <v/>
      </c>
      <c r="N175" s="32"/>
      <c r="O175" s="37" t="str">
        <f aca="true">IF($A175="","",IF($K175="","",IF($L175="",IF(TODAY()&gt;$K175,"Quá hạn chưa trả","Đang xử lý"),IF($L175&lt;=$K175,"Đúng hạn","Trả trễ"))))</f>
        <v/>
      </c>
      <c r="P175" s="38" t="str">
        <f aca="false">IF($A175="","",COUNTIFS('Báo giá'!$C$4:$C$203,$A175))</f>
        <v/>
      </c>
      <c r="Q175" s="38" t="str">
        <f aca="false">IF($A175="","",IF(SUMIFS('Báo giá'!$K$4:$K$203,'Báo giá'!$C$4:$C$203,$A175,'Báo giá'!$T$4:$T$203,"x")=0,"",SUMIFS('Báo giá'!$K$4:$K$203,'Báo giá'!$C$4:$C$203,$A175,'Báo giá'!$T$4:$T$203,"x")))</f>
        <v/>
      </c>
      <c r="R175" s="38" t="str">
        <f aca="false">IF($A175="","",IF(SUMIFS('Báo giá'!$L$4:$L$203,'Báo giá'!$C$4:$C$203,$A175,'Báo giá'!$T$4:$T$203,"x")=0,"",SUMIFS('Báo giá'!$L$4:$L$203,'Báo giá'!$C$4:$C$203,$A175,'Báo giá'!$T$4:$T$203,"x")))</f>
        <v/>
      </c>
      <c r="S175" s="38" t="str">
        <f aca="false">IF($A175="","",IF($R175="","",$R175-$J175))</f>
        <v/>
      </c>
      <c r="T175" s="37" t="str">
        <f aca="false">IF($A175="","",IF(COUNTIFS(PR!$C$4:$C$203,$A175)&gt;0,"Đã lập PR","Chưa lập PR"))</f>
        <v/>
      </c>
      <c r="U175" s="32"/>
    </row>
    <row r="176" customFormat="false" ht="15" hidden="false" customHeight="false" outlineLevel="0" collapsed="false">
      <c r="A176" s="32"/>
      <c r="B176" s="33"/>
      <c r="C176" s="32"/>
      <c r="D176" s="37" t="str">
        <f aca="false">IF($C176="","",IFERROR(INDEX('Dự án'!$B$4:$B$203,MATCH($C176,'Dự án'!$A$4:$A$203,0)),""))</f>
        <v/>
      </c>
      <c r="E176" s="32"/>
      <c r="F176" s="32"/>
      <c r="G176" s="32"/>
      <c r="H176" s="34"/>
      <c r="I176" s="34"/>
      <c r="J176" s="38" t="str">
        <f aca="false">IF($A176="","",$H176*$I176)</f>
        <v/>
      </c>
      <c r="K176" s="33"/>
      <c r="L176" s="33"/>
      <c r="M176" s="38" t="str">
        <f aca="false">IF($A176="","",IF($L176="","",$L176-$B176))</f>
        <v/>
      </c>
      <c r="N176" s="32"/>
      <c r="O176" s="37" t="str">
        <f aca="true">IF($A176="","",IF($K176="","",IF($L176="",IF(TODAY()&gt;$K176,"Quá hạn chưa trả","Đang xử lý"),IF($L176&lt;=$K176,"Đúng hạn","Trả trễ"))))</f>
        <v/>
      </c>
      <c r="P176" s="38" t="str">
        <f aca="false">IF($A176="","",COUNTIFS('Báo giá'!$C$4:$C$203,$A176))</f>
        <v/>
      </c>
      <c r="Q176" s="38" t="str">
        <f aca="false">IF($A176="","",IF(SUMIFS('Báo giá'!$K$4:$K$203,'Báo giá'!$C$4:$C$203,$A176,'Báo giá'!$T$4:$T$203,"x")=0,"",SUMIFS('Báo giá'!$K$4:$K$203,'Báo giá'!$C$4:$C$203,$A176,'Báo giá'!$T$4:$T$203,"x")))</f>
        <v/>
      </c>
      <c r="R176" s="38" t="str">
        <f aca="false">IF($A176="","",IF(SUMIFS('Báo giá'!$L$4:$L$203,'Báo giá'!$C$4:$C$203,$A176,'Báo giá'!$T$4:$T$203,"x")=0,"",SUMIFS('Báo giá'!$L$4:$L$203,'Báo giá'!$C$4:$C$203,$A176,'Báo giá'!$T$4:$T$203,"x")))</f>
        <v/>
      </c>
      <c r="S176" s="38" t="str">
        <f aca="false">IF($A176="","",IF($R176="","",$R176-$J176))</f>
        <v/>
      </c>
      <c r="T176" s="37" t="str">
        <f aca="false">IF($A176="","",IF(COUNTIFS(PR!$C$4:$C$203,$A176)&gt;0,"Đã lập PR","Chưa lập PR"))</f>
        <v/>
      </c>
      <c r="U176" s="32"/>
    </row>
    <row r="177" customFormat="false" ht="15" hidden="false" customHeight="false" outlineLevel="0" collapsed="false">
      <c r="A177" s="32"/>
      <c r="B177" s="33"/>
      <c r="C177" s="32"/>
      <c r="D177" s="37" t="str">
        <f aca="false">IF($C177="","",IFERROR(INDEX('Dự án'!$B$4:$B$203,MATCH($C177,'Dự án'!$A$4:$A$203,0)),""))</f>
        <v/>
      </c>
      <c r="E177" s="32"/>
      <c r="F177" s="32"/>
      <c r="G177" s="32"/>
      <c r="H177" s="34"/>
      <c r="I177" s="34"/>
      <c r="J177" s="38" t="str">
        <f aca="false">IF($A177="","",$H177*$I177)</f>
        <v/>
      </c>
      <c r="K177" s="33"/>
      <c r="L177" s="33"/>
      <c r="M177" s="38" t="str">
        <f aca="false">IF($A177="","",IF($L177="","",$L177-$B177))</f>
        <v/>
      </c>
      <c r="N177" s="32"/>
      <c r="O177" s="37" t="str">
        <f aca="true">IF($A177="","",IF($K177="","",IF($L177="",IF(TODAY()&gt;$K177,"Quá hạn chưa trả","Đang xử lý"),IF($L177&lt;=$K177,"Đúng hạn","Trả trễ"))))</f>
        <v/>
      </c>
      <c r="P177" s="38" t="str">
        <f aca="false">IF($A177="","",COUNTIFS('Báo giá'!$C$4:$C$203,$A177))</f>
        <v/>
      </c>
      <c r="Q177" s="38" t="str">
        <f aca="false">IF($A177="","",IF(SUMIFS('Báo giá'!$K$4:$K$203,'Báo giá'!$C$4:$C$203,$A177,'Báo giá'!$T$4:$T$203,"x")=0,"",SUMIFS('Báo giá'!$K$4:$K$203,'Báo giá'!$C$4:$C$203,$A177,'Báo giá'!$T$4:$T$203,"x")))</f>
        <v/>
      </c>
      <c r="R177" s="38" t="str">
        <f aca="false">IF($A177="","",IF(SUMIFS('Báo giá'!$L$4:$L$203,'Báo giá'!$C$4:$C$203,$A177,'Báo giá'!$T$4:$T$203,"x")=0,"",SUMIFS('Báo giá'!$L$4:$L$203,'Báo giá'!$C$4:$C$203,$A177,'Báo giá'!$T$4:$T$203,"x")))</f>
        <v/>
      </c>
      <c r="S177" s="38" t="str">
        <f aca="false">IF($A177="","",IF($R177="","",$R177-$J177))</f>
        <v/>
      </c>
      <c r="T177" s="37" t="str">
        <f aca="false">IF($A177="","",IF(COUNTIFS(PR!$C$4:$C$203,$A177)&gt;0,"Đã lập PR","Chưa lập PR"))</f>
        <v/>
      </c>
      <c r="U177" s="32"/>
    </row>
    <row r="178" customFormat="false" ht="15" hidden="false" customHeight="false" outlineLevel="0" collapsed="false">
      <c r="A178" s="32"/>
      <c r="B178" s="33"/>
      <c r="C178" s="32"/>
      <c r="D178" s="37" t="str">
        <f aca="false">IF($C178="","",IFERROR(INDEX('Dự án'!$B$4:$B$203,MATCH($C178,'Dự án'!$A$4:$A$203,0)),""))</f>
        <v/>
      </c>
      <c r="E178" s="32"/>
      <c r="F178" s="32"/>
      <c r="G178" s="32"/>
      <c r="H178" s="34"/>
      <c r="I178" s="34"/>
      <c r="J178" s="38" t="str">
        <f aca="false">IF($A178="","",$H178*$I178)</f>
        <v/>
      </c>
      <c r="K178" s="33"/>
      <c r="L178" s="33"/>
      <c r="M178" s="38" t="str">
        <f aca="false">IF($A178="","",IF($L178="","",$L178-$B178))</f>
        <v/>
      </c>
      <c r="N178" s="32"/>
      <c r="O178" s="37" t="str">
        <f aca="true">IF($A178="","",IF($K178="","",IF($L178="",IF(TODAY()&gt;$K178,"Quá hạn chưa trả","Đang xử lý"),IF($L178&lt;=$K178,"Đúng hạn","Trả trễ"))))</f>
        <v/>
      </c>
      <c r="P178" s="38" t="str">
        <f aca="false">IF($A178="","",COUNTIFS('Báo giá'!$C$4:$C$203,$A178))</f>
        <v/>
      </c>
      <c r="Q178" s="38" t="str">
        <f aca="false">IF($A178="","",IF(SUMIFS('Báo giá'!$K$4:$K$203,'Báo giá'!$C$4:$C$203,$A178,'Báo giá'!$T$4:$T$203,"x")=0,"",SUMIFS('Báo giá'!$K$4:$K$203,'Báo giá'!$C$4:$C$203,$A178,'Báo giá'!$T$4:$T$203,"x")))</f>
        <v/>
      </c>
      <c r="R178" s="38" t="str">
        <f aca="false">IF($A178="","",IF(SUMIFS('Báo giá'!$L$4:$L$203,'Báo giá'!$C$4:$C$203,$A178,'Báo giá'!$T$4:$T$203,"x")=0,"",SUMIFS('Báo giá'!$L$4:$L$203,'Báo giá'!$C$4:$C$203,$A178,'Báo giá'!$T$4:$T$203,"x")))</f>
        <v/>
      </c>
      <c r="S178" s="38" t="str">
        <f aca="false">IF($A178="","",IF($R178="","",$R178-$J178))</f>
        <v/>
      </c>
      <c r="T178" s="37" t="str">
        <f aca="false">IF($A178="","",IF(COUNTIFS(PR!$C$4:$C$203,$A178)&gt;0,"Đã lập PR","Chưa lập PR"))</f>
        <v/>
      </c>
      <c r="U178" s="32"/>
    </row>
    <row r="179" customFormat="false" ht="15" hidden="false" customHeight="false" outlineLevel="0" collapsed="false">
      <c r="A179" s="32"/>
      <c r="B179" s="33"/>
      <c r="C179" s="32"/>
      <c r="D179" s="37" t="str">
        <f aca="false">IF($C179="","",IFERROR(INDEX('Dự án'!$B$4:$B$203,MATCH($C179,'Dự án'!$A$4:$A$203,0)),""))</f>
        <v/>
      </c>
      <c r="E179" s="32"/>
      <c r="F179" s="32"/>
      <c r="G179" s="32"/>
      <c r="H179" s="34"/>
      <c r="I179" s="34"/>
      <c r="J179" s="38" t="str">
        <f aca="false">IF($A179="","",$H179*$I179)</f>
        <v/>
      </c>
      <c r="K179" s="33"/>
      <c r="L179" s="33"/>
      <c r="M179" s="38" t="str">
        <f aca="false">IF($A179="","",IF($L179="","",$L179-$B179))</f>
        <v/>
      </c>
      <c r="N179" s="32"/>
      <c r="O179" s="37" t="str">
        <f aca="true">IF($A179="","",IF($K179="","",IF($L179="",IF(TODAY()&gt;$K179,"Quá hạn chưa trả","Đang xử lý"),IF($L179&lt;=$K179,"Đúng hạn","Trả trễ"))))</f>
        <v/>
      </c>
      <c r="P179" s="38" t="str">
        <f aca="false">IF($A179="","",COUNTIFS('Báo giá'!$C$4:$C$203,$A179))</f>
        <v/>
      </c>
      <c r="Q179" s="38" t="str">
        <f aca="false">IF($A179="","",IF(SUMIFS('Báo giá'!$K$4:$K$203,'Báo giá'!$C$4:$C$203,$A179,'Báo giá'!$T$4:$T$203,"x")=0,"",SUMIFS('Báo giá'!$K$4:$K$203,'Báo giá'!$C$4:$C$203,$A179,'Báo giá'!$T$4:$T$203,"x")))</f>
        <v/>
      </c>
      <c r="R179" s="38" t="str">
        <f aca="false">IF($A179="","",IF(SUMIFS('Báo giá'!$L$4:$L$203,'Báo giá'!$C$4:$C$203,$A179,'Báo giá'!$T$4:$T$203,"x")=0,"",SUMIFS('Báo giá'!$L$4:$L$203,'Báo giá'!$C$4:$C$203,$A179,'Báo giá'!$T$4:$T$203,"x")))</f>
        <v/>
      </c>
      <c r="S179" s="38" t="str">
        <f aca="false">IF($A179="","",IF($R179="","",$R179-$J179))</f>
        <v/>
      </c>
      <c r="T179" s="37" t="str">
        <f aca="false">IF($A179="","",IF(COUNTIFS(PR!$C$4:$C$203,$A179)&gt;0,"Đã lập PR","Chưa lập PR"))</f>
        <v/>
      </c>
      <c r="U179" s="32"/>
    </row>
    <row r="180" customFormat="false" ht="15" hidden="false" customHeight="false" outlineLevel="0" collapsed="false">
      <c r="A180" s="32"/>
      <c r="B180" s="33"/>
      <c r="C180" s="32"/>
      <c r="D180" s="37" t="str">
        <f aca="false">IF($C180="","",IFERROR(INDEX('Dự án'!$B$4:$B$203,MATCH($C180,'Dự án'!$A$4:$A$203,0)),""))</f>
        <v/>
      </c>
      <c r="E180" s="32"/>
      <c r="F180" s="32"/>
      <c r="G180" s="32"/>
      <c r="H180" s="34"/>
      <c r="I180" s="34"/>
      <c r="J180" s="38" t="str">
        <f aca="false">IF($A180="","",$H180*$I180)</f>
        <v/>
      </c>
      <c r="K180" s="33"/>
      <c r="L180" s="33"/>
      <c r="M180" s="38" t="str">
        <f aca="false">IF($A180="","",IF($L180="","",$L180-$B180))</f>
        <v/>
      </c>
      <c r="N180" s="32"/>
      <c r="O180" s="37" t="str">
        <f aca="true">IF($A180="","",IF($K180="","",IF($L180="",IF(TODAY()&gt;$K180,"Quá hạn chưa trả","Đang xử lý"),IF($L180&lt;=$K180,"Đúng hạn","Trả trễ"))))</f>
        <v/>
      </c>
      <c r="P180" s="38" t="str">
        <f aca="false">IF($A180="","",COUNTIFS('Báo giá'!$C$4:$C$203,$A180))</f>
        <v/>
      </c>
      <c r="Q180" s="38" t="str">
        <f aca="false">IF($A180="","",IF(SUMIFS('Báo giá'!$K$4:$K$203,'Báo giá'!$C$4:$C$203,$A180,'Báo giá'!$T$4:$T$203,"x")=0,"",SUMIFS('Báo giá'!$K$4:$K$203,'Báo giá'!$C$4:$C$203,$A180,'Báo giá'!$T$4:$T$203,"x")))</f>
        <v/>
      </c>
      <c r="R180" s="38" t="str">
        <f aca="false">IF($A180="","",IF(SUMIFS('Báo giá'!$L$4:$L$203,'Báo giá'!$C$4:$C$203,$A180,'Báo giá'!$T$4:$T$203,"x")=0,"",SUMIFS('Báo giá'!$L$4:$L$203,'Báo giá'!$C$4:$C$203,$A180,'Báo giá'!$T$4:$T$203,"x")))</f>
        <v/>
      </c>
      <c r="S180" s="38" t="str">
        <f aca="false">IF($A180="","",IF($R180="","",$R180-$J180))</f>
        <v/>
      </c>
      <c r="T180" s="37" t="str">
        <f aca="false">IF($A180="","",IF(COUNTIFS(PR!$C$4:$C$203,$A180)&gt;0,"Đã lập PR","Chưa lập PR"))</f>
        <v/>
      </c>
      <c r="U180" s="32"/>
    </row>
    <row r="181" customFormat="false" ht="15" hidden="false" customHeight="false" outlineLevel="0" collapsed="false">
      <c r="A181" s="32"/>
      <c r="B181" s="33"/>
      <c r="C181" s="32"/>
      <c r="D181" s="37" t="str">
        <f aca="false">IF($C181="","",IFERROR(INDEX('Dự án'!$B$4:$B$203,MATCH($C181,'Dự án'!$A$4:$A$203,0)),""))</f>
        <v/>
      </c>
      <c r="E181" s="32"/>
      <c r="F181" s="32"/>
      <c r="G181" s="32"/>
      <c r="H181" s="34"/>
      <c r="I181" s="34"/>
      <c r="J181" s="38" t="str">
        <f aca="false">IF($A181="","",$H181*$I181)</f>
        <v/>
      </c>
      <c r="K181" s="33"/>
      <c r="L181" s="33"/>
      <c r="M181" s="38" t="str">
        <f aca="false">IF($A181="","",IF($L181="","",$L181-$B181))</f>
        <v/>
      </c>
      <c r="N181" s="32"/>
      <c r="O181" s="37" t="str">
        <f aca="true">IF($A181="","",IF($K181="","",IF($L181="",IF(TODAY()&gt;$K181,"Quá hạn chưa trả","Đang xử lý"),IF($L181&lt;=$K181,"Đúng hạn","Trả trễ"))))</f>
        <v/>
      </c>
      <c r="P181" s="38" t="str">
        <f aca="false">IF($A181="","",COUNTIFS('Báo giá'!$C$4:$C$203,$A181))</f>
        <v/>
      </c>
      <c r="Q181" s="38" t="str">
        <f aca="false">IF($A181="","",IF(SUMIFS('Báo giá'!$K$4:$K$203,'Báo giá'!$C$4:$C$203,$A181,'Báo giá'!$T$4:$T$203,"x")=0,"",SUMIFS('Báo giá'!$K$4:$K$203,'Báo giá'!$C$4:$C$203,$A181,'Báo giá'!$T$4:$T$203,"x")))</f>
        <v/>
      </c>
      <c r="R181" s="38" t="str">
        <f aca="false">IF($A181="","",IF(SUMIFS('Báo giá'!$L$4:$L$203,'Báo giá'!$C$4:$C$203,$A181,'Báo giá'!$T$4:$T$203,"x")=0,"",SUMIFS('Báo giá'!$L$4:$L$203,'Báo giá'!$C$4:$C$203,$A181,'Báo giá'!$T$4:$T$203,"x")))</f>
        <v/>
      </c>
      <c r="S181" s="38" t="str">
        <f aca="false">IF($A181="","",IF($R181="","",$R181-$J181))</f>
        <v/>
      </c>
      <c r="T181" s="37" t="str">
        <f aca="false">IF($A181="","",IF(COUNTIFS(PR!$C$4:$C$203,$A181)&gt;0,"Đã lập PR","Chưa lập PR"))</f>
        <v/>
      </c>
      <c r="U181" s="32"/>
    </row>
    <row r="182" customFormat="false" ht="15" hidden="false" customHeight="false" outlineLevel="0" collapsed="false">
      <c r="A182" s="32"/>
      <c r="B182" s="33"/>
      <c r="C182" s="32"/>
      <c r="D182" s="37" t="str">
        <f aca="false">IF($C182="","",IFERROR(INDEX('Dự án'!$B$4:$B$203,MATCH($C182,'Dự án'!$A$4:$A$203,0)),""))</f>
        <v/>
      </c>
      <c r="E182" s="32"/>
      <c r="F182" s="32"/>
      <c r="G182" s="32"/>
      <c r="H182" s="34"/>
      <c r="I182" s="34"/>
      <c r="J182" s="38" t="str">
        <f aca="false">IF($A182="","",$H182*$I182)</f>
        <v/>
      </c>
      <c r="K182" s="33"/>
      <c r="L182" s="33"/>
      <c r="M182" s="38" t="str">
        <f aca="false">IF($A182="","",IF($L182="","",$L182-$B182))</f>
        <v/>
      </c>
      <c r="N182" s="32"/>
      <c r="O182" s="37" t="str">
        <f aca="true">IF($A182="","",IF($K182="","",IF($L182="",IF(TODAY()&gt;$K182,"Quá hạn chưa trả","Đang xử lý"),IF($L182&lt;=$K182,"Đúng hạn","Trả trễ"))))</f>
        <v/>
      </c>
      <c r="P182" s="38" t="str">
        <f aca="false">IF($A182="","",COUNTIFS('Báo giá'!$C$4:$C$203,$A182))</f>
        <v/>
      </c>
      <c r="Q182" s="38" t="str">
        <f aca="false">IF($A182="","",IF(SUMIFS('Báo giá'!$K$4:$K$203,'Báo giá'!$C$4:$C$203,$A182,'Báo giá'!$T$4:$T$203,"x")=0,"",SUMIFS('Báo giá'!$K$4:$K$203,'Báo giá'!$C$4:$C$203,$A182,'Báo giá'!$T$4:$T$203,"x")))</f>
        <v/>
      </c>
      <c r="R182" s="38" t="str">
        <f aca="false">IF($A182="","",IF(SUMIFS('Báo giá'!$L$4:$L$203,'Báo giá'!$C$4:$C$203,$A182,'Báo giá'!$T$4:$T$203,"x")=0,"",SUMIFS('Báo giá'!$L$4:$L$203,'Báo giá'!$C$4:$C$203,$A182,'Báo giá'!$T$4:$T$203,"x")))</f>
        <v/>
      </c>
      <c r="S182" s="38" t="str">
        <f aca="false">IF($A182="","",IF($R182="","",$R182-$J182))</f>
        <v/>
      </c>
      <c r="T182" s="37" t="str">
        <f aca="false">IF($A182="","",IF(COUNTIFS(PR!$C$4:$C$203,$A182)&gt;0,"Đã lập PR","Chưa lập PR"))</f>
        <v/>
      </c>
      <c r="U182" s="32"/>
    </row>
    <row r="183" customFormat="false" ht="15" hidden="false" customHeight="false" outlineLevel="0" collapsed="false">
      <c r="A183" s="32"/>
      <c r="B183" s="33"/>
      <c r="C183" s="32"/>
      <c r="D183" s="37" t="str">
        <f aca="false">IF($C183="","",IFERROR(INDEX('Dự án'!$B$4:$B$203,MATCH($C183,'Dự án'!$A$4:$A$203,0)),""))</f>
        <v/>
      </c>
      <c r="E183" s="32"/>
      <c r="F183" s="32"/>
      <c r="G183" s="32"/>
      <c r="H183" s="34"/>
      <c r="I183" s="34"/>
      <c r="J183" s="38" t="str">
        <f aca="false">IF($A183="","",$H183*$I183)</f>
        <v/>
      </c>
      <c r="K183" s="33"/>
      <c r="L183" s="33"/>
      <c r="M183" s="38" t="str">
        <f aca="false">IF($A183="","",IF($L183="","",$L183-$B183))</f>
        <v/>
      </c>
      <c r="N183" s="32"/>
      <c r="O183" s="37" t="str">
        <f aca="true">IF($A183="","",IF($K183="","",IF($L183="",IF(TODAY()&gt;$K183,"Quá hạn chưa trả","Đang xử lý"),IF($L183&lt;=$K183,"Đúng hạn","Trả trễ"))))</f>
        <v/>
      </c>
      <c r="P183" s="38" t="str">
        <f aca="false">IF($A183="","",COUNTIFS('Báo giá'!$C$4:$C$203,$A183))</f>
        <v/>
      </c>
      <c r="Q183" s="38" t="str">
        <f aca="false">IF($A183="","",IF(SUMIFS('Báo giá'!$K$4:$K$203,'Báo giá'!$C$4:$C$203,$A183,'Báo giá'!$T$4:$T$203,"x")=0,"",SUMIFS('Báo giá'!$K$4:$K$203,'Báo giá'!$C$4:$C$203,$A183,'Báo giá'!$T$4:$T$203,"x")))</f>
        <v/>
      </c>
      <c r="R183" s="38" t="str">
        <f aca="false">IF($A183="","",IF(SUMIFS('Báo giá'!$L$4:$L$203,'Báo giá'!$C$4:$C$203,$A183,'Báo giá'!$T$4:$T$203,"x")=0,"",SUMIFS('Báo giá'!$L$4:$L$203,'Báo giá'!$C$4:$C$203,$A183,'Báo giá'!$T$4:$T$203,"x")))</f>
        <v/>
      </c>
      <c r="S183" s="38" t="str">
        <f aca="false">IF($A183="","",IF($R183="","",$R183-$J183))</f>
        <v/>
      </c>
      <c r="T183" s="37" t="str">
        <f aca="false">IF($A183="","",IF(COUNTIFS(PR!$C$4:$C$203,$A183)&gt;0,"Đã lập PR","Chưa lập PR"))</f>
        <v/>
      </c>
      <c r="U183" s="32"/>
    </row>
    <row r="184" customFormat="false" ht="15" hidden="false" customHeight="false" outlineLevel="0" collapsed="false">
      <c r="A184" s="32"/>
      <c r="B184" s="33"/>
      <c r="C184" s="32"/>
      <c r="D184" s="37" t="str">
        <f aca="false">IF($C184="","",IFERROR(INDEX('Dự án'!$B$4:$B$203,MATCH($C184,'Dự án'!$A$4:$A$203,0)),""))</f>
        <v/>
      </c>
      <c r="E184" s="32"/>
      <c r="F184" s="32"/>
      <c r="G184" s="32"/>
      <c r="H184" s="34"/>
      <c r="I184" s="34"/>
      <c r="J184" s="38" t="str">
        <f aca="false">IF($A184="","",$H184*$I184)</f>
        <v/>
      </c>
      <c r="K184" s="33"/>
      <c r="L184" s="33"/>
      <c r="M184" s="38" t="str">
        <f aca="false">IF($A184="","",IF($L184="","",$L184-$B184))</f>
        <v/>
      </c>
      <c r="N184" s="32"/>
      <c r="O184" s="37" t="str">
        <f aca="true">IF($A184="","",IF($K184="","",IF($L184="",IF(TODAY()&gt;$K184,"Quá hạn chưa trả","Đang xử lý"),IF($L184&lt;=$K184,"Đúng hạn","Trả trễ"))))</f>
        <v/>
      </c>
      <c r="P184" s="38" t="str">
        <f aca="false">IF($A184="","",COUNTIFS('Báo giá'!$C$4:$C$203,$A184))</f>
        <v/>
      </c>
      <c r="Q184" s="38" t="str">
        <f aca="false">IF($A184="","",IF(SUMIFS('Báo giá'!$K$4:$K$203,'Báo giá'!$C$4:$C$203,$A184,'Báo giá'!$T$4:$T$203,"x")=0,"",SUMIFS('Báo giá'!$K$4:$K$203,'Báo giá'!$C$4:$C$203,$A184,'Báo giá'!$T$4:$T$203,"x")))</f>
        <v/>
      </c>
      <c r="R184" s="38" t="str">
        <f aca="false">IF($A184="","",IF(SUMIFS('Báo giá'!$L$4:$L$203,'Báo giá'!$C$4:$C$203,$A184,'Báo giá'!$T$4:$T$203,"x")=0,"",SUMIFS('Báo giá'!$L$4:$L$203,'Báo giá'!$C$4:$C$203,$A184,'Báo giá'!$T$4:$T$203,"x")))</f>
        <v/>
      </c>
      <c r="S184" s="38" t="str">
        <f aca="false">IF($A184="","",IF($R184="","",$R184-$J184))</f>
        <v/>
      </c>
      <c r="T184" s="37" t="str">
        <f aca="false">IF($A184="","",IF(COUNTIFS(PR!$C$4:$C$203,$A184)&gt;0,"Đã lập PR","Chưa lập PR"))</f>
        <v/>
      </c>
      <c r="U184" s="32"/>
    </row>
    <row r="185" customFormat="false" ht="15" hidden="false" customHeight="false" outlineLevel="0" collapsed="false">
      <c r="A185" s="32"/>
      <c r="B185" s="33"/>
      <c r="C185" s="32"/>
      <c r="D185" s="37" t="str">
        <f aca="false">IF($C185="","",IFERROR(INDEX('Dự án'!$B$4:$B$203,MATCH($C185,'Dự án'!$A$4:$A$203,0)),""))</f>
        <v/>
      </c>
      <c r="E185" s="32"/>
      <c r="F185" s="32"/>
      <c r="G185" s="32"/>
      <c r="H185" s="34"/>
      <c r="I185" s="34"/>
      <c r="J185" s="38" t="str">
        <f aca="false">IF($A185="","",$H185*$I185)</f>
        <v/>
      </c>
      <c r="K185" s="33"/>
      <c r="L185" s="33"/>
      <c r="M185" s="38" t="str">
        <f aca="false">IF($A185="","",IF($L185="","",$L185-$B185))</f>
        <v/>
      </c>
      <c r="N185" s="32"/>
      <c r="O185" s="37" t="str">
        <f aca="true">IF($A185="","",IF($K185="","",IF($L185="",IF(TODAY()&gt;$K185,"Quá hạn chưa trả","Đang xử lý"),IF($L185&lt;=$K185,"Đúng hạn","Trả trễ"))))</f>
        <v/>
      </c>
      <c r="P185" s="38" t="str">
        <f aca="false">IF($A185="","",COUNTIFS('Báo giá'!$C$4:$C$203,$A185))</f>
        <v/>
      </c>
      <c r="Q185" s="38" t="str">
        <f aca="false">IF($A185="","",IF(SUMIFS('Báo giá'!$K$4:$K$203,'Báo giá'!$C$4:$C$203,$A185,'Báo giá'!$T$4:$T$203,"x")=0,"",SUMIFS('Báo giá'!$K$4:$K$203,'Báo giá'!$C$4:$C$203,$A185,'Báo giá'!$T$4:$T$203,"x")))</f>
        <v/>
      </c>
      <c r="R185" s="38" t="str">
        <f aca="false">IF($A185="","",IF(SUMIFS('Báo giá'!$L$4:$L$203,'Báo giá'!$C$4:$C$203,$A185,'Báo giá'!$T$4:$T$203,"x")=0,"",SUMIFS('Báo giá'!$L$4:$L$203,'Báo giá'!$C$4:$C$203,$A185,'Báo giá'!$T$4:$T$203,"x")))</f>
        <v/>
      </c>
      <c r="S185" s="38" t="str">
        <f aca="false">IF($A185="","",IF($R185="","",$R185-$J185))</f>
        <v/>
      </c>
      <c r="T185" s="37" t="str">
        <f aca="false">IF($A185="","",IF(COUNTIFS(PR!$C$4:$C$203,$A185)&gt;0,"Đã lập PR","Chưa lập PR"))</f>
        <v/>
      </c>
      <c r="U185" s="32"/>
    </row>
    <row r="186" customFormat="false" ht="15" hidden="false" customHeight="false" outlineLevel="0" collapsed="false">
      <c r="A186" s="32"/>
      <c r="B186" s="33"/>
      <c r="C186" s="32"/>
      <c r="D186" s="37" t="str">
        <f aca="false">IF($C186="","",IFERROR(INDEX('Dự án'!$B$4:$B$203,MATCH($C186,'Dự án'!$A$4:$A$203,0)),""))</f>
        <v/>
      </c>
      <c r="E186" s="32"/>
      <c r="F186" s="32"/>
      <c r="G186" s="32"/>
      <c r="H186" s="34"/>
      <c r="I186" s="34"/>
      <c r="J186" s="38" t="str">
        <f aca="false">IF($A186="","",$H186*$I186)</f>
        <v/>
      </c>
      <c r="K186" s="33"/>
      <c r="L186" s="33"/>
      <c r="M186" s="38" t="str">
        <f aca="false">IF($A186="","",IF($L186="","",$L186-$B186))</f>
        <v/>
      </c>
      <c r="N186" s="32"/>
      <c r="O186" s="37" t="str">
        <f aca="true">IF($A186="","",IF($K186="","",IF($L186="",IF(TODAY()&gt;$K186,"Quá hạn chưa trả","Đang xử lý"),IF($L186&lt;=$K186,"Đúng hạn","Trả trễ"))))</f>
        <v/>
      </c>
      <c r="P186" s="38" t="str">
        <f aca="false">IF($A186="","",COUNTIFS('Báo giá'!$C$4:$C$203,$A186))</f>
        <v/>
      </c>
      <c r="Q186" s="38" t="str">
        <f aca="false">IF($A186="","",IF(SUMIFS('Báo giá'!$K$4:$K$203,'Báo giá'!$C$4:$C$203,$A186,'Báo giá'!$T$4:$T$203,"x")=0,"",SUMIFS('Báo giá'!$K$4:$K$203,'Báo giá'!$C$4:$C$203,$A186,'Báo giá'!$T$4:$T$203,"x")))</f>
        <v/>
      </c>
      <c r="R186" s="38" t="str">
        <f aca="false">IF($A186="","",IF(SUMIFS('Báo giá'!$L$4:$L$203,'Báo giá'!$C$4:$C$203,$A186,'Báo giá'!$T$4:$T$203,"x")=0,"",SUMIFS('Báo giá'!$L$4:$L$203,'Báo giá'!$C$4:$C$203,$A186,'Báo giá'!$T$4:$T$203,"x")))</f>
        <v/>
      </c>
      <c r="S186" s="38" t="str">
        <f aca="false">IF($A186="","",IF($R186="","",$R186-$J186))</f>
        <v/>
      </c>
      <c r="T186" s="37" t="str">
        <f aca="false">IF($A186="","",IF(COUNTIFS(PR!$C$4:$C$203,$A186)&gt;0,"Đã lập PR","Chưa lập PR"))</f>
        <v/>
      </c>
      <c r="U186" s="32"/>
    </row>
    <row r="187" customFormat="false" ht="15" hidden="false" customHeight="false" outlineLevel="0" collapsed="false">
      <c r="A187" s="32"/>
      <c r="B187" s="33"/>
      <c r="C187" s="32"/>
      <c r="D187" s="37" t="str">
        <f aca="false">IF($C187="","",IFERROR(INDEX('Dự án'!$B$4:$B$203,MATCH($C187,'Dự án'!$A$4:$A$203,0)),""))</f>
        <v/>
      </c>
      <c r="E187" s="32"/>
      <c r="F187" s="32"/>
      <c r="G187" s="32"/>
      <c r="H187" s="34"/>
      <c r="I187" s="34"/>
      <c r="J187" s="38" t="str">
        <f aca="false">IF($A187="","",$H187*$I187)</f>
        <v/>
      </c>
      <c r="K187" s="33"/>
      <c r="L187" s="33"/>
      <c r="M187" s="38" t="str">
        <f aca="false">IF($A187="","",IF($L187="","",$L187-$B187))</f>
        <v/>
      </c>
      <c r="N187" s="32"/>
      <c r="O187" s="37" t="str">
        <f aca="true">IF($A187="","",IF($K187="","",IF($L187="",IF(TODAY()&gt;$K187,"Quá hạn chưa trả","Đang xử lý"),IF($L187&lt;=$K187,"Đúng hạn","Trả trễ"))))</f>
        <v/>
      </c>
      <c r="P187" s="38" t="str">
        <f aca="false">IF($A187="","",COUNTIFS('Báo giá'!$C$4:$C$203,$A187))</f>
        <v/>
      </c>
      <c r="Q187" s="38" t="str">
        <f aca="false">IF($A187="","",IF(SUMIFS('Báo giá'!$K$4:$K$203,'Báo giá'!$C$4:$C$203,$A187,'Báo giá'!$T$4:$T$203,"x")=0,"",SUMIFS('Báo giá'!$K$4:$K$203,'Báo giá'!$C$4:$C$203,$A187,'Báo giá'!$T$4:$T$203,"x")))</f>
        <v/>
      </c>
      <c r="R187" s="38" t="str">
        <f aca="false">IF($A187="","",IF(SUMIFS('Báo giá'!$L$4:$L$203,'Báo giá'!$C$4:$C$203,$A187,'Báo giá'!$T$4:$T$203,"x")=0,"",SUMIFS('Báo giá'!$L$4:$L$203,'Báo giá'!$C$4:$C$203,$A187,'Báo giá'!$T$4:$T$203,"x")))</f>
        <v/>
      </c>
      <c r="S187" s="38" t="str">
        <f aca="false">IF($A187="","",IF($R187="","",$R187-$J187))</f>
        <v/>
      </c>
      <c r="T187" s="37" t="str">
        <f aca="false">IF($A187="","",IF(COUNTIFS(PR!$C$4:$C$203,$A187)&gt;0,"Đã lập PR","Chưa lập PR"))</f>
        <v/>
      </c>
      <c r="U187" s="32"/>
    </row>
    <row r="188" customFormat="false" ht="15" hidden="false" customHeight="false" outlineLevel="0" collapsed="false">
      <c r="A188" s="32"/>
      <c r="B188" s="33"/>
      <c r="C188" s="32"/>
      <c r="D188" s="37" t="str">
        <f aca="false">IF($C188="","",IFERROR(INDEX('Dự án'!$B$4:$B$203,MATCH($C188,'Dự án'!$A$4:$A$203,0)),""))</f>
        <v/>
      </c>
      <c r="E188" s="32"/>
      <c r="F188" s="32"/>
      <c r="G188" s="32"/>
      <c r="H188" s="34"/>
      <c r="I188" s="34"/>
      <c r="J188" s="38" t="str">
        <f aca="false">IF($A188="","",$H188*$I188)</f>
        <v/>
      </c>
      <c r="K188" s="33"/>
      <c r="L188" s="33"/>
      <c r="M188" s="38" t="str">
        <f aca="false">IF($A188="","",IF($L188="","",$L188-$B188))</f>
        <v/>
      </c>
      <c r="N188" s="32"/>
      <c r="O188" s="37" t="str">
        <f aca="true">IF($A188="","",IF($K188="","",IF($L188="",IF(TODAY()&gt;$K188,"Quá hạn chưa trả","Đang xử lý"),IF($L188&lt;=$K188,"Đúng hạn","Trả trễ"))))</f>
        <v/>
      </c>
      <c r="P188" s="38" t="str">
        <f aca="false">IF($A188="","",COUNTIFS('Báo giá'!$C$4:$C$203,$A188))</f>
        <v/>
      </c>
      <c r="Q188" s="38" t="str">
        <f aca="false">IF($A188="","",IF(SUMIFS('Báo giá'!$K$4:$K$203,'Báo giá'!$C$4:$C$203,$A188,'Báo giá'!$T$4:$T$203,"x")=0,"",SUMIFS('Báo giá'!$K$4:$K$203,'Báo giá'!$C$4:$C$203,$A188,'Báo giá'!$T$4:$T$203,"x")))</f>
        <v/>
      </c>
      <c r="R188" s="38" t="str">
        <f aca="false">IF($A188="","",IF(SUMIFS('Báo giá'!$L$4:$L$203,'Báo giá'!$C$4:$C$203,$A188,'Báo giá'!$T$4:$T$203,"x")=0,"",SUMIFS('Báo giá'!$L$4:$L$203,'Báo giá'!$C$4:$C$203,$A188,'Báo giá'!$T$4:$T$203,"x")))</f>
        <v/>
      </c>
      <c r="S188" s="38" t="str">
        <f aca="false">IF($A188="","",IF($R188="","",$R188-$J188))</f>
        <v/>
      </c>
      <c r="T188" s="37" t="str">
        <f aca="false">IF($A188="","",IF(COUNTIFS(PR!$C$4:$C$203,$A188)&gt;0,"Đã lập PR","Chưa lập PR"))</f>
        <v/>
      </c>
      <c r="U188" s="32"/>
    </row>
    <row r="189" customFormat="false" ht="15" hidden="false" customHeight="false" outlineLevel="0" collapsed="false">
      <c r="A189" s="32"/>
      <c r="B189" s="33"/>
      <c r="C189" s="32"/>
      <c r="D189" s="37" t="str">
        <f aca="false">IF($C189="","",IFERROR(INDEX('Dự án'!$B$4:$B$203,MATCH($C189,'Dự án'!$A$4:$A$203,0)),""))</f>
        <v/>
      </c>
      <c r="E189" s="32"/>
      <c r="F189" s="32"/>
      <c r="G189" s="32"/>
      <c r="H189" s="34"/>
      <c r="I189" s="34"/>
      <c r="J189" s="38" t="str">
        <f aca="false">IF($A189="","",$H189*$I189)</f>
        <v/>
      </c>
      <c r="K189" s="33"/>
      <c r="L189" s="33"/>
      <c r="M189" s="38" t="str">
        <f aca="false">IF($A189="","",IF($L189="","",$L189-$B189))</f>
        <v/>
      </c>
      <c r="N189" s="32"/>
      <c r="O189" s="37" t="str">
        <f aca="true">IF($A189="","",IF($K189="","",IF($L189="",IF(TODAY()&gt;$K189,"Quá hạn chưa trả","Đang xử lý"),IF($L189&lt;=$K189,"Đúng hạn","Trả trễ"))))</f>
        <v/>
      </c>
      <c r="P189" s="38" t="str">
        <f aca="false">IF($A189="","",COUNTIFS('Báo giá'!$C$4:$C$203,$A189))</f>
        <v/>
      </c>
      <c r="Q189" s="38" t="str">
        <f aca="false">IF($A189="","",IF(SUMIFS('Báo giá'!$K$4:$K$203,'Báo giá'!$C$4:$C$203,$A189,'Báo giá'!$T$4:$T$203,"x")=0,"",SUMIFS('Báo giá'!$K$4:$K$203,'Báo giá'!$C$4:$C$203,$A189,'Báo giá'!$T$4:$T$203,"x")))</f>
        <v/>
      </c>
      <c r="R189" s="38" t="str">
        <f aca="false">IF($A189="","",IF(SUMIFS('Báo giá'!$L$4:$L$203,'Báo giá'!$C$4:$C$203,$A189,'Báo giá'!$T$4:$T$203,"x")=0,"",SUMIFS('Báo giá'!$L$4:$L$203,'Báo giá'!$C$4:$C$203,$A189,'Báo giá'!$T$4:$T$203,"x")))</f>
        <v/>
      </c>
      <c r="S189" s="38" t="str">
        <f aca="false">IF($A189="","",IF($R189="","",$R189-$J189))</f>
        <v/>
      </c>
      <c r="T189" s="37" t="str">
        <f aca="false">IF($A189="","",IF(COUNTIFS(PR!$C$4:$C$203,$A189)&gt;0,"Đã lập PR","Chưa lập PR"))</f>
        <v/>
      </c>
      <c r="U189" s="32"/>
    </row>
    <row r="190" customFormat="false" ht="15" hidden="false" customHeight="false" outlineLevel="0" collapsed="false">
      <c r="A190" s="32"/>
      <c r="B190" s="33"/>
      <c r="C190" s="32"/>
      <c r="D190" s="37" t="str">
        <f aca="false">IF($C190="","",IFERROR(INDEX('Dự án'!$B$4:$B$203,MATCH($C190,'Dự án'!$A$4:$A$203,0)),""))</f>
        <v/>
      </c>
      <c r="E190" s="32"/>
      <c r="F190" s="32"/>
      <c r="G190" s="32"/>
      <c r="H190" s="34"/>
      <c r="I190" s="34"/>
      <c r="J190" s="38" t="str">
        <f aca="false">IF($A190="","",$H190*$I190)</f>
        <v/>
      </c>
      <c r="K190" s="33"/>
      <c r="L190" s="33"/>
      <c r="M190" s="38" t="str">
        <f aca="false">IF($A190="","",IF($L190="","",$L190-$B190))</f>
        <v/>
      </c>
      <c r="N190" s="32"/>
      <c r="O190" s="37" t="str">
        <f aca="true">IF($A190="","",IF($K190="","",IF($L190="",IF(TODAY()&gt;$K190,"Quá hạn chưa trả","Đang xử lý"),IF($L190&lt;=$K190,"Đúng hạn","Trả trễ"))))</f>
        <v/>
      </c>
      <c r="P190" s="38" t="str">
        <f aca="false">IF($A190="","",COUNTIFS('Báo giá'!$C$4:$C$203,$A190))</f>
        <v/>
      </c>
      <c r="Q190" s="38" t="str">
        <f aca="false">IF($A190="","",IF(SUMIFS('Báo giá'!$K$4:$K$203,'Báo giá'!$C$4:$C$203,$A190,'Báo giá'!$T$4:$T$203,"x")=0,"",SUMIFS('Báo giá'!$K$4:$K$203,'Báo giá'!$C$4:$C$203,$A190,'Báo giá'!$T$4:$T$203,"x")))</f>
        <v/>
      </c>
      <c r="R190" s="38" t="str">
        <f aca="false">IF($A190="","",IF(SUMIFS('Báo giá'!$L$4:$L$203,'Báo giá'!$C$4:$C$203,$A190,'Báo giá'!$T$4:$T$203,"x")=0,"",SUMIFS('Báo giá'!$L$4:$L$203,'Báo giá'!$C$4:$C$203,$A190,'Báo giá'!$T$4:$T$203,"x")))</f>
        <v/>
      </c>
      <c r="S190" s="38" t="str">
        <f aca="false">IF($A190="","",IF($R190="","",$R190-$J190))</f>
        <v/>
      </c>
      <c r="T190" s="37" t="str">
        <f aca="false">IF($A190="","",IF(COUNTIFS(PR!$C$4:$C$203,$A190)&gt;0,"Đã lập PR","Chưa lập PR"))</f>
        <v/>
      </c>
      <c r="U190" s="32"/>
    </row>
    <row r="191" customFormat="false" ht="15" hidden="false" customHeight="false" outlineLevel="0" collapsed="false">
      <c r="A191" s="32"/>
      <c r="B191" s="33"/>
      <c r="C191" s="32"/>
      <c r="D191" s="37" t="str">
        <f aca="false">IF($C191="","",IFERROR(INDEX('Dự án'!$B$4:$B$203,MATCH($C191,'Dự án'!$A$4:$A$203,0)),""))</f>
        <v/>
      </c>
      <c r="E191" s="32"/>
      <c r="F191" s="32"/>
      <c r="G191" s="32"/>
      <c r="H191" s="34"/>
      <c r="I191" s="34"/>
      <c r="J191" s="38" t="str">
        <f aca="false">IF($A191="","",$H191*$I191)</f>
        <v/>
      </c>
      <c r="K191" s="33"/>
      <c r="L191" s="33"/>
      <c r="M191" s="38" t="str">
        <f aca="false">IF($A191="","",IF($L191="","",$L191-$B191))</f>
        <v/>
      </c>
      <c r="N191" s="32"/>
      <c r="O191" s="37" t="str">
        <f aca="true">IF($A191="","",IF($K191="","",IF($L191="",IF(TODAY()&gt;$K191,"Quá hạn chưa trả","Đang xử lý"),IF($L191&lt;=$K191,"Đúng hạn","Trả trễ"))))</f>
        <v/>
      </c>
      <c r="P191" s="38" t="str">
        <f aca="false">IF($A191="","",COUNTIFS('Báo giá'!$C$4:$C$203,$A191))</f>
        <v/>
      </c>
      <c r="Q191" s="38" t="str">
        <f aca="false">IF($A191="","",IF(SUMIFS('Báo giá'!$K$4:$K$203,'Báo giá'!$C$4:$C$203,$A191,'Báo giá'!$T$4:$T$203,"x")=0,"",SUMIFS('Báo giá'!$K$4:$K$203,'Báo giá'!$C$4:$C$203,$A191,'Báo giá'!$T$4:$T$203,"x")))</f>
        <v/>
      </c>
      <c r="R191" s="38" t="str">
        <f aca="false">IF($A191="","",IF(SUMIFS('Báo giá'!$L$4:$L$203,'Báo giá'!$C$4:$C$203,$A191,'Báo giá'!$T$4:$T$203,"x")=0,"",SUMIFS('Báo giá'!$L$4:$L$203,'Báo giá'!$C$4:$C$203,$A191,'Báo giá'!$T$4:$T$203,"x")))</f>
        <v/>
      </c>
      <c r="S191" s="38" t="str">
        <f aca="false">IF($A191="","",IF($R191="","",$R191-$J191))</f>
        <v/>
      </c>
      <c r="T191" s="37" t="str">
        <f aca="false">IF($A191="","",IF(COUNTIFS(PR!$C$4:$C$203,$A191)&gt;0,"Đã lập PR","Chưa lập PR"))</f>
        <v/>
      </c>
      <c r="U191" s="32"/>
    </row>
    <row r="192" customFormat="false" ht="15" hidden="false" customHeight="false" outlineLevel="0" collapsed="false">
      <c r="A192" s="32"/>
      <c r="B192" s="33"/>
      <c r="C192" s="32"/>
      <c r="D192" s="37" t="str">
        <f aca="false">IF($C192="","",IFERROR(INDEX('Dự án'!$B$4:$B$203,MATCH($C192,'Dự án'!$A$4:$A$203,0)),""))</f>
        <v/>
      </c>
      <c r="E192" s="32"/>
      <c r="F192" s="32"/>
      <c r="G192" s="32"/>
      <c r="H192" s="34"/>
      <c r="I192" s="34"/>
      <c r="J192" s="38" t="str">
        <f aca="false">IF($A192="","",$H192*$I192)</f>
        <v/>
      </c>
      <c r="K192" s="33"/>
      <c r="L192" s="33"/>
      <c r="M192" s="38" t="str">
        <f aca="false">IF($A192="","",IF($L192="","",$L192-$B192))</f>
        <v/>
      </c>
      <c r="N192" s="32"/>
      <c r="O192" s="37" t="str">
        <f aca="true">IF($A192="","",IF($K192="","",IF($L192="",IF(TODAY()&gt;$K192,"Quá hạn chưa trả","Đang xử lý"),IF($L192&lt;=$K192,"Đúng hạn","Trả trễ"))))</f>
        <v/>
      </c>
      <c r="P192" s="38" t="str">
        <f aca="false">IF($A192="","",COUNTIFS('Báo giá'!$C$4:$C$203,$A192))</f>
        <v/>
      </c>
      <c r="Q192" s="38" t="str">
        <f aca="false">IF($A192="","",IF(SUMIFS('Báo giá'!$K$4:$K$203,'Báo giá'!$C$4:$C$203,$A192,'Báo giá'!$T$4:$T$203,"x")=0,"",SUMIFS('Báo giá'!$K$4:$K$203,'Báo giá'!$C$4:$C$203,$A192,'Báo giá'!$T$4:$T$203,"x")))</f>
        <v/>
      </c>
      <c r="R192" s="38" t="str">
        <f aca="false">IF($A192="","",IF(SUMIFS('Báo giá'!$L$4:$L$203,'Báo giá'!$C$4:$C$203,$A192,'Báo giá'!$T$4:$T$203,"x")=0,"",SUMIFS('Báo giá'!$L$4:$L$203,'Báo giá'!$C$4:$C$203,$A192,'Báo giá'!$T$4:$T$203,"x")))</f>
        <v/>
      </c>
      <c r="S192" s="38" t="str">
        <f aca="false">IF($A192="","",IF($R192="","",$R192-$J192))</f>
        <v/>
      </c>
      <c r="T192" s="37" t="str">
        <f aca="false">IF($A192="","",IF(COUNTIFS(PR!$C$4:$C$203,$A192)&gt;0,"Đã lập PR","Chưa lập PR"))</f>
        <v/>
      </c>
      <c r="U192" s="32"/>
    </row>
    <row r="193" customFormat="false" ht="15" hidden="false" customHeight="false" outlineLevel="0" collapsed="false">
      <c r="A193" s="32"/>
      <c r="B193" s="33"/>
      <c r="C193" s="32"/>
      <c r="D193" s="37" t="str">
        <f aca="false">IF($C193="","",IFERROR(INDEX('Dự án'!$B$4:$B$203,MATCH($C193,'Dự án'!$A$4:$A$203,0)),""))</f>
        <v/>
      </c>
      <c r="E193" s="32"/>
      <c r="F193" s="32"/>
      <c r="G193" s="32"/>
      <c r="H193" s="34"/>
      <c r="I193" s="34"/>
      <c r="J193" s="38" t="str">
        <f aca="false">IF($A193="","",$H193*$I193)</f>
        <v/>
      </c>
      <c r="K193" s="33"/>
      <c r="L193" s="33"/>
      <c r="M193" s="38" t="str">
        <f aca="false">IF($A193="","",IF($L193="","",$L193-$B193))</f>
        <v/>
      </c>
      <c r="N193" s="32"/>
      <c r="O193" s="37" t="str">
        <f aca="true">IF($A193="","",IF($K193="","",IF($L193="",IF(TODAY()&gt;$K193,"Quá hạn chưa trả","Đang xử lý"),IF($L193&lt;=$K193,"Đúng hạn","Trả trễ"))))</f>
        <v/>
      </c>
      <c r="P193" s="38" t="str">
        <f aca="false">IF($A193="","",COUNTIFS('Báo giá'!$C$4:$C$203,$A193))</f>
        <v/>
      </c>
      <c r="Q193" s="38" t="str">
        <f aca="false">IF($A193="","",IF(SUMIFS('Báo giá'!$K$4:$K$203,'Báo giá'!$C$4:$C$203,$A193,'Báo giá'!$T$4:$T$203,"x")=0,"",SUMIFS('Báo giá'!$K$4:$K$203,'Báo giá'!$C$4:$C$203,$A193,'Báo giá'!$T$4:$T$203,"x")))</f>
        <v/>
      </c>
      <c r="R193" s="38" t="str">
        <f aca="false">IF($A193="","",IF(SUMIFS('Báo giá'!$L$4:$L$203,'Báo giá'!$C$4:$C$203,$A193,'Báo giá'!$T$4:$T$203,"x")=0,"",SUMIFS('Báo giá'!$L$4:$L$203,'Báo giá'!$C$4:$C$203,$A193,'Báo giá'!$T$4:$T$203,"x")))</f>
        <v/>
      </c>
      <c r="S193" s="38" t="str">
        <f aca="false">IF($A193="","",IF($R193="","",$R193-$J193))</f>
        <v/>
      </c>
      <c r="T193" s="37" t="str">
        <f aca="false">IF($A193="","",IF(COUNTIFS(PR!$C$4:$C$203,$A193)&gt;0,"Đã lập PR","Chưa lập PR"))</f>
        <v/>
      </c>
      <c r="U193" s="32"/>
    </row>
    <row r="194" customFormat="false" ht="15" hidden="false" customHeight="false" outlineLevel="0" collapsed="false">
      <c r="A194" s="32"/>
      <c r="B194" s="33"/>
      <c r="C194" s="32"/>
      <c r="D194" s="37" t="str">
        <f aca="false">IF($C194="","",IFERROR(INDEX('Dự án'!$B$4:$B$203,MATCH($C194,'Dự án'!$A$4:$A$203,0)),""))</f>
        <v/>
      </c>
      <c r="E194" s="32"/>
      <c r="F194" s="32"/>
      <c r="G194" s="32"/>
      <c r="H194" s="34"/>
      <c r="I194" s="34"/>
      <c r="J194" s="38" t="str">
        <f aca="false">IF($A194="","",$H194*$I194)</f>
        <v/>
      </c>
      <c r="K194" s="33"/>
      <c r="L194" s="33"/>
      <c r="M194" s="38" t="str">
        <f aca="false">IF($A194="","",IF($L194="","",$L194-$B194))</f>
        <v/>
      </c>
      <c r="N194" s="32"/>
      <c r="O194" s="37" t="str">
        <f aca="true">IF($A194="","",IF($K194="","",IF($L194="",IF(TODAY()&gt;$K194,"Quá hạn chưa trả","Đang xử lý"),IF($L194&lt;=$K194,"Đúng hạn","Trả trễ"))))</f>
        <v/>
      </c>
      <c r="P194" s="38" t="str">
        <f aca="false">IF($A194="","",COUNTIFS('Báo giá'!$C$4:$C$203,$A194))</f>
        <v/>
      </c>
      <c r="Q194" s="38" t="str">
        <f aca="false">IF($A194="","",IF(SUMIFS('Báo giá'!$K$4:$K$203,'Báo giá'!$C$4:$C$203,$A194,'Báo giá'!$T$4:$T$203,"x")=0,"",SUMIFS('Báo giá'!$K$4:$K$203,'Báo giá'!$C$4:$C$203,$A194,'Báo giá'!$T$4:$T$203,"x")))</f>
        <v/>
      </c>
      <c r="R194" s="38" t="str">
        <f aca="false">IF($A194="","",IF(SUMIFS('Báo giá'!$L$4:$L$203,'Báo giá'!$C$4:$C$203,$A194,'Báo giá'!$T$4:$T$203,"x")=0,"",SUMIFS('Báo giá'!$L$4:$L$203,'Báo giá'!$C$4:$C$203,$A194,'Báo giá'!$T$4:$T$203,"x")))</f>
        <v/>
      </c>
      <c r="S194" s="38" t="str">
        <f aca="false">IF($A194="","",IF($R194="","",$R194-$J194))</f>
        <v/>
      </c>
      <c r="T194" s="37" t="str">
        <f aca="false">IF($A194="","",IF(COUNTIFS(PR!$C$4:$C$203,$A194)&gt;0,"Đã lập PR","Chưa lập PR"))</f>
        <v/>
      </c>
      <c r="U194" s="32"/>
    </row>
    <row r="195" customFormat="false" ht="15" hidden="false" customHeight="false" outlineLevel="0" collapsed="false">
      <c r="A195" s="32"/>
      <c r="B195" s="33"/>
      <c r="C195" s="32"/>
      <c r="D195" s="37" t="str">
        <f aca="false">IF($C195="","",IFERROR(INDEX('Dự án'!$B$4:$B$203,MATCH($C195,'Dự án'!$A$4:$A$203,0)),""))</f>
        <v/>
      </c>
      <c r="E195" s="32"/>
      <c r="F195" s="32"/>
      <c r="G195" s="32"/>
      <c r="H195" s="34"/>
      <c r="I195" s="34"/>
      <c r="J195" s="38" t="str">
        <f aca="false">IF($A195="","",$H195*$I195)</f>
        <v/>
      </c>
      <c r="K195" s="33"/>
      <c r="L195" s="33"/>
      <c r="M195" s="38" t="str">
        <f aca="false">IF($A195="","",IF($L195="","",$L195-$B195))</f>
        <v/>
      </c>
      <c r="N195" s="32"/>
      <c r="O195" s="37" t="str">
        <f aca="true">IF($A195="","",IF($K195="","",IF($L195="",IF(TODAY()&gt;$K195,"Quá hạn chưa trả","Đang xử lý"),IF($L195&lt;=$K195,"Đúng hạn","Trả trễ"))))</f>
        <v/>
      </c>
      <c r="P195" s="38" t="str">
        <f aca="false">IF($A195="","",COUNTIFS('Báo giá'!$C$4:$C$203,$A195))</f>
        <v/>
      </c>
      <c r="Q195" s="38" t="str">
        <f aca="false">IF($A195="","",IF(SUMIFS('Báo giá'!$K$4:$K$203,'Báo giá'!$C$4:$C$203,$A195,'Báo giá'!$T$4:$T$203,"x")=0,"",SUMIFS('Báo giá'!$K$4:$K$203,'Báo giá'!$C$4:$C$203,$A195,'Báo giá'!$T$4:$T$203,"x")))</f>
        <v/>
      </c>
      <c r="R195" s="38" t="str">
        <f aca="false">IF($A195="","",IF(SUMIFS('Báo giá'!$L$4:$L$203,'Báo giá'!$C$4:$C$203,$A195,'Báo giá'!$T$4:$T$203,"x")=0,"",SUMIFS('Báo giá'!$L$4:$L$203,'Báo giá'!$C$4:$C$203,$A195,'Báo giá'!$T$4:$T$203,"x")))</f>
        <v/>
      </c>
      <c r="S195" s="38" t="str">
        <f aca="false">IF($A195="","",IF($R195="","",$R195-$J195))</f>
        <v/>
      </c>
      <c r="T195" s="37" t="str">
        <f aca="false">IF($A195="","",IF(COUNTIFS(PR!$C$4:$C$203,$A195)&gt;0,"Đã lập PR","Chưa lập PR"))</f>
        <v/>
      </c>
      <c r="U195" s="32"/>
    </row>
    <row r="196" customFormat="false" ht="15" hidden="false" customHeight="false" outlineLevel="0" collapsed="false">
      <c r="A196" s="32"/>
      <c r="B196" s="33"/>
      <c r="C196" s="32"/>
      <c r="D196" s="37" t="str">
        <f aca="false">IF($C196="","",IFERROR(INDEX('Dự án'!$B$4:$B$203,MATCH($C196,'Dự án'!$A$4:$A$203,0)),""))</f>
        <v/>
      </c>
      <c r="E196" s="32"/>
      <c r="F196" s="32"/>
      <c r="G196" s="32"/>
      <c r="H196" s="34"/>
      <c r="I196" s="34"/>
      <c r="J196" s="38" t="str">
        <f aca="false">IF($A196="","",$H196*$I196)</f>
        <v/>
      </c>
      <c r="K196" s="33"/>
      <c r="L196" s="33"/>
      <c r="M196" s="38" t="str">
        <f aca="false">IF($A196="","",IF($L196="","",$L196-$B196))</f>
        <v/>
      </c>
      <c r="N196" s="32"/>
      <c r="O196" s="37" t="str">
        <f aca="true">IF($A196="","",IF($K196="","",IF($L196="",IF(TODAY()&gt;$K196,"Quá hạn chưa trả","Đang xử lý"),IF($L196&lt;=$K196,"Đúng hạn","Trả trễ"))))</f>
        <v/>
      </c>
      <c r="P196" s="38" t="str">
        <f aca="false">IF($A196="","",COUNTIFS('Báo giá'!$C$4:$C$203,$A196))</f>
        <v/>
      </c>
      <c r="Q196" s="38" t="str">
        <f aca="false">IF($A196="","",IF(SUMIFS('Báo giá'!$K$4:$K$203,'Báo giá'!$C$4:$C$203,$A196,'Báo giá'!$T$4:$T$203,"x")=0,"",SUMIFS('Báo giá'!$K$4:$K$203,'Báo giá'!$C$4:$C$203,$A196,'Báo giá'!$T$4:$T$203,"x")))</f>
        <v/>
      </c>
      <c r="R196" s="38" t="str">
        <f aca="false">IF($A196="","",IF(SUMIFS('Báo giá'!$L$4:$L$203,'Báo giá'!$C$4:$C$203,$A196,'Báo giá'!$T$4:$T$203,"x")=0,"",SUMIFS('Báo giá'!$L$4:$L$203,'Báo giá'!$C$4:$C$203,$A196,'Báo giá'!$T$4:$T$203,"x")))</f>
        <v/>
      </c>
      <c r="S196" s="38" t="str">
        <f aca="false">IF($A196="","",IF($R196="","",$R196-$J196))</f>
        <v/>
      </c>
      <c r="T196" s="37" t="str">
        <f aca="false">IF($A196="","",IF(COUNTIFS(PR!$C$4:$C$203,$A196)&gt;0,"Đã lập PR","Chưa lập PR"))</f>
        <v/>
      </c>
      <c r="U196" s="32"/>
    </row>
    <row r="197" customFormat="false" ht="15" hidden="false" customHeight="false" outlineLevel="0" collapsed="false">
      <c r="A197" s="32"/>
      <c r="B197" s="33"/>
      <c r="C197" s="32"/>
      <c r="D197" s="37" t="str">
        <f aca="false">IF($C197="","",IFERROR(INDEX('Dự án'!$B$4:$B$203,MATCH($C197,'Dự án'!$A$4:$A$203,0)),""))</f>
        <v/>
      </c>
      <c r="E197" s="32"/>
      <c r="F197" s="32"/>
      <c r="G197" s="32"/>
      <c r="H197" s="34"/>
      <c r="I197" s="34"/>
      <c r="J197" s="38" t="str">
        <f aca="false">IF($A197="","",$H197*$I197)</f>
        <v/>
      </c>
      <c r="K197" s="33"/>
      <c r="L197" s="33"/>
      <c r="M197" s="38" t="str">
        <f aca="false">IF($A197="","",IF($L197="","",$L197-$B197))</f>
        <v/>
      </c>
      <c r="N197" s="32"/>
      <c r="O197" s="37" t="str">
        <f aca="true">IF($A197="","",IF($K197="","",IF($L197="",IF(TODAY()&gt;$K197,"Quá hạn chưa trả","Đang xử lý"),IF($L197&lt;=$K197,"Đúng hạn","Trả trễ"))))</f>
        <v/>
      </c>
      <c r="P197" s="38" t="str">
        <f aca="false">IF($A197="","",COUNTIFS('Báo giá'!$C$4:$C$203,$A197))</f>
        <v/>
      </c>
      <c r="Q197" s="38" t="str">
        <f aca="false">IF($A197="","",IF(SUMIFS('Báo giá'!$K$4:$K$203,'Báo giá'!$C$4:$C$203,$A197,'Báo giá'!$T$4:$T$203,"x")=0,"",SUMIFS('Báo giá'!$K$4:$K$203,'Báo giá'!$C$4:$C$203,$A197,'Báo giá'!$T$4:$T$203,"x")))</f>
        <v/>
      </c>
      <c r="R197" s="38" t="str">
        <f aca="false">IF($A197="","",IF(SUMIFS('Báo giá'!$L$4:$L$203,'Báo giá'!$C$4:$C$203,$A197,'Báo giá'!$T$4:$T$203,"x")=0,"",SUMIFS('Báo giá'!$L$4:$L$203,'Báo giá'!$C$4:$C$203,$A197,'Báo giá'!$T$4:$T$203,"x")))</f>
        <v/>
      </c>
      <c r="S197" s="38" t="str">
        <f aca="false">IF($A197="","",IF($R197="","",$R197-$J197))</f>
        <v/>
      </c>
      <c r="T197" s="37" t="str">
        <f aca="false">IF($A197="","",IF(COUNTIFS(PR!$C$4:$C$203,$A197)&gt;0,"Đã lập PR","Chưa lập PR"))</f>
        <v/>
      </c>
      <c r="U197" s="32"/>
    </row>
    <row r="198" customFormat="false" ht="15" hidden="false" customHeight="false" outlineLevel="0" collapsed="false">
      <c r="A198" s="32"/>
      <c r="B198" s="33"/>
      <c r="C198" s="32"/>
      <c r="D198" s="37" t="str">
        <f aca="false">IF($C198="","",IFERROR(INDEX('Dự án'!$B$4:$B$203,MATCH($C198,'Dự án'!$A$4:$A$203,0)),""))</f>
        <v/>
      </c>
      <c r="E198" s="32"/>
      <c r="F198" s="32"/>
      <c r="G198" s="32"/>
      <c r="H198" s="34"/>
      <c r="I198" s="34"/>
      <c r="J198" s="38" t="str">
        <f aca="false">IF($A198="","",$H198*$I198)</f>
        <v/>
      </c>
      <c r="K198" s="33"/>
      <c r="L198" s="33"/>
      <c r="M198" s="38" t="str">
        <f aca="false">IF($A198="","",IF($L198="","",$L198-$B198))</f>
        <v/>
      </c>
      <c r="N198" s="32"/>
      <c r="O198" s="37" t="str">
        <f aca="true">IF($A198="","",IF($K198="","",IF($L198="",IF(TODAY()&gt;$K198,"Quá hạn chưa trả","Đang xử lý"),IF($L198&lt;=$K198,"Đúng hạn","Trả trễ"))))</f>
        <v/>
      </c>
      <c r="P198" s="38" t="str">
        <f aca="false">IF($A198="","",COUNTIFS('Báo giá'!$C$4:$C$203,$A198))</f>
        <v/>
      </c>
      <c r="Q198" s="38" t="str">
        <f aca="false">IF($A198="","",IF(SUMIFS('Báo giá'!$K$4:$K$203,'Báo giá'!$C$4:$C$203,$A198,'Báo giá'!$T$4:$T$203,"x")=0,"",SUMIFS('Báo giá'!$K$4:$K$203,'Báo giá'!$C$4:$C$203,$A198,'Báo giá'!$T$4:$T$203,"x")))</f>
        <v/>
      </c>
      <c r="R198" s="38" t="str">
        <f aca="false">IF($A198="","",IF(SUMIFS('Báo giá'!$L$4:$L$203,'Báo giá'!$C$4:$C$203,$A198,'Báo giá'!$T$4:$T$203,"x")=0,"",SUMIFS('Báo giá'!$L$4:$L$203,'Báo giá'!$C$4:$C$203,$A198,'Báo giá'!$T$4:$T$203,"x")))</f>
        <v/>
      </c>
      <c r="S198" s="38" t="str">
        <f aca="false">IF($A198="","",IF($R198="","",$R198-$J198))</f>
        <v/>
      </c>
      <c r="T198" s="37" t="str">
        <f aca="false">IF($A198="","",IF(COUNTIFS(PR!$C$4:$C$203,$A198)&gt;0,"Đã lập PR","Chưa lập PR"))</f>
        <v/>
      </c>
      <c r="U198" s="32"/>
    </row>
    <row r="199" customFormat="false" ht="15" hidden="false" customHeight="false" outlineLevel="0" collapsed="false">
      <c r="A199" s="32"/>
      <c r="B199" s="33"/>
      <c r="C199" s="32"/>
      <c r="D199" s="37" t="str">
        <f aca="false">IF($C199="","",IFERROR(INDEX('Dự án'!$B$4:$B$203,MATCH($C199,'Dự án'!$A$4:$A$203,0)),""))</f>
        <v/>
      </c>
      <c r="E199" s="32"/>
      <c r="F199" s="32"/>
      <c r="G199" s="32"/>
      <c r="H199" s="34"/>
      <c r="I199" s="34"/>
      <c r="J199" s="38" t="str">
        <f aca="false">IF($A199="","",$H199*$I199)</f>
        <v/>
      </c>
      <c r="K199" s="33"/>
      <c r="L199" s="33"/>
      <c r="M199" s="38" t="str">
        <f aca="false">IF($A199="","",IF($L199="","",$L199-$B199))</f>
        <v/>
      </c>
      <c r="N199" s="32"/>
      <c r="O199" s="37" t="str">
        <f aca="true">IF($A199="","",IF($K199="","",IF($L199="",IF(TODAY()&gt;$K199,"Quá hạn chưa trả","Đang xử lý"),IF($L199&lt;=$K199,"Đúng hạn","Trả trễ"))))</f>
        <v/>
      </c>
      <c r="P199" s="38" t="str">
        <f aca="false">IF($A199="","",COUNTIFS('Báo giá'!$C$4:$C$203,$A199))</f>
        <v/>
      </c>
      <c r="Q199" s="38" t="str">
        <f aca="false">IF($A199="","",IF(SUMIFS('Báo giá'!$K$4:$K$203,'Báo giá'!$C$4:$C$203,$A199,'Báo giá'!$T$4:$T$203,"x")=0,"",SUMIFS('Báo giá'!$K$4:$K$203,'Báo giá'!$C$4:$C$203,$A199,'Báo giá'!$T$4:$T$203,"x")))</f>
        <v/>
      </c>
      <c r="R199" s="38" t="str">
        <f aca="false">IF($A199="","",IF(SUMIFS('Báo giá'!$L$4:$L$203,'Báo giá'!$C$4:$C$203,$A199,'Báo giá'!$T$4:$T$203,"x")=0,"",SUMIFS('Báo giá'!$L$4:$L$203,'Báo giá'!$C$4:$C$203,$A199,'Báo giá'!$T$4:$T$203,"x")))</f>
        <v/>
      </c>
      <c r="S199" s="38" t="str">
        <f aca="false">IF($A199="","",IF($R199="","",$R199-$J199))</f>
        <v/>
      </c>
      <c r="T199" s="37" t="str">
        <f aca="false">IF($A199="","",IF(COUNTIFS(PR!$C$4:$C$203,$A199)&gt;0,"Đã lập PR","Chưa lập PR"))</f>
        <v/>
      </c>
      <c r="U199" s="32"/>
    </row>
    <row r="200" customFormat="false" ht="15" hidden="false" customHeight="false" outlineLevel="0" collapsed="false">
      <c r="A200" s="32"/>
      <c r="B200" s="33"/>
      <c r="C200" s="32"/>
      <c r="D200" s="37" t="str">
        <f aca="false">IF($C200="","",IFERROR(INDEX('Dự án'!$B$4:$B$203,MATCH($C200,'Dự án'!$A$4:$A$203,0)),""))</f>
        <v/>
      </c>
      <c r="E200" s="32"/>
      <c r="F200" s="32"/>
      <c r="G200" s="32"/>
      <c r="H200" s="34"/>
      <c r="I200" s="34"/>
      <c r="J200" s="38" t="str">
        <f aca="false">IF($A200="","",$H200*$I200)</f>
        <v/>
      </c>
      <c r="K200" s="33"/>
      <c r="L200" s="33"/>
      <c r="M200" s="38" t="str">
        <f aca="false">IF($A200="","",IF($L200="","",$L200-$B200))</f>
        <v/>
      </c>
      <c r="N200" s="32"/>
      <c r="O200" s="37" t="str">
        <f aca="true">IF($A200="","",IF($K200="","",IF($L200="",IF(TODAY()&gt;$K200,"Quá hạn chưa trả","Đang xử lý"),IF($L200&lt;=$K200,"Đúng hạn","Trả trễ"))))</f>
        <v/>
      </c>
      <c r="P200" s="38" t="str">
        <f aca="false">IF($A200="","",COUNTIFS('Báo giá'!$C$4:$C$203,$A200))</f>
        <v/>
      </c>
      <c r="Q200" s="38" t="str">
        <f aca="false">IF($A200="","",IF(SUMIFS('Báo giá'!$K$4:$K$203,'Báo giá'!$C$4:$C$203,$A200,'Báo giá'!$T$4:$T$203,"x")=0,"",SUMIFS('Báo giá'!$K$4:$K$203,'Báo giá'!$C$4:$C$203,$A200,'Báo giá'!$T$4:$T$203,"x")))</f>
        <v/>
      </c>
      <c r="R200" s="38" t="str">
        <f aca="false">IF($A200="","",IF(SUMIFS('Báo giá'!$L$4:$L$203,'Báo giá'!$C$4:$C$203,$A200,'Báo giá'!$T$4:$T$203,"x")=0,"",SUMIFS('Báo giá'!$L$4:$L$203,'Báo giá'!$C$4:$C$203,$A200,'Báo giá'!$T$4:$T$203,"x")))</f>
        <v/>
      </c>
      <c r="S200" s="38" t="str">
        <f aca="false">IF($A200="","",IF($R200="","",$R200-$J200))</f>
        <v/>
      </c>
      <c r="T200" s="37" t="str">
        <f aca="false">IF($A200="","",IF(COUNTIFS(PR!$C$4:$C$203,$A200)&gt;0,"Đã lập PR","Chưa lập PR"))</f>
        <v/>
      </c>
      <c r="U200" s="32"/>
    </row>
    <row r="201" customFormat="false" ht="15" hidden="false" customHeight="false" outlineLevel="0" collapsed="false">
      <c r="A201" s="32"/>
      <c r="B201" s="33"/>
      <c r="C201" s="32"/>
      <c r="D201" s="37" t="str">
        <f aca="false">IF($C201="","",IFERROR(INDEX('Dự án'!$B$4:$B$203,MATCH($C201,'Dự án'!$A$4:$A$203,0)),""))</f>
        <v/>
      </c>
      <c r="E201" s="32"/>
      <c r="F201" s="32"/>
      <c r="G201" s="32"/>
      <c r="H201" s="34"/>
      <c r="I201" s="34"/>
      <c r="J201" s="38" t="str">
        <f aca="false">IF($A201="","",$H201*$I201)</f>
        <v/>
      </c>
      <c r="K201" s="33"/>
      <c r="L201" s="33"/>
      <c r="M201" s="38" t="str">
        <f aca="false">IF($A201="","",IF($L201="","",$L201-$B201))</f>
        <v/>
      </c>
      <c r="N201" s="32"/>
      <c r="O201" s="37" t="str">
        <f aca="true">IF($A201="","",IF($K201="","",IF($L201="",IF(TODAY()&gt;$K201,"Quá hạn chưa trả","Đang xử lý"),IF($L201&lt;=$K201,"Đúng hạn","Trả trễ"))))</f>
        <v/>
      </c>
      <c r="P201" s="38" t="str">
        <f aca="false">IF($A201="","",COUNTIFS('Báo giá'!$C$4:$C$203,$A201))</f>
        <v/>
      </c>
      <c r="Q201" s="38" t="str">
        <f aca="false">IF($A201="","",IF(SUMIFS('Báo giá'!$K$4:$K$203,'Báo giá'!$C$4:$C$203,$A201,'Báo giá'!$T$4:$T$203,"x")=0,"",SUMIFS('Báo giá'!$K$4:$K$203,'Báo giá'!$C$4:$C$203,$A201,'Báo giá'!$T$4:$T$203,"x")))</f>
        <v/>
      </c>
      <c r="R201" s="38" t="str">
        <f aca="false">IF($A201="","",IF(SUMIFS('Báo giá'!$L$4:$L$203,'Báo giá'!$C$4:$C$203,$A201,'Báo giá'!$T$4:$T$203,"x")=0,"",SUMIFS('Báo giá'!$L$4:$L$203,'Báo giá'!$C$4:$C$203,$A201,'Báo giá'!$T$4:$T$203,"x")))</f>
        <v/>
      </c>
      <c r="S201" s="38" t="str">
        <f aca="false">IF($A201="","",IF($R201="","",$R201-$J201))</f>
        <v/>
      </c>
      <c r="T201" s="37" t="str">
        <f aca="false">IF($A201="","",IF(COUNTIFS(PR!$C$4:$C$203,$A201)&gt;0,"Đã lập PR","Chưa lập PR"))</f>
        <v/>
      </c>
      <c r="U201" s="32"/>
    </row>
    <row r="202" customFormat="false" ht="15" hidden="false" customHeight="false" outlineLevel="0" collapsed="false">
      <c r="A202" s="32"/>
      <c r="B202" s="33"/>
      <c r="C202" s="32"/>
      <c r="D202" s="37" t="str">
        <f aca="false">IF($C202="","",IFERROR(INDEX('Dự án'!$B$4:$B$203,MATCH($C202,'Dự án'!$A$4:$A$203,0)),""))</f>
        <v/>
      </c>
      <c r="E202" s="32"/>
      <c r="F202" s="32"/>
      <c r="G202" s="32"/>
      <c r="H202" s="34"/>
      <c r="I202" s="34"/>
      <c r="J202" s="38" t="str">
        <f aca="false">IF($A202="","",$H202*$I202)</f>
        <v/>
      </c>
      <c r="K202" s="33"/>
      <c r="L202" s="33"/>
      <c r="M202" s="38" t="str">
        <f aca="false">IF($A202="","",IF($L202="","",$L202-$B202))</f>
        <v/>
      </c>
      <c r="N202" s="32"/>
      <c r="O202" s="37" t="str">
        <f aca="true">IF($A202="","",IF($K202="","",IF($L202="",IF(TODAY()&gt;$K202,"Quá hạn chưa trả","Đang xử lý"),IF($L202&lt;=$K202,"Đúng hạn","Trả trễ"))))</f>
        <v/>
      </c>
      <c r="P202" s="38" t="str">
        <f aca="false">IF($A202="","",COUNTIFS('Báo giá'!$C$4:$C$203,$A202))</f>
        <v/>
      </c>
      <c r="Q202" s="38" t="str">
        <f aca="false">IF($A202="","",IF(SUMIFS('Báo giá'!$K$4:$K$203,'Báo giá'!$C$4:$C$203,$A202,'Báo giá'!$T$4:$T$203,"x")=0,"",SUMIFS('Báo giá'!$K$4:$K$203,'Báo giá'!$C$4:$C$203,$A202,'Báo giá'!$T$4:$T$203,"x")))</f>
        <v/>
      </c>
      <c r="R202" s="38" t="str">
        <f aca="false">IF($A202="","",IF(SUMIFS('Báo giá'!$L$4:$L$203,'Báo giá'!$C$4:$C$203,$A202,'Báo giá'!$T$4:$T$203,"x")=0,"",SUMIFS('Báo giá'!$L$4:$L$203,'Báo giá'!$C$4:$C$203,$A202,'Báo giá'!$T$4:$T$203,"x")))</f>
        <v/>
      </c>
      <c r="S202" s="38" t="str">
        <f aca="false">IF($A202="","",IF($R202="","",$R202-$J202))</f>
        <v/>
      </c>
      <c r="T202" s="37" t="str">
        <f aca="false">IF($A202="","",IF(COUNTIFS(PR!$C$4:$C$203,$A202)&gt;0,"Đã lập PR","Chưa lập PR"))</f>
        <v/>
      </c>
      <c r="U202" s="32"/>
    </row>
    <row r="203" customFormat="false" ht="15" hidden="false" customHeight="false" outlineLevel="0" collapsed="false">
      <c r="A203" s="32"/>
      <c r="B203" s="33"/>
      <c r="C203" s="32"/>
      <c r="D203" s="37" t="str">
        <f aca="false">IF($C203="","",IFERROR(INDEX('Dự án'!$B$4:$B$203,MATCH($C203,'Dự án'!$A$4:$A$203,0)),""))</f>
        <v/>
      </c>
      <c r="E203" s="32"/>
      <c r="F203" s="32"/>
      <c r="G203" s="32"/>
      <c r="H203" s="34"/>
      <c r="I203" s="34"/>
      <c r="J203" s="38" t="str">
        <f aca="false">IF($A203="","",$H203*$I203)</f>
        <v/>
      </c>
      <c r="K203" s="33"/>
      <c r="L203" s="33"/>
      <c r="M203" s="38" t="str">
        <f aca="false">IF($A203="","",IF($L203="","",$L203-$B203))</f>
        <v/>
      </c>
      <c r="N203" s="32"/>
      <c r="O203" s="37" t="str">
        <f aca="true">IF($A203="","",IF($K203="","",IF($L203="",IF(TODAY()&gt;$K203,"Quá hạn chưa trả","Đang xử lý"),IF($L203&lt;=$K203,"Đúng hạn","Trả trễ"))))</f>
        <v/>
      </c>
      <c r="P203" s="38" t="str">
        <f aca="false">IF($A203="","",COUNTIFS('Báo giá'!$C$4:$C$203,$A203))</f>
        <v/>
      </c>
      <c r="Q203" s="38" t="str">
        <f aca="false">IF($A203="","",IF(SUMIFS('Báo giá'!$K$4:$K$203,'Báo giá'!$C$4:$C$203,$A203,'Báo giá'!$T$4:$T$203,"x")=0,"",SUMIFS('Báo giá'!$K$4:$K$203,'Báo giá'!$C$4:$C$203,$A203,'Báo giá'!$T$4:$T$203,"x")))</f>
        <v/>
      </c>
      <c r="R203" s="38" t="str">
        <f aca="false">IF($A203="","",IF(SUMIFS('Báo giá'!$L$4:$L$203,'Báo giá'!$C$4:$C$203,$A203,'Báo giá'!$T$4:$T$203,"x")=0,"",SUMIFS('Báo giá'!$L$4:$L$203,'Báo giá'!$C$4:$C$203,$A203,'Báo giá'!$T$4:$T$203,"x")))</f>
        <v/>
      </c>
      <c r="S203" s="38" t="str">
        <f aca="false">IF($A203="","",IF($R203="","",$R203-$J203))</f>
        <v/>
      </c>
      <c r="T203" s="37" t="str">
        <f aca="false">IF($A203="","",IF(COUNTIFS(PR!$C$4:$C$203,$A203)&gt;0,"Đã lập PR","Chưa lập PR"))</f>
        <v/>
      </c>
      <c r="U203" s="32"/>
    </row>
  </sheetData>
  <autoFilter ref="A3:U203"/>
  <conditionalFormatting sqref="A4:U203">
    <cfRule type="expression" priority="2" aboveAverage="0" equalAverage="0" bottom="0" percent="0" rank="0" text="" dxfId="9">
      <formula>OR($O4="Trả trễ",$O4="Quá hạn chưa trả")</formula>
    </cfRule>
    <cfRule type="expression" priority="3" aboveAverage="0" equalAverage="0" bottom="0" percent="0" rank="0" text="" dxfId="10">
      <formula>$N4="Đã trả giá"</formula>
    </cfRule>
  </conditionalFormatting>
  <dataValidations count="1">
    <dataValidation allowBlank="true" errorStyle="stop" operator="between" showDropDown="false" showErrorMessage="false" showInputMessage="false" sqref="N4:N203" type="list">
      <formula1>"Mới nhận,Đang hỏi giá,Đã trả giá,Huỷ"</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V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14"/>
    <col collapsed="false" customWidth="true" hidden="false" outlineLevel="0" max="4" min="4" style="0" width="13"/>
    <col collapsed="false" customWidth="true" hidden="false" outlineLevel="0" max="5" min="5" style="0" width="30"/>
    <col collapsed="false" customWidth="true" hidden="false" outlineLevel="0" max="6" min="6" style="0" width="32"/>
    <col collapsed="false" customWidth="true" hidden="false" outlineLevel="0" max="7" min="7" style="0" width="11"/>
    <col collapsed="false" customWidth="true" hidden="false" outlineLevel="0" max="8" min="8" style="0" width="16"/>
    <col collapsed="false" customWidth="true" hidden="false" outlineLevel="0" max="9" min="9" style="0" width="12"/>
    <col collapsed="false" customWidth="true" hidden="false" outlineLevel="0" max="10" min="10" style="0" width="30"/>
    <col collapsed="false" customWidth="true" hidden="false" outlineLevel="0" max="11" min="11" style="0" width="15"/>
    <col collapsed="false" customWidth="true" hidden="false" outlineLevel="0" max="12" min="12" style="0" width="16"/>
    <col collapsed="false" customWidth="true" hidden="false" outlineLevel="0" max="14" min="13" style="0" width="12"/>
    <col collapsed="false" customWidth="true" hidden="false" outlineLevel="0" max="15" min="15" style="0" width="13"/>
    <col collapsed="false" customWidth="true" hidden="false" outlineLevel="0" max="18" min="16" style="0" width="16"/>
    <col collapsed="false" customWidth="true" hidden="false" outlineLevel="0" max="20" min="19" style="0" width="12"/>
    <col collapsed="false" customWidth="true" hidden="false" outlineLevel="0" max="21" min="21" style="0" width="15"/>
    <col collapsed="false" customWidth="true" hidden="false" outlineLevel="0" max="22" min="22" style="0" width="26"/>
  </cols>
  <sheetData>
    <row r="1" customFormat="false" ht="17.35" hidden="false" customHeight="false" outlineLevel="0" collapsed="false">
      <c r="A1" s="30" t="s">
        <v>222</v>
      </c>
    </row>
    <row r="2" customFormat="false" ht="15" hidden="false" customHeight="false" outlineLevel="0" collapsed="false">
      <c r="A2" s="8" t="s">
        <v>223</v>
      </c>
    </row>
    <row r="3" customFormat="false" ht="33.75" hidden="false" customHeight="true" outlineLevel="0" collapsed="false">
      <c r="A3" s="36" t="s">
        <v>224</v>
      </c>
      <c r="B3" s="36" t="s">
        <v>225</v>
      </c>
      <c r="C3" s="36" t="s">
        <v>194</v>
      </c>
      <c r="D3" s="36" t="s">
        <v>116</v>
      </c>
      <c r="E3" s="36" t="s">
        <v>135</v>
      </c>
      <c r="F3" s="36" t="s">
        <v>226</v>
      </c>
      <c r="G3" s="36" t="s">
        <v>227</v>
      </c>
      <c r="H3" s="36" t="s">
        <v>228</v>
      </c>
      <c r="I3" s="36" t="s">
        <v>156</v>
      </c>
      <c r="J3" s="36" t="s">
        <v>229</v>
      </c>
      <c r="K3" s="36" t="s">
        <v>230</v>
      </c>
      <c r="L3" s="36" t="s">
        <v>231</v>
      </c>
      <c r="M3" s="36" t="s">
        <v>232</v>
      </c>
      <c r="N3" s="36" t="s">
        <v>162</v>
      </c>
      <c r="O3" s="36" t="s">
        <v>233</v>
      </c>
      <c r="P3" s="36" t="s">
        <v>234</v>
      </c>
      <c r="Q3" s="36" t="s">
        <v>235</v>
      </c>
      <c r="R3" s="36" t="s">
        <v>210</v>
      </c>
      <c r="S3" s="36" t="s">
        <v>236</v>
      </c>
      <c r="T3" s="36" t="s">
        <v>237</v>
      </c>
      <c r="U3" s="36" t="s">
        <v>238</v>
      </c>
      <c r="V3" s="36" t="s">
        <v>142</v>
      </c>
    </row>
    <row r="4" customFormat="false" ht="15" hidden="false" customHeight="false" outlineLevel="0" collapsed="false">
      <c r="A4" s="32" t="s">
        <v>239</v>
      </c>
      <c r="B4" s="33" t="n">
        <v>46030</v>
      </c>
      <c r="C4" s="32" t="s">
        <v>212</v>
      </c>
      <c r="D4" s="37" t="str">
        <f aca="false">IF($C4="","",IFERROR(INDEX('Check giá'!$C$4:$C$203,MATCH($C4,'Check giá'!$A$4:$A$203,0)),""))</f>
        <v>DA-2026-01</v>
      </c>
      <c r="E4" s="37" t="str">
        <f aca="false">IF($C4="","",IFERROR(INDEX('Check giá'!$D$4:$D$203,MATCH($C4,'Check giá'!$A$4:$A$203,0)),""))</f>
        <v>Nhà máy Bao bì Tân Uyên – Giai đoạn 2</v>
      </c>
      <c r="F4" s="37" t="str">
        <f aca="false">IF($C4="","",IFERROR(INDEX('Check giá'!$F$4:$F$203,MATCH($C4,'Check giá'!$A$4:$A$203,0)),""))</f>
        <v>Thép tấm SS400 dày 10mm (1500x6000)</v>
      </c>
      <c r="G4" s="38" t="n">
        <f aca="false">IF($C4="","",IFERROR(INDEX('Check giá'!$H$4:$H$203,MATCH($C4,'Check giá'!$A$4:$A$203,0)),""))</f>
        <v>200</v>
      </c>
      <c r="H4" s="38" t="n">
        <f aca="false">IF($C4="","",IFERROR(INDEX('Check giá'!$J$4:$J$203,MATCH($C4,'Check giá'!$A$4:$A$203,0)),""))</f>
        <v>250000000</v>
      </c>
      <c r="I4" s="32" t="s">
        <v>166</v>
      </c>
      <c r="J4" s="37" t="str">
        <f aca="false">IF($I4="","",IFERROR(INDEX('Nhà cung cấp'!$B$4:$B$203,MATCH($I4,'Nhà cung cấp'!$A$4:$A$203,0)),""))</f>
        <v>Công ty TNHH Thép Việt An</v>
      </c>
      <c r="K4" s="34" t="n">
        <v>1180000</v>
      </c>
      <c r="L4" s="38" t="n">
        <f aca="false">IF($A4="","",IFERROR($G4*$K4,""))</f>
        <v>236000000</v>
      </c>
      <c r="M4" s="34" t="n">
        <v>20</v>
      </c>
      <c r="N4" s="38" t="n">
        <f aca="false">IF($I4="","",IFERROR(INDEX('Nhà cung cấp'!$G$4:$G$203,MATCH($I4,'Nhà cung cấp'!$A$4:$A$203,0)),""))</f>
        <v>30</v>
      </c>
      <c r="O4" s="33" t="n">
        <v>46061</v>
      </c>
      <c r="P4" s="38" t="n">
        <f aca="false">IF($C4="","",IFERROR(_xlfn.MINIFS($L$4:$L$203,$C$4:$C$203,$C4,$L$4:$L$203,"&gt;0"),""))</f>
        <v>236000000</v>
      </c>
      <c r="Q4" s="38" t="n">
        <f aca="false">IF($A4="","",IFERROR($L4-$P4,""))</f>
        <v>0</v>
      </c>
      <c r="R4" s="38" t="n">
        <f aca="false">IF($A4="","",IFERROR($L4-$H4,""))</f>
        <v>-14000000</v>
      </c>
      <c r="S4" s="39" t="n">
        <f aca="false">IF($A4="","",IFERROR($R4/$H4,""))</f>
        <v>-0.056</v>
      </c>
      <c r="T4" s="32" t="s">
        <v>240</v>
      </c>
      <c r="U4" s="37" t="str">
        <f aca="false">IF($C4="","",IFERROR(INDEX(PR!$A$4:$A$203,MATCH($C4,PR!$C$4:$C$203,0)),""))</f>
        <v>PR-2026-001</v>
      </c>
      <c r="V4" s="35" t="s">
        <v>148</v>
      </c>
    </row>
    <row r="5" customFormat="false" ht="15" hidden="false" customHeight="false" outlineLevel="0" collapsed="false">
      <c r="A5" s="32" t="s">
        <v>241</v>
      </c>
      <c r="B5" s="33" t="n">
        <v>46030</v>
      </c>
      <c r="C5" s="32" t="s">
        <v>212</v>
      </c>
      <c r="D5" s="37" t="str">
        <f aca="false">IF($C5="","",IFERROR(INDEX('Check giá'!$C$4:$C$203,MATCH($C5,'Check giá'!$A$4:$A$203,0)),""))</f>
        <v>DA-2026-01</v>
      </c>
      <c r="E5" s="37" t="str">
        <f aca="false">IF($C5="","",IFERROR(INDEX('Check giá'!$D$4:$D$203,MATCH($C5,'Check giá'!$A$4:$A$203,0)),""))</f>
        <v>Nhà máy Bao bì Tân Uyên – Giai đoạn 2</v>
      </c>
      <c r="F5" s="37" t="str">
        <f aca="false">IF($C5="","",IFERROR(INDEX('Check giá'!$F$4:$F$203,MATCH($C5,'Check giá'!$A$4:$A$203,0)),""))</f>
        <v>Thép tấm SS400 dày 10mm (1500x6000)</v>
      </c>
      <c r="G5" s="38" t="n">
        <f aca="false">IF($C5="","",IFERROR(INDEX('Check giá'!$H$4:$H$203,MATCH($C5,'Check giá'!$A$4:$A$203,0)),""))</f>
        <v>200</v>
      </c>
      <c r="H5" s="38" t="n">
        <f aca="false">IF($C5="","",IFERROR(INDEX('Check giá'!$J$4:$J$203,MATCH($C5,'Check giá'!$A$4:$A$203,0)),""))</f>
        <v>250000000</v>
      </c>
      <c r="I5" s="32" t="s">
        <v>175</v>
      </c>
      <c r="J5" s="37" t="str">
        <f aca="false">IF($I5="","",IFERROR(INDEX('Nhà cung cấp'!$B$4:$B$203,MATCH($I5,'Nhà cung cấp'!$A$4:$A$203,0)),""))</f>
        <v>Công ty CP Vật tư Hoàng Long</v>
      </c>
      <c r="K5" s="34" t="n">
        <v>1205000</v>
      </c>
      <c r="L5" s="38" t="n">
        <f aca="false">IF($A5="","",IFERROR($G5*$K5,""))</f>
        <v>241000000</v>
      </c>
      <c r="M5" s="34" t="n">
        <v>15</v>
      </c>
      <c r="N5" s="38" t="n">
        <f aca="false">IF($I5="","",IFERROR(INDEX('Nhà cung cấp'!$G$4:$G$203,MATCH($I5,'Nhà cung cấp'!$A$4:$A$203,0)),""))</f>
        <v>45</v>
      </c>
      <c r="O5" s="33" t="n">
        <v>46061</v>
      </c>
      <c r="P5" s="38" t="n">
        <f aca="false">IF($C5="","",IFERROR(_xlfn.MINIFS($L$4:$L$203,$C$4:$C$203,$C5,$L$4:$L$203,"&gt;0"),""))</f>
        <v>236000000</v>
      </c>
      <c r="Q5" s="38" t="n">
        <f aca="false">IF($A5="","",IFERROR($L5-$P5,""))</f>
        <v>5000000</v>
      </c>
      <c r="R5" s="38" t="n">
        <f aca="false">IF($A5="","",IFERROR($L5-$H5,""))</f>
        <v>-9000000</v>
      </c>
      <c r="S5" s="39" t="n">
        <f aca="false">IF($A5="","",IFERROR($R5/$H5,""))</f>
        <v>-0.036</v>
      </c>
      <c r="T5" s="32"/>
      <c r="U5" s="37" t="str">
        <f aca="false">IF($C5="","",IFERROR(INDEX(PR!$A$4:$A$203,MATCH($C5,PR!$C$4:$C$203,0)),""))</f>
        <v>PR-2026-001</v>
      </c>
      <c r="V5" s="35" t="s">
        <v>148</v>
      </c>
    </row>
    <row r="6" customFormat="false" ht="15" hidden="false" customHeight="false" outlineLevel="0" collapsed="false">
      <c r="A6" s="32" t="s">
        <v>242</v>
      </c>
      <c r="B6" s="33" t="n">
        <v>46031</v>
      </c>
      <c r="C6" s="32" t="s">
        <v>212</v>
      </c>
      <c r="D6" s="37" t="str">
        <f aca="false">IF($C6="","",IFERROR(INDEX('Check giá'!$C$4:$C$203,MATCH($C6,'Check giá'!$A$4:$A$203,0)),""))</f>
        <v>DA-2026-01</v>
      </c>
      <c r="E6" s="37" t="str">
        <f aca="false">IF($C6="","",IFERROR(INDEX('Check giá'!$D$4:$D$203,MATCH($C6,'Check giá'!$A$4:$A$203,0)),""))</f>
        <v>Nhà máy Bao bì Tân Uyên – Giai đoạn 2</v>
      </c>
      <c r="F6" s="37" t="str">
        <f aca="false">IF($C6="","",IFERROR(INDEX('Check giá'!$F$4:$F$203,MATCH($C6,'Check giá'!$A$4:$A$203,0)),""))</f>
        <v>Thép tấm SS400 dày 10mm (1500x6000)</v>
      </c>
      <c r="G6" s="38" t="n">
        <f aca="false">IF($C6="","",IFERROR(INDEX('Check giá'!$H$4:$H$203,MATCH($C6,'Check giá'!$A$4:$A$203,0)),""))</f>
        <v>200</v>
      </c>
      <c r="H6" s="38" t="n">
        <f aca="false">IF($C6="","",IFERROR(INDEX('Check giá'!$J$4:$J$203,MATCH($C6,'Check giá'!$A$4:$A$203,0)),""))</f>
        <v>250000000</v>
      </c>
      <c r="I6" s="32" t="s">
        <v>184</v>
      </c>
      <c r="J6" s="37" t="str">
        <f aca="false">IF($I6="","",IFERROR(INDEX('Nhà cung cấp'!$B$4:$B$203,MATCH($I6,'Nhà cung cấp'!$A$4:$A$203,0)),""))</f>
        <v>Công ty TNHH TM Đại Phát</v>
      </c>
      <c r="K6" s="34" t="n">
        <v>1320000</v>
      </c>
      <c r="L6" s="38" t="n">
        <f aca="false">IF($A6="","",IFERROR($G6*$K6,""))</f>
        <v>264000000</v>
      </c>
      <c r="M6" s="34" t="n">
        <v>10</v>
      </c>
      <c r="N6" s="38" t="n">
        <f aca="false">IF($I6="","",IFERROR(INDEX('Nhà cung cấp'!$G$4:$G$203,MATCH($I6,'Nhà cung cấp'!$A$4:$A$203,0)),""))</f>
        <v>15</v>
      </c>
      <c r="O6" s="33" t="n">
        <v>46061</v>
      </c>
      <c r="P6" s="38" t="n">
        <f aca="false">IF($C6="","",IFERROR(_xlfn.MINIFS($L$4:$L$203,$C$4:$C$203,$C6,$L$4:$L$203,"&gt;0"),""))</f>
        <v>236000000</v>
      </c>
      <c r="Q6" s="38" t="n">
        <f aca="false">IF($A6="","",IFERROR($L6-$P6,""))</f>
        <v>28000000</v>
      </c>
      <c r="R6" s="38" t="n">
        <f aca="false">IF($A6="","",IFERROR($L6-$H6,""))</f>
        <v>14000000</v>
      </c>
      <c r="S6" s="39" t="n">
        <f aca="false">IF($A6="","",IFERROR($R6/$H6,""))</f>
        <v>0.056</v>
      </c>
      <c r="T6" s="32"/>
      <c r="U6" s="37" t="str">
        <f aca="false">IF($C6="","",IFERROR(INDEX(PR!$A$4:$A$203,MATCH($C6,PR!$C$4:$C$203,0)),""))</f>
        <v>PR-2026-001</v>
      </c>
      <c r="V6" s="35" t="s">
        <v>148</v>
      </c>
    </row>
    <row r="7" customFormat="false" ht="15" hidden="false" customHeight="false" outlineLevel="0" collapsed="false">
      <c r="A7" s="32"/>
      <c r="B7" s="33"/>
      <c r="C7" s="32"/>
      <c r="D7" s="37" t="str">
        <f aca="false">IF($C7="","",IFERROR(INDEX('Check giá'!$C$4:$C$203,MATCH($C7,'Check giá'!$A$4:$A$203,0)),""))</f>
        <v/>
      </c>
      <c r="E7" s="37" t="str">
        <f aca="false">IF($C7="","",IFERROR(INDEX('Check giá'!$D$4:$D$203,MATCH($C7,'Check giá'!$A$4:$A$203,0)),""))</f>
        <v/>
      </c>
      <c r="F7" s="37" t="str">
        <f aca="false">IF($C7="","",IFERROR(INDEX('Check giá'!$F$4:$F$203,MATCH($C7,'Check giá'!$A$4:$A$203,0)),""))</f>
        <v/>
      </c>
      <c r="G7" s="38" t="str">
        <f aca="false">IF($C7="","",IFERROR(INDEX('Check giá'!$H$4:$H$203,MATCH($C7,'Check giá'!$A$4:$A$203,0)),""))</f>
        <v/>
      </c>
      <c r="H7" s="38" t="str">
        <f aca="false">IF($C7="","",IFERROR(INDEX('Check giá'!$J$4:$J$203,MATCH($C7,'Check giá'!$A$4:$A$203,0)),""))</f>
        <v/>
      </c>
      <c r="I7" s="32"/>
      <c r="J7" s="37" t="str">
        <f aca="false">IF($I7="","",IFERROR(INDEX('Nhà cung cấp'!$B$4:$B$203,MATCH($I7,'Nhà cung cấp'!$A$4:$A$203,0)),""))</f>
        <v/>
      </c>
      <c r="K7" s="34"/>
      <c r="L7" s="38" t="str">
        <f aca="false">IF($A7="","",IFERROR($G7*$K7,""))</f>
        <v/>
      </c>
      <c r="M7" s="34"/>
      <c r="N7" s="38" t="str">
        <f aca="false">IF($I7="","",IFERROR(INDEX('Nhà cung cấp'!$G$4:$G$203,MATCH($I7,'Nhà cung cấp'!$A$4:$A$203,0)),""))</f>
        <v/>
      </c>
      <c r="O7" s="33"/>
      <c r="P7" s="38" t="str">
        <f aca="false">IF($C7="","",IFERROR(_xlfn.MINIFS($L$4:$L$203,$C$4:$C$203,$C7,$L$4:$L$203,"&gt;0"),""))</f>
        <v/>
      </c>
      <c r="Q7" s="38" t="str">
        <f aca="false">IF($A7="","",IFERROR($L7-$P7,""))</f>
        <v/>
      </c>
      <c r="R7" s="38" t="str">
        <f aca="false">IF($A7="","",IFERROR($L7-$H7,""))</f>
        <v/>
      </c>
      <c r="S7" s="39" t="str">
        <f aca="false">IF($A7="","",IFERROR($R7/$H7,""))</f>
        <v/>
      </c>
      <c r="T7" s="32"/>
      <c r="U7" s="37" t="str">
        <f aca="false">IF($C7="","",IFERROR(INDEX(PR!$A$4:$A$203,MATCH($C7,PR!$C$4:$C$203,0)),""))</f>
        <v/>
      </c>
      <c r="V7" s="32"/>
    </row>
    <row r="8" customFormat="false" ht="15" hidden="false" customHeight="false" outlineLevel="0" collapsed="false">
      <c r="A8" s="32"/>
      <c r="B8" s="33"/>
      <c r="C8" s="32"/>
      <c r="D8" s="37" t="str">
        <f aca="false">IF($C8="","",IFERROR(INDEX('Check giá'!$C$4:$C$203,MATCH($C8,'Check giá'!$A$4:$A$203,0)),""))</f>
        <v/>
      </c>
      <c r="E8" s="37" t="str">
        <f aca="false">IF($C8="","",IFERROR(INDEX('Check giá'!$D$4:$D$203,MATCH($C8,'Check giá'!$A$4:$A$203,0)),""))</f>
        <v/>
      </c>
      <c r="F8" s="37" t="str">
        <f aca="false">IF($C8="","",IFERROR(INDEX('Check giá'!$F$4:$F$203,MATCH($C8,'Check giá'!$A$4:$A$203,0)),""))</f>
        <v/>
      </c>
      <c r="G8" s="38" t="str">
        <f aca="false">IF($C8="","",IFERROR(INDEX('Check giá'!$H$4:$H$203,MATCH($C8,'Check giá'!$A$4:$A$203,0)),""))</f>
        <v/>
      </c>
      <c r="H8" s="38" t="str">
        <f aca="false">IF($C8="","",IFERROR(INDEX('Check giá'!$J$4:$J$203,MATCH($C8,'Check giá'!$A$4:$A$203,0)),""))</f>
        <v/>
      </c>
      <c r="I8" s="32"/>
      <c r="J8" s="37" t="str">
        <f aca="false">IF($I8="","",IFERROR(INDEX('Nhà cung cấp'!$B$4:$B$203,MATCH($I8,'Nhà cung cấp'!$A$4:$A$203,0)),""))</f>
        <v/>
      </c>
      <c r="K8" s="34"/>
      <c r="L8" s="38" t="str">
        <f aca="false">IF($A8="","",IFERROR($G8*$K8,""))</f>
        <v/>
      </c>
      <c r="M8" s="34"/>
      <c r="N8" s="38" t="str">
        <f aca="false">IF($I8="","",IFERROR(INDEX('Nhà cung cấp'!$G$4:$G$203,MATCH($I8,'Nhà cung cấp'!$A$4:$A$203,0)),""))</f>
        <v/>
      </c>
      <c r="O8" s="33"/>
      <c r="P8" s="38" t="str">
        <f aca="false">IF($C8="","",IFERROR(_xlfn.MINIFS($L$4:$L$203,$C$4:$C$203,$C8,$L$4:$L$203,"&gt;0"),""))</f>
        <v/>
      </c>
      <c r="Q8" s="38" t="str">
        <f aca="false">IF($A8="","",IFERROR($L8-$P8,""))</f>
        <v/>
      </c>
      <c r="R8" s="38" t="str">
        <f aca="false">IF($A8="","",IFERROR($L8-$H8,""))</f>
        <v/>
      </c>
      <c r="S8" s="39" t="str">
        <f aca="false">IF($A8="","",IFERROR($R8/$H8,""))</f>
        <v/>
      </c>
      <c r="T8" s="32"/>
      <c r="U8" s="37" t="str">
        <f aca="false">IF($C8="","",IFERROR(INDEX(PR!$A$4:$A$203,MATCH($C8,PR!$C$4:$C$203,0)),""))</f>
        <v/>
      </c>
      <c r="V8" s="32"/>
    </row>
    <row r="9" customFormat="false" ht="15" hidden="false" customHeight="false" outlineLevel="0" collapsed="false">
      <c r="A9" s="32"/>
      <c r="B9" s="33"/>
      <c r="C9" s="32"/>
      <c r="D9" s="37" t="str">
        <f aca="false">IF($C9="","",IFERROR(INDEX('Check giá'!$C$4:$C$203,MATCH($C9,'Check giá'!$A$4:$A$203,0)),""))</f>
        <v/>
      </c>
      <c r="E9" s="37" t="str">
        <f aca="false">IF($C9="","",IFERROR(INDEX('Check giá'!$D$4:$D$203,MATCH($C9,'Check giá'!$A$4:$A$203,0)),""))</f>
        <v/>
      </c>
      <c r="F9" s="37" t="str">
        <f aca="false">IF($C9="","",IFERROR(INDEX('Check giá'!$F$4:$F$203,MATCH($C9,'Check giá'!$A$4:$A$203,0)),""))</f>
        <v/>
      </c>
      <c r="G9" s="38" t="str">
        <f aca="false">IF($C9="","",IFERROR(INDEX('Check giá'!$H$4:$H$203,MATCH($C9,'Check giá'!$A$4:$A$203,0)),""))</f>
        <v/>
      </c>
      <c r="H9" s="38" t="str">
        <f aca="false">IF($C9="","",IFERROR(INDEX('Check giá'!$J$4:$J$203,MATCH($C9,'Check giá'!$A$4:$A$203,0)),""))</f>
        <v/>
      </c>
      <c r="I9" s="32"/>
      <c r="J9" s="37" t="str">
        <f aca="false">IF($I9="","",IFERROR(INDEX('Nhà cung cấp'!$B$4:$B$203,MATCH($I9,'Nhà cung cấp'!$A$4:$A$203,0)),""))</f>
        <v/>
      </c>
      <c r="K9" s="34"/>
      <c r="L9" s="38" t="str">
        <f aca="false">IF($A9="","",IFERROR($G9*$K9,""))</f>
        <v/>
      </c>
      <c r="M9" s="34"/>
      <c r="N9" s="38" t="str">
        <f aca="false">IF($I9="","",IFERROR(INDEX('Nhà cung cấp'!$G$4:$G$203,MATCH($I9,'Nhà cung cấp'!$A$4:$A$203,0)),""))</f>
        <v/>
      </c>
      <c r="O9" s="33"/>
      <c r="P9" s="38" t="str">
        <f aca="false">IF($C9="","",IFERROR(_xlfn.MINIFS($L$4:$L$203,$C$4:$C$203,$C9,$L$4:$L$203,"&gt;0"),""))</f>
        <v/>
      </c>
      <c r="Q9" s="38" t="str">
        <f aca="false">IF($A9="","",IFERROR($L9-$P9,""))</f>
        <v/>
      </c>
      <c r="R9" s="38" t="str">
        <f aca="false">IF($A9="","",IFERROR($L9-$H9,""))</f>
        <v/>
      </c>
      <c r="S9" s="39" t="str">
        <f aca="false">IF($A9="","",IFERROR($R9/$H9,""))</f>
        <v/>
      </c>
      <c r="T9" s="32"/>
      <c r="U9" s="37" t="str">
        <f aca="false">IF($C9="","",IFERROR(INDEX(PR!$A$4:$A$203,MATCH($C9,PR!$C$4:$C$203,0)),""))</f>
        <v/>
      </c>
      <c r="V9" s="32"/>
    </row>
    <row r="10" customFormat="false" ht="15" hidden="false" customHeight="false" outlineLevel="0" collapsed="false">
      <c r="A10" s="32"/>
      <c r="B10" s="33"/>
      <c r="C10" s="32"/>
      <c r="D10" s="37" t="str">
        <f aca="false">IF($C10="","",IFERROR(INDEX('Check giá'!$C$4:$C$203,MATCH($C10,'Check giá'!$A$4:$A$203,0)),""))</f>
        <v/>
      </c>
      <c r="E10" s="37" t="str">
        <f aca="false">IF($C10="","",IFERROR(INDEX('Check giá'!$D$4:$D$203,MATCH($C10,'Check giá'!$A$4:$A$203,0)),""))</f>
        <v/>
      </c>
      <c r="F10" s="37" t="str">
        <f aca="false">IF($C10="","",IFERROR(INDEX('Check giá'!$F$4:$F$203,MATCH($C10,'Check giá'!$A$4:$A$203,0)),""))</f>
        <v/>
      </c>
      <c r="G10" s="38" t="str">
        <f aca="false">IF($C10="","",IFERROR(INDEX('Check giá'!$H$4:$H$203,MATCH($C10,'Check giá'!$A$4:$A$203,0)),""))</f>
        <v/>
      </c>
      <c r="H10" s="38" t="str">
        <f aca="false">IF($C10="","",IFERROR(INDEX('Check giá'!$J$4:$J$203,MATCH($C10,'Check giá'!$A$4:$A$203,0)),""))</f>
        <v/>
      </c>
      <c r="I10" s="32"/>
      <c r="J10" s="37" t="str">
        <f aca="false">IF($I10="","",IFERROR(INDEX('Nhà cung cấp'!$B$4:$B$203,MATCH($I10,'Nhà cung cấp'!$A$4:$A$203,0)),""))</f>
        <v/>
      </c>
      <c r="K10" s="34"/>
      <c r="L10" s="38" t="str">
        <f aca="false">IF($A10="","",IFERROR($G10*$K10,""))</f>
        <v/>
      </c>
      <c r="M10" s="34"/>
      <c r="N10" s="38" t="str">
        <f aca="false">IF($I10="","",IFERROR(INDEX('Nhà cung cấp'!$G$4:$G$203,MATCH($I10,'Nhà cung cấp'!$A$4:$A$203,0)),""))</f>
        <v/>
      </c>
      <c r="O10" s="33"/>
      <c r="P10" s="38" t="str">
        <f aca="false">IF($C10="","",IFERROR(_xlfn.MINIFS($L$4:$L$203,$C$4:$C$203,$C10,$L$4:$L$203,"&gt;0"),""))</f>
        <v/>
      </c>
      <c r="Q10" s="38" t="str">
        <f aca="false">IF($A10="","",IFERROR($L10-$P10,""))</f>
        <v/>
      </c>
      <c r="R10" s="38" t="str">
        <f aca="false">IF($A10="","",IFERROR($L10-$H10,""))</f>
        <v/>
      </c>
      <c r="S10" s="39" t="str">
        <f aca="false">IF($A10="","",IFERROR($R10/$H10,""))</f>
        <v/>
      </c>
      <c r="T10" s="32"/>
      <c r="U10" s="37" t="str">
        <f aca="false">IF($C10="","",IFERROR(INDEX(PR!$A$4:$A$203,MATCH($C10,PR!$C$4:$C$203,0)),""))</f>
        <v/>
      </c>
      <c r="V10" s="32"/>
    </row>
    <row r="11" customFormat="false" ht="15" hidden="false" customHeight="false" outlineLevel="0" collapsed="false">
      <c r="A11" s="32"/>
      <c r="B11" s="33"/>
      <c r="C11" s="32"/>
      <c r="D11" s="37" t="str">
        <f aca="false">IF($C11="","",IFERROR(INDEX('Check giá'!$C$4:$C$203,MATCH($C11,'Check giá'!$A$4:$A$203,0)),""))</f>
        <v/>
      </c>
      <c r="E11" s="37" t="str">
        <f aca="false">IF($C11="","",IFERROR(INDEX('Check giá'!$D$4:$D$203,MATCH($C11,'Check giá'!$A$4:$A$203,0)),""))</f>
        <v/>
      </c>
      <c r="F11" s="37" t="str">
        <f aca="false">IF($C11="","",IFERROR(INDEX('Check giá'!$F$4:$F$203,MATCH($C11,'Check giá'!$A$4:$A$203,0)),""))</f>
        <v/>
      </c>
      <c r="G11" s="38" t="str">
        <f aca="false">IF($C11="","",IFERROR(INDEX('Check giá'!$H$4:$H$203,MATCH($C11,'Check giá'!$A$4:$A$203,0)),""))</f>
        <v/>
      </c>
      <c r="H11" s="38" t="str">
        <f aca="false">IF($C11="","",IFERROR(INDEX('Check giá'!$J$4:$J$203,MATCH($C11,'Check giá'!$A$4:$A$203,0)),""))</f>
        <v/>
      </c>
      <c r="I11" s="32"/>
      <c r="J11" s="37" t="str">
        <f aca="false">IF($I11="","",IFERROR(INDEX('Nhà cung cấp'!$B$4:$B$203,MATCH($I11,'Nhà cung cấp'!$A$4:$A$203,0)),""))</f>
        <v/>
      </c>
      <c r="K11" s="34"/>
      <c r="L11" s="38" t="str">
        <f aca="false">IF($A11="","",IFERROR($G11*$K11,""))</f>
        <v/>
      </c>
      <c r="M11" s="34"/>
      <c r="N11" s="38" t="str">
        <f aca="false">IF($I11="","",IFERROR(INDEX('Nhà cung cấp'!$G$4:$G$203,MATCH($I11,'Nhà cung cấp'!$A$4:$A$203,0)),""))</f>
        <v/>
      </c>
      <c r="O11" s="33"/>
      <c r="P11" s="38" t="str">
        <f aca="false">IF($C11="","",IFERROR(_xlfn.MINIFS($L$4:$L$203,$C$4:$C$203,$C11,$L$4:$L$203,"&gt;0"),""))</f>
        <v/>
      </c>
      <c r="Q11" s="38" t="str">
        <f aca="false">IF($A11="","",IFERROR($L11-$P11,""))</f>
        <v/>
      </c>
      <c r="R11" s="38" t="str">
        <f aca="false">IF($A11="","",IFERROR($L11-$H11,""))</f>
        <v/>
      </c>
      <c r="S11" s="39" t="str">
        <f aca="false">IF($A11="","",IFERROR($R11/$H11,""))</f>
        <v/>
      </c>
      <c r="T11" s="32"/>
      <c r="U11" s="37" t="str">
        <f aca="false">IF($C11="","",IFERROR(INDEX(PR!$A$4:$A$203,MATCH($C11,PR!$C$4:$C$203,0)),""))</f>
        <v/>
      </c>
      <c r="V11" s="32"/>
    </row>
    <row r="12" customFormat="false" ht="15" hidden="false" customHeight="false" outlineLevel="0" collapsed="false">
      <c r="A12" s="32"/>
      <c r="B12" s="33"/>
      <c r="C12" s="32"/>
      <c r="D12" s="37" t="str">
        <f aca="false">IF($C12="","",IFERROR(INDEX('Check giá'!$C$4:$C$203,MATCH($C12,'Check giá'!$A$4:$A$203,0)),""))</f>
        <v/>
      </c>
      <c r="E12" s="37" t="str">
        <f aca="false">IF($C12="","",IFERROR(INDEX('Check giá'!$D$4:$D$203,MATCH($C12,'Check giá'!$A$4:$A$203,0)),""))</f>
        <v/>
      </c>
      <c r="F12" s="37" t="str">
        <f aca="false">IF($C12="","",IFERROR(INDEX('Check giá'!$F$4:$F$203,MATCH($C12,'Check giá'!$A$4:$A$203,0)),""))</f>
        <v/>
      </c>
      <c r="G12" s="38" t="str">
        <f aca="false">IF($C12="","",IFERROR(INDEX('Check giá'!$H$4:$H$203,MATCH($C12,'Check giá'!$A$4:$A$203,0)),""))</f>
        <v/>
      </c>
      <c r="H12" s="38" t="str">
        <f aca="false">IF($C12="","",IFERROR(INDEX('Check giá'!$J$4:$J$203,MATCH($C12,'Check giá'!$A$4:$A$203,0)),""))</f>
        <v/>
      </c>
      <c r="I12" s="32"/>
      <c r="J12" s="37" t="str">
        <f aca="false">IF($I12="","",IFERROR(INDEX('Nhà cung cấp'!$B$4:$B$203,MATCH($I12,'Nhà cung cấp'!$A$4:$A$203,0)),""))</f>
        <v/>
      </c>
      <c r="K12" s="34"/>
      <c r="L12" s="38" t="str">
        <f aca="false">IF($A12="","",IFERROR($G12*$K12,""))</f>
        <v/>
      </c>
      <c r="M12" s="34"/>
      <c r="N12" s="38" t="str">
        <f aca="false">IF($I12="","",IFERROR(INDEX('Nhà cung cấp'!$G$4:$G$203,MATCH($I12,'Nhà cung cấp'!$A$4:$A$203,0)),""))</f>
        <v/>
      </c>
      <c r="O12" s="33"/>
      <c r="P12" s="38" t="str">
        <f aca="false">IF($C12="","",IFERROR(_xlfn.MINIFS($L$4:$L$203,$C$4:$C$203,$C12,$L$4:$L$203,"&gt;0"),""))</f>
        <v/>
      </c>
      <c r="Q12" s="38" t="str">
        <f aca="false">IF($A12="","",IFERROR($L12-$P12,""))</f>
        <v/>
      </c>
      <c r="R12" s="38" t="str">
        <f aca="false">IF($A12="","",IFERROR($L12-$H12,""))</f>
        <v/>
      </c>
      <c r="S12" s="39" t="str">
        <f aca="false">IF($A12="","",IFERROR($R12/$H12,""))</f>
        <v/>
      </c>
      <c r="T12" s="32"/>
      <c r="U12" s="37" t="str">
        <f aca="false">IF($C12="","",IFERROR(INDEX(PR!$A$4:$A$203,MATCH($C12,PR!$C$4:$C$203,0)),""))</f>
        <v/>
      </c>
      <c r="V12" s="32"/>
    </row>
    <row r="13" customFormat="false" ht="15" hidden="false" customHeight="false" outlineLevel="0" collapsed="false">
      <c r="A13" s="32"/>
      <c r="B13" s="33"/>
      <c r="C13" s="32"/>
      <c r="D13" s="37" t="str">
        <f aca="false">IF($C13="","",IFERROR(INDEX('Check giá'!$C$4:$C$203,MATCH($C13,'Check giá'!$A$4:$A$203,0)),""))</f>
        <v/>
      </c>
      <c r="E13" s="37" t="str">
        <f aca="false">IF($C13="","",IFERROR(INDEX('Check giá'!$D$4:$D$203,MATCH($C13,'Check giá'!$A$4:$A$203,0)),""))</f>
        <v/>
      </c>
      <c r="F13" s="37" t="str">
        <f aca="false">IF($C13="","",IFERROR(INDEX('Check giá'!$F$4:$F$203,MATCH($C13,'Check giá'!$A$4:$A$203,0)),""))</f>
        <v/>
      </c>
      <c r="G13" s="38" t="str">
        <f aca="false">IF($C13="","",IFERROR(INDEX('Check giá'!$H$4:$H$203,MATCH($C13,'Check giá'!$A$4:$A$203,0)),""))</f>
        <v/>
      </c>
      <c r="H13" s="38" t="str">
        <f aca="false">IF($C13="","",IFERROR(INDEX('Check giá'!$J$4:$J$203,MATCH($C13,'Check giá'!$A$4:$A$203,0)),""))</f>
        <v/>
      </c>
      <c r="I13" s="32"/>
      <c r="J13" s="37" t="str">
        <f aca="false">IF($I13="","",IFERROR(INDEX('Nhà cung cấp'!$B$4:$B$203,MATCH($I13,'Nhà cung cấp'!$A$4:$A$203,0)),""))</f>
        <v/>
      </c>
      <c r="K13" s="34"/>
      <c r="L13" s="38" t="str">
        <f aca="false">IF($A13="","",IFERROR($G13*$K13,""))</f>
        <v/>
      </c>
      <c r="M13" s="34"/>
      <c r="N13" s="38" t="str">
        <f aca="false">IF($I13="","",IFERROR(INDEX('Nhà cung cấp'!$G$4:$G$203,MATCH($I13,'Nhà cung cấp'!$A$4:$A$203,0)),""))</f>
        <v/>
      </c>
      <c r="O13" s="33"/>
      <c r="P13" s="38" t="str">
        <f aca="false">IF($C13="","",IFERROR(_xlfn.MINIFS($L$4:$L$203,$C$4:$C$203,$C13,$L$4:$L$203,"&gt;0"),""))</f>
        <v/>
      </c>
      <c r="Q13" s="38" t="str">
        <f aca="false">IF($A13="","",IFERROR($L13-$P13,""))</f>
        <v/>
      </c>
      <c r="R13" s="38" t="str">
        <f aca="false">IF($A13="","",IFERROR($L13-$H13,""))</f>
        <v/>
      </c>
      <c r="S13" s="39" t="str">
        <f aca="false">IF($A13="","",IFERROR($R13/$H13,""))</f>
        <v/>
      </c>
      <c r="T13" s="32"/>
      <c r="U13" s="37" t="str">
        <f aca="false">IF($C13="","",IFERROR(INDEX(PR!$A$4:$A$203,MATCH($C13,PR!$C$4:$C$203,0)),""))</f>
        <v/>
      </c>
      <c r="V13" s="32"/>
    </row>
    <row r="14" customFormat="false" ht="15" hidden="false" customHeight="false" outlineLevel="0" collapsed="false">
      <c r="A14" s="32"/>
      <c r="B14" s="33"/>
      <c r="C14" s="32"/>
      <c r="D14" s="37" t="str">
        <f aca="false">IF($C14="","",IFERROR(INDEX('Check giá'!$C$4:$C$203,MATCH($C14,'Check giá'!$A$4:$A$203,0)),""))</f>
        <v/>
      </c>
      <c r="E14" s="37" t="str">
        <f aca="false">IF($C14="","",IFERROR(INDEX('Check giá'!$D$4:$D$203,MATCH($C14,'Check giá'!$A$4:$A$203,0)),""))</f>
        <v/>
      </c>
      <c r="F14" s="37" t="str">
        <f aca="false">IF($C14="","",IFERROR(INDEX('Check giá'!$F$4:$F$203,MATCH($C14,'Check giá'!$A$4:$A$203,0)),""))</f>
        <v/>
      </c>
      <c r="G14" s="38" t="str">
        <f aca="false">IF($C14="","",IFERROR(INDEX('Check giá'!$H$4:$H$203,MATCH($C14,'Check giá'!$A$4:$A$203,0)),""))</f>
        <v/>
      </c>
      <c r="H14" s="38" t="str">
        <f aca="false">IF($C14="","",IFERROR(INDEX('Check giá'!$J$4:$J$203,MATCH($C14,'Check giá'!$A$4:$A$203,0)),""))</f>
        <v/>
      </c>
      <c r="I14" s="32"/>
      <c r="J14" s="37" t="str">
        <f aca="false">IF($I14="","",IFERROR(INDEX('Nhà cung cấp'!$B$4:$B$203,MATCH($I14,'Nhà cung cấp'!$A$4:$A$203,0)),""))</f>
        <v/>
      </c>
      <c r="K14" s="34"/>
      <c r="L14" s="38" t="str">
        <f aca="false">IF($A14="","",IFERROR($G14*$K14,""))</f>
        <v/>
      </c>
      <c r="M14" s="34"/>
      <c r="N14" s="38" t="str">
        <f aca="false">IF($I14="","",IFERROR(INDEX('Nhà cung cấp'!$G$4:$G$203,MATCH($I14,'Nhà cung cấp'!$A$4:$A$203,0)),""))</f>
        <v/>
      </c>
      <c r="O14" s="33"/>
      <c r="P14" s="38" t="str">
        <f aca="false">IF($C14="","",IFERROR(_xlfn.MINIFS($L$4:$L$203,$C$4:$C$203,$C14,$L$4:$L$203,"&gt;0"),""))</f>
        <v/>
      </c>
      <c r="Q14" s="38" t="str">
        <f aca="false">IF($A14="","",IFERROR($L14-$P14,""))</f>
        <v/>
      </c>
      <c r="R14" s="38" t="str">
        <f aca="false">IF($A14="","",IFERROR($L14-$H14,""))</f>
        <v/>
      </c>
      <c r="S14" s="39" t="str">
        <f aca="false">IF($A14="","",IFERROR($R14/$H14,""))</f>
        <v/>
      </c>
      <c r="T14" s="32"/>
      <c r="U14" s="37" t="str">
        <f aca="false">IF($C14="","",IFERROR(INDEX(PR!$A$4:$A$203,MATCH($C14,PR!$C$4:$C$203,0)),""))</f>
        <v/>
      </c>
      <c r="V14" s="32"/>
    </row>
    <row r="15" customFormat="false" ht="15" hidden="false" customHeight="false" outlineLevel="0" collapsed="false">
      <c r="A15" s="32"/>
      <c r="B15" s="33"/>
      <c r="C15" s="32"/>
      <c r="D15" s="37" t="str">
        <f aca="false">IF($C15="","",IFERROR(INDEX('Check giá'!$C$4:$C$203,MATCH($C15,'Check giá'!$A$4:$A$203,0)),""))</f>
        <v/>
      </c>
      <c r="E15" s="37" t="str">
        <f aca="false">IF($C15="","",IFERROR(INDEX('Check giá'!$D$4:$D$203,MATCH($C15,'Check giá'!$A$4:$A$203,0)),""))</f>
        <v/>
      </c>
      <c r="F15" s="37" t="str">
        <f aca="false">IF($C15="","",IFERROR(INDEX('Check giá'!$F$4:$F$203,MATCH($C15,'Check giá'!$A$4:$A$203,0)),""))</f>
        <v/>
      </c>
      <c r="G15" s="38" t="str">
        <f aca="false">IF($C15="","",IFERROR(INDEX('Check giá'!$H$4:$H$203,MATCH($C15,'Check giá'!$A$4:$A$203,0)),""))</f>
        <v/>
      </c>
      <c r="H15" s="38" t="str">
        <f aca="false">IF($C15="","",IFERROR(INDEX('Check giá'!$J$4:$J$203,MATCH($C15,'Check giá'!$A$4:$A$203,0)),""))</f>
        <v/>
      </c>
      <c r="I15" s="32"/>
      <c r="J15" s="37" t="str">
        <f aca="false">IF($I15="","",IFERROR(INDEX('Nhà cung cấp'!$B$4:$B$203,MATCH($I15,'Nhà cung cấp'!$A$4:$A$203,0)),""))</f>
        <v/>
      </c>
      <c r="K15" s="34"/>
      <c r="L15" s="38" t="str">
        <f aca="false">IF($A15="","",IFERROR($G15*$K15,""))</f>
        <v/>
      </c>
      <c r="M15" s="34"/>
      <c r="N15" s="38" t="str">
        <f aca="false">IF($I15="","",IFERROR(INDEX('Nhà cung cấp'!$G$4:$G$203,MATCH($I15,'Nhà cung cấp'!$A$4:$A$203,0)),""))</f>
        <v/>
      </c>
      <c r="O15" s="33"/>
      <c r="P15" s="38" t="str">
        <f aca="false">IF($C15="","",IFERROR(_xlfn.MINIFS($L$4:$L$203,$C$4:$C$203,$C15,$L$4:$L$203,"&gt;0"),""))</f>
        <v/>
      </c>
      <c r="Q15" s="38" t="str">
        <f aca="false">IF($A15="","",IFERROR($L15-$P15,""))</f>
        <v/>
      </c>
      <c r="R15" s="38" t="str">
        <f aca="false">IF($A15="","",IFERROR($L15-$H15,""))</f>
        <v/>
      </c>
      <c r="S15" s="39" t="str">
        <f aca="false">IF($A15="","",IFERROR($R15/$H15,""))</f>
        <v/>
      </c>
      <c r="T15" s="32"/>
      <c r="U15" s="37" t="str">
        <f aca="false">IF($C15="","",IFERROR(INDEX(PR!$A$4:$A$203,MATCH($C15,PR!$C$4:$C$203,0)),""))</f>
        <v/>
      </c>
      <c r="V15" s="32"/>
    </row>
    <row r="16" customFormat="false" ht="15" hidden="false" customHeight="false" outlineLevel="0" collapsed="false">
      <c r="A16" s="32"/>
      <c r="B16" s="33"/>
      <c r="C16" s="32"/>
      <c r="D16" s="37" t="str">
        <f aca="false">IF($C16="","",IFERROR(INDEX('Check giá'!$C$4:$C$203,MATCH($C16,'Check giá'!$A$4:$A$203,0)),""))</f>
        <v/>
      </c>
      <c r="E16" s="37" t="str">
        <f aca="false">IF($C16="","",IFERROR(INDEX('Check giá'!$D$4:$D$203,MATCH($C16,'Check giá'!$A$4:$A$203,0)),""))</f>
        <v/>
      </c>
      <c r="F16" s="37" t="str">
        <f aca="false">IF($C16="","",IFERROR(INDEX('Check giá'!$F$4:$F$203,MATCH($C16,'Check giá'!$A$4:$A$203,0)),""))</f>
        <v/>
      </c>
      <c r="G16" s="38" t="str">
        <f aca="false">IF($C16="","",IFERROR(INDEX('Check giá'!$H$4:$H$203,MATCH($C16,'Check giá'!$A$4:$A$203,0)),""))</f>
        <v/>
      </c>
      <c r="H16" s="38" t="str">
        <f aca="false">IF($C16="","",IFERROR(INDEX('Check giá'!$J$4:$J$203,MATCH($C16,'Check giá'!$A$4:$A$203,0)),""))</f>
        <v/>
      </c>
      <c r="I16" s="32"/>
      <c r="J16" s="37" t="str">
        <f aca="false">IF($I16="","",IFERROR(INDEX('Nhà cung cấp'!$B$4:$B$203,MATCH($I16,'Nhà cung cấp'!$A$4:$A$203,0)),""))</f>
        <v/>
      </c>
      <c r="K16" s="34"/>
      <c r="L16" s="38" t="str">
        <f aca="false">IF($A16="","",IFERROR($G16*$K16,""))</f>
        <v/>
      </c>
      <c r="M16" s="34"/>
      <c r="N16" s="38" t="str">
        <f aca="false">IF($I16="","",IFERROR(INDEX('Nhà cung cấp'!$G$4:$G$203,MATCH($I16,'Nhà cung cấp'!$A$4:$A$203,0)),""))</f>
        <v/>
      </c>
      <c r="O16" s="33"/>
      <c r="P16" s="38" t="str">
        <f aca="false">IF($C16="","",IFERROR(_xlfn.MINIFS($L$4:$L$203,$C$4:$C$203,$C16,$L$4:$L$203,"&gt;0"),""))</f>
        <v/>
      </c>
      <c r="Q16" s="38" t="str">
        <f aca="false">IF($A16="","",IFERROR($L16-$P16,""))</f>
        <v/>
      </c>
      <c r="R16" s="38" t="str">
        <f aca="false">IF($A16="","",IFERROR($L16-$H16,""))</f>
        <v/>
      </c>
      <c r="S16" s="39" t="str">
        <f aca="false">IF($A16="","",IFERROR($R16/$H16,""))</f>
        <v/>
      </c>
      <c r="T16" s="32"/>
      <c r="U16" s="37" t="str">
        <f aca="false">IF($C16="","",IFERROR(INDEX(PR!$A$4:$A$203,MATCH($C16,PR!$C$4:$C$203,0)),""))</f>
        <v/>
      </c>
      <c r="V16" s="32"/>
    </row>
    <row r="17" customFormat="false" ht="15" hidden="false" customHeight="false" outlineLevel="0" collapsed="false">
      <c r="A17" s="32"/>
      <c r="B17" s="33"/>
      <c r="C17" s="32"/>
      <c r="D17" s="37" t="str">
        <f aca="false">IF($C17="","",IFERROR(INDEX('Check giá'!$C$4:$C$203,MATCH($C17,'Check giá'!$A$4:$A$203,0)),""))</f>
        <v/>
      </c>
      <c r="E17" s="37" t="str">
        <f aca="false">IF($C17="","",IFERROR(INDEX('Check giá'!$D$4:$D$203,MATCH($C17,'Check giá'!$A$4:$A$203,0)),""))</f>
        <v/>
      </c>
      <c r="F17" s="37" t="str">
        <f aca="false">IF($C17="","",IFERROR(INDEX('Check giá'!$F$4:$F$203,MATCH($C17,'Check giá'!$A$4:$A$203,0)),""))</f>
        <v/>
      </c>
      <c r="G17" s="38" t="str">
        <f aca="false">IF($C17="","",IFERROR(INDEX('Check giá'!$H$4:$H$203,MATCH($C17,'Check giá'!$A$4:$A$203,0)),""))</f>
        <v/>
      </c>
      <c r="H17" s="38" t="str">
        <f aca="false">IF($C17="","",IFERROR(INDEX('Check giá'!$J$4:$J$203,MATCH($C17,'Check giá'!$A$4:$A$203,0)),""))</f>
        <v/>
      </c>
      <c r="I17" s="32"/>
      <c r="J17" s="37" t="str">
        <f aca="false">IF($I17="","",IFERROR(INDEX('Nhà cung cấp'!$B$4:$B$203,MATCH($I17,'Nhà cung cấp'!$A$4:$A$203,0)),""))</f>
        <v/>
      </c>
      <c r="K17" s="34"/>
      <c r="L17" s="38" t="str">
        <f aca="false">IF($A17="","",IFERROR($G17*$K17,""))</f>
        <v/>
      </c>
      <c r="M17" s="34"/>
      <c r="N17" s="38" t="str">
        <f aca="false">IF($I17="","",IFERROR(INDEX('Nhà cung cấp'!$G$4:$G$203,MATCH($I17,'Nhà cung cấp'!$A$4:$A$203,0)),""))</f>
        <v/>
      </c>
      <c r="O17" s="33"/>
      <c r="P17" s="38" t="str">
        <f aca="false">IF($C17="","",IFERROR(_xlfn.MINIFS($L$4:$L$203,$C$4:$C$203,$C17,$L$4:$L$203,"&gt;0"),""))</f>
        <v/>
      </c>
      <c r="Q17" s="38" t="str">
        <f aca="false">IF($A17="","",IFERROR($L17-$P17,""))</f>
        <v/>
      </c>
      <c r="R17" s="38" t="str">
        <f aca="false">IF($A17="","",IFERROR($L17-$H17,""))</f>
        <v/>
      </c>
      <c r="S17" s="39" t="str">
        <f aca="false">IF($A17="","",IFERROR($R17/$H17,""))</f>
        <v/>
      </c>
      <c r="T17" s="32"/>
      <c r="U17" s="37" t="str">
        <f aca="false">IF($C17="","",IFERROR(INDEX(PR!$A$4:$A$203,MATCH($C17,PR!$C$4:$C$203,0)),""))</f>
        <v/>
      </c>
      <c r="V17" s="32"/>
    </row>
    <row r="18" customFormat="false" ht="15" hidden="false" customHeight="false" outlineLevel="0" collapsed="false">
      <c r="A18" s="32"/>
      <c r="B18" s="33"/>
      <c r="C18" s="32"/>
      <c r="D18" s="37" t="str">
        <f aca="false">IF($C18="","",IFERROR(INDEX('Check giá'!$C$4:$C$203,MATCH($C18,'Check giá'!$A$4:$A$203,0)),""))</f>
        <v/>
      </c>
      <c r="E18" s="37" t="str">
        <f aca="false">IF($C18="","",IFERROR(INDEX('Check giá'!$D$4:$D$203,MATCH($C18,'Check giá'!$A$4:$A$203,0)),""))</f>
        <v/>
      </c>
      <c r="F18" s="37" t="str">
        <f aca="false">IF($C18="","",IFERROR(INDEX('Check giá'!$F$4:$F$203,MATCH($C18,'Check giá'!$A$4:$A$203,0)),""))</f>
        <v/>
      </c>
      <c r="G18" s="38" t="str">
        <f aca="false">IF($C18="","",IFERROR(INDEX('Check giá'!$H$4:$H$203,MATCH($C18,'Check giá'!$A$4:$A$203,0)),""))</f>
        <v/>
      </c>
      <c r="H18" s="38" t="str">
        <f aca="false">IF($C18="","",IFERROR(INDEX('Check giá'!$J$4:$J$203,MATCH($C18,'Check giá'!$A$4:$A$203,0)),""))</f>
        <v/>
      </c>
      <c r="I18" s="32"/>
      <c r="J18" s="37" t="str">
        <f aca="false">IF($I18="","",IFERROR(INDEX('Nhà cung cấp'!$B$4:$B$203,MATCH($I18,'Nhà cung cấp'!$A$4:$A$203,0)),""))</f>
        <v/>
      </c>
      <c r="K18" s="34"/>
      <c r="L18" s="38" t="str">
        <f aca="false">IF($A18="","",IFERROR($G18*$K18,""))</f>
        <v/>
      </c>
      <c r="M18" s="34"/>
      <c r="N18" s="38" t="str">
        <f aca="false">IF($I18="","",IFERROR(INDEX('Nhà cung cấp'!$G$4:$G$203,MATCH($I18,'Nhà cung cấp'!$A$4:$A$203,0)),""))</f>
        <v/>
      </c>
      <c r="O18" s="33"/>
      <c r="P18" s="38" t="str">
        <f aca="false">IF($C18="","",IFERROR(_xlfn.MINIFS($L$4:$L$203,$C$4:$C$203,$C18,$L$4:$L$203,"&gt;0"),""))</f>
        <v/>
      </c>
      <c r="Q18" s="38" t="str">
        <f aca="false">IF($A18="","",IFERROR($L18-$P18,""))</f>
        <v/>
      </c>
      <c r="R18" s="38" t="str">
        <f aca="false">IF($A18="","",IFERROR($L18-$H18,""))</f>
        <v/>
      </c>
      <c r="S18" s="39" t="str">
        <f aca="false">IF($A18="","",IFERROR($R18/$H18,""))</f>
        <v/>
      </c>
      <c r="T18" s="32"/>
      <c r="U18" s="37" t="str">
        <f aca="false">IF($C18="","",IFERROR(INDEX(PR!$A$4:$A$203,MATCH($C18,PR!$C$4:$C$203,0)),""))</f>
        <v/>
      </c>
      <c r="V18" s="32"/>
    </row>
    <row r="19" customFormat="false" ht="15" hidden="false" customHeight="false" outlineLevel="0" collapsed="false">
      <c r="A19" s="32"/>
      <c r="B19" s="33"/>
      <c r="C19" s="32"/>
      <c r="D19" s="37" t="str">
        <f aca="false">IF($C19="","",IFERROR(INDEX('Check giá'!$C$4:$C$203,MATCH($C19,'Check giá'!$A$4:$A$203,0)),""))</f>
        <v/>
      </c>
      <c r="E19" s="37" t="str">
        <f aca="false">IF($C19="","",IFERROR(INDEX('Check giá'!$D$4:$D$203,MATCH($C19,'Check giá'!$A$4:$A$203,0)),""))</f>
        <v/>
      </c>
      <c r="F19" s="37" t="str">
        <f aca="false">IF($C19="","",IFERROR(INDEX('Check giá'!$F$4:$F$203,MATCH($C19,'Check giá'!$A$4:$A$203,0)),""))</f>
        <v/>
      </c>
      <c r="G19" s="38" t="str">
        <f aca="false">IF($C19="","",IFERROR(INDEX('Check giá'!$H$4:$H$203,MATCH($C19,'Check giá'!$A$4:$A$203,0)),""))</f>
        <v/>
      </c>
      <c r="H19" s="38" t="str">
        <f aca="false">IF($C19="","",IFERROR(INDEX('Check giá'!$J$4:$J$203,MATCH($C19,'Check giá'!$A$4:$A$203,0)),""))</f>
        <v/>
      </c>
      <c r="I19" s="32"/>
      <c r="J19" s="37" t="str">
        <f aca="false">IF($I19="","",IFERROR(INDEX('Nhà cung cấp'!$B$4:$B$203,MATCH($I19,'Nhà cung cấp'!$A$4:$A$203,0)),""))</f>
        <v/>
      </c>
      <c r="K19" s="34"/>
      <c r="L19" s="38" t="str">
        <f aca="false">IF($A19="","",IFERROR($G19*$K19,""))</f>
        <v/>
      </c>
      <c r="M19" s="34"/>
      <c r="N19" s="38" t="str">
        <f aca="false">IF($I19="","",IFERROR(INDEX('Nhà cung cấp'!$G$4:$G$203,MATCH($I19,'Nhà cung cấp'!$A$4:$A$203,0)),""))</f>
        <v/>
      </c>
      <c r="O19" s="33"/>
      <c r="P19" s="38" t="str">
        <f aca="false">IF($C19="","",IFERROR(_xlfn.MINIFS($L$4:$L$203,$C$4:$C$203,$C19,$L$4:$L$203,"&gt;0"),""))</f>
        <v/>
      </c>
      <c r="Q19" s="38" t="str">
        <f aca="false">IF($A19="","",IFERROR($L19-$P19,""))</f>
        <v/>
      </c>
      <c r="R19" s="38" t="str">
        <f aca="false">IF($A19="","",IFERROR($L19-$H19,""))</f>
        <v/>
      </c>
      <c r="S19" s="39" t="str">
        <f aca="false">IF($A19="","",IFERROR($R19/$H19,""))</f>
        <v/>
      </c>
      <c r="T19" s="32"/>
      <c r="U19" s="37" t="str">
        <f aca="false">IF($C19="","",IFERROR(INDEX(PR!$A$4:$A$203,MATCH($C19,PR!$C$4:$C$203,0)),""))</f>
        <v/>
      </c>
      <c r="V19" s="32"/>
    </row>
    <row r="20" customFormat="false" ht="15" hidden="false" customHeight="false" outlineLevel="0" collapsed="false">
      <c r="A20" s="32"/>
      <c r="B20" s="33"/>
      <c r="C20" s="32"/>
      <c r="D20" s="37" t="str">
        <f aca="false">IF($C20="","",IFERROR(INDEX('Check giá'!$C$4:$C$203,MATCH($C20,'Check giá'!$A$4:$A$203,0)),""))</f>
        <v/>
      </c>
      <c r="E20" s="37" t="str">
        <f aca="false">IF($C20="","",IFERROR(INDEX('Check giá'!$D$4:$D$203,MATCH($C20,'Check giá'!$A$4:$A$203,0)),""))</f>
        <v/>
      </c>
      <c r="F20" s="37" t="str">
        <f aca="false">IF($C20="","",IFERROR(INDEX('Check giá'!$F$4:$F$203,MATCH($C20,'Check giá'!$A$4:$A$203,0)),""))</f>
        <v/>
      </c>
      <c r="G20" s="38" t="str">
        <f aca="false">IF($C20="","",IFERROR(INDEX('Check giá'!$H$4:$H$203,MATCH($C20,'Check giá'!$A$4:$A$203,0)),""))</f>
        <v/>
      </c>
      <c r="H20" s="38" t="str">
        <f aca="false">IF($C20="","",IFERROR(INDEX('Check giá'!$J$4:$J$203,MATCH($C20,'Check giá'!$A$4:$A$203,0)),""))</f>
        <v/>
      </c>
      <c r="I20" s="32"/>
      <c r="J20" s="37" t="str">
        <f aca="false">IF($I20="","",IFERROR(INDEX('Nhà cung cấp'!$B$4:$B$203,MATCH($I20,'Nhà cung cấp'!$A$4:$A$203,0)),""))</f>
        <v/>
      </c>
      <c r="K20" s="34"/>
      <c r="L20" s="38" t="str">
        <f aca="false">IF($A20="","",IFERROR($G20*$K20,""))</f>
        <v/>
      </c>
      <c r="M20" s="34"/>
      <c r="N20" s="38" t="str">
        <f aca="false">IF($I20="","",IFERROR(INDEX('Nhà cung cấp'!$G$4:$G$203,MATCH($I20,'Nhà cung cấp'!$A$4:$A$203,0)),""))</f>
        <v/>
      </c>
      <c r="O20" s="33"/>
      <c r="P20" s="38" t="str">
        <f aca="false">IF($C20="","",IFERROR(_xlfn.MINIFS($L$4:$L$203,$C$4:$C$203,$C20,$L$4:$L$203,"&gt;0"),""))</f>
        <v/>
      </c>
      <c r="Q20" s="38" t="str">
        <f aca="false">IF($A20="","",IFERROR($L20-$P20,""))</f>
        <v/>
      </c>
      <c r="R20" s="38" t="str">
        <f aca="false">IF($A20="","",IFERROR($L20-$H20,""))</f>
        <v/>
      </c>
      <c r="S20" s="39" t="str">
        <f aca="false">IF($A20="","",IFERROR($R20/$H20,""))</f>
        <v/>
      </c>
      <c r="T20" s="32"/>
      <c r="U20" s="37" t="str">
        <f aca="false">IF($C20="","",IFERROR(INDEX(PR!$A$4:$A$203,MATCH($C20,PR!$C$4:$C$203,0)),""))</f>
        <v/>
      </c>
      <c r="V20" s="32"/>
    </row>
    <row r="21" customFormat="false" ht="15" hidden="false" customHeight="false" outlineLevel="0" collapsed="false">
      <c r="A21" s="32"/>
      <c r="B21" s="33"/>
      <c r="C21" s="32"/>
      <c r="D21" s="37" t="str">
        <f aca="false">IF($C21="","",IFERROR(INDEX('Check giá'!$C$4:$C$203,MATCH($C21,'Check giá'!$A$4:$A$203,0)),""))</f>
        <v/>
      </c>
      <c r="E21" s="37" t="str">
        <f aca="false">IF($C21="","",IFERROR(INDEX('Check giá'!$D$4:$D$203,MATCH($C21,'Check giá'!$A$4:$A$203,0)),""))</f>
        <v/>
      </c>
      <c r="F21" s="37" t="str">
        <f aca="false">IF($C21="","",IFERROR(INDEX('Check giá'!$F$4:$F$203,MATCH($C21,'Check giá'!$A$4:$A$203,0)),""))</f>
        <v/>
      </c>
      <c r="G21" s="38" t="str">
        <f aca="false">IF($C21="","",IFERROR(INDEX('Check giá'!$H$4:$H$203,MATCH($C21,'Check giá'!$A$4:$A$203,0)),""))</f>
        <v/>
      </c>
      <c r="H21" s="38" t="str">
        <f aca="false">IF($C21="","",IFERROR(INDEX('Check giá'!$J$4:$J$203,MATCH($C21,'Check giá'!$A$4:$A$203,0)),""))</f>
        <v/>
      </c>
      <c r="I21" s="32"/>
      <c r="J21" s="37" t="str">
        <f aca="false">IF($I21="","",IFERROR(INDEX('Nhà cung cấp'!$B$4:$B$203,MATCH($I21,'Nhà cung cấp'!$A$4:$A$203,0)),""))</f>
        <v/>
      </c>
      <c r="K21" s="34"/>
      <c r="L21" s="38" t="str">
        <f aca="false">IF($A21="","",IFERROR($G21*$K21,""))</f>
        <v/>
      </c>
      <c r="M21" s="34"/>
      <c r="N21" s="38" t="str">
        <f aca="false">IF($I21="","",IFERROR(INDEX('Nhà cung cấp'!$G$4:$G$203,MATCH($I21,'Nhà cung cấp'!$A$4:$A$203,0)),""))</f>
        <v/>
      </c>
      <c r="O21" s="33"/>
      <c r="P21" s="38" t="str">
        <f aca="false">IF($C21="","",IFERROR(_xlfn.MINIFS($L$4:$L$203,$C$4:$C$203,$C21,$L$4:$L$203,"&gt;0"),""))</f>
        <v/>
      </c>
      <c r="Q21" s="38" t="str">
        <f aca="false">IF($A21="","",IFERROR($L21-$P21,""))</f>
        <v/>
      </c>
      <c r="R21" s="38" t="str">
        <f aca="false">IF($A21="","",IFERROR($L21-$H21,""))</f>
        <v/>
      </c>
      <c r="S21" s="39" t="str">
        <f aca="false">IF($A21="","",IFERROR($R21/$H21,""))</f>
        <v/>
      </c>
      <c r="T21" s="32"/>
      <c r="U21" s="37" t="str">
        <f aca="false">IF($C21="","",IFERROR(INDEX(PR!$A$4:$A$203,MATCH($C21,PR!$C$4:$C$203,0)),""))</f>
        <v/>
      </c>
      <c r="V21" s="32"/>
    </row>
    <row r="22" customFormat="false" ht="15" hidden="false" customHeight="false" outlineLevel="0" collapsed="false">
      <c r="A22" s="32"/>
      <c r="B22" s="33"/>
      <c r="C22" s="32"/>
      <c r="D22" s="37" t="str">
        <f aca="false">IF($C22="","",IFERROR(INDEX('Check giá'!$C$4:$C$203,MATCH($C22,'Check giá'!$A$4:$A$203,0)),""))</f>
        <v/>
      </c>
      <c r="E22" s="37" t="str">
        <f aca="false">IF($C22="","",IFERROR(INDEX('Check giá'!$D$4:$D$203,MATCH($C22,'Check giá'!$A$4:$A$203,0)),""))</f>
        <v/>
      </c>
      <c r="F22" s="37" t="str">
        <f aca="false">IF($C22="","",IFERROR(INDEX('Check giá'!$F$4:$F$203,MATCH($C22,'Check giá'!$A$4:$A$203,0)),""))</f>
        <v/>
      </c>
      <c r="G22" s="38" t="str">
        <f aca="false">IF($C22="","",IFERROR(INDEX('Check giá'!$H$4:$H$203,MATCH($C22,'Check giá'!$A$4:$A$203,0)),""))</f>
        <v/>
      </c>
      <c r="H22" s="38" t="str">
        <f aca="false">IF($C22="","",IFERROR(INDEX('Check giá'!$J$4:$J$203,MATCH($C22,'Check giá'!$A$4:$A$203,0)),""))</f>
        <v/>
      </c>
      <c r="I22" s="32"/>
      <c r="J22" s="37" t="str">
        <f aca="false">IF($I22="","",IFERROR(INDEX('Nhà cung cấp'!$B$4:$B$203,MATCH($I22,'Nhà cung cấp'!$A$4:$A$203,0)),""))</f>
        <v/>
      </c>
      <c r="K22" s="34"/>
      <c r="L22" s="38" t="str">
        <f aca="false">IF($A22="","",IFERROR($G22*$K22,""))</f>
        <v/>
      </c>
      <c r="M22" s="34"/>
      <c r="N22" s="38" t="str">
        <f aca="false">IF($I22="","",IFERROR(INDEX('Nhà cung cấp'!$G$4:$G$203,MATCH($I22,'Nhà cung cấp'!$A$4:$A$203,0)),""))</f>
        <v/>
      </c>
      <c r="O22" s="33"/>
      <c r="P22" s="38" t="str">
        <f aca="false">IF($C22="","",IFERROR(_xlfn.MINIFS($L$4:$L$203,$C$4:$C$203,$C22,$L$4:$L$203,"&gt;0"),""))</f>
        <v/>
      </c>
      <c r="Q22" s="38" t="str">
        <f aca="false">IF($A22="","",IFERROR($L22-$P22,""))</f>
        <v/>
      </c>
      <c r="R22" s="38" t="str">
        <f aca="false">IF($A22="","",IFERROR($L22-$H22,""))</f>
        <v/>
      </c>
      <c r="S22" s="39" t="str">
        <f aca="false">IF($A22="","",IFERROR($R22/$H22,""))</f>
        <v/>
      </c>
      <c r="T22" s="32"/>
      <c r="U22" s="37" t="str">
        <f aca="false">IF($C22="","",IFERROR(INDEX(PR!$A$4:$A$203,MATCH($C22,PR!$C$4:$C$203,0)),""))</f>
        <v/>
      </c>
      <c r="V22" s="32"/>
    </row>
    <row r="23" customFormat="false" ht="15" hidden="false" customHeight="false" outlineLevel="0" collapsed="false">
      <c r="A23" s="32"/>
      <c r="B23" s="33"/>
      <c r="C23" s="32"/>
      <c r="D23" s="37" t="str">
        <f aca="false">IF($C23="","",IFERROR(INDEX('Check giá'!$C$4:$C$203,MATCH($C23,'Check giá'!$A$4:$A$203,0)),""))</f>
        <v/>
      </c>
      <c r="E23" s="37" t="str">
        <f aca="false">IF($C23="","",IFERROR(INDEX('Check giá'!$D$4:$D$203,MATCH($C23,'Check giá'!$A$4:$A$203,0)),""))</f>
        <v/>
      </c>
      <c r="F23" s="37" t="str">
        <f aca="false">IF($C23="","",IFERROR(INDEX('Check giá'!$F$4:$F$203,MATCH($C23,'Check giá'!$A$4:$A$203,0)),""))</f>
        <v/>
      </c>
      <c r="G23" s="38" t="str">
        <f aca="false">IF($C23="","",IFERROR(INDEX('Check giá'!$H$4:$H$203,MATCH($C23,'Check giá'!$A$4:$A$203,0)),""))</f>
        <v/>
      </c>
      <c r="H23" s="38" t="str">
        <f aca="false">IF($C23="","",IFERROR(INDEX('Check giá'!$J$4:$J$203,MATCH($C23,'Check giá'!$A$4:$A$203,0)),""))</f>
        <v/>
      </c>
      <c r="I23" s="32"/>
      <c r="J23" s="37" t="str">
        <f aca="false">IF($I23="","",IFERROR(INDEX('Nhà cung cấp'!$B$4:$B$203,MATCH($I23,'Nhà cung cấp'!$A$4:$A$203,0)),""))</f>
        <v/>
      </c>
      <c r="K23" s="34"/>
      <c r="L23" s="38" t="str">
        <f aca="false">IF($A23="","",IFERROR($G23*$K23,""))</f>
        <v/>
      </c>
      <c r="M23" s="34"/>
      <c r="N23" s="38" t="str">
        <f aca="false">IF($I23="","",IFERROR(INDEX('Nhà cung cấp'!$G$4:$G$203,MATCH($I23,'Nhà cung cấp'!$A$4:$A$203,0)),""))</f>
        <v/>
      </c>
      <c r="O23" s="33"/>
      <c r="P23" s="38" t="str">
        <f aca="false">IF($C23="","",IFERROR(_xlfn.MINIFS($L$4:$L$203,$C$4:$C$203,$C23,$L$4:$L$203,"&gt;0"),""))</f>
        <v/>
      </c>
      <c r="Q23" s="38" t="str">
        <f aca="false">IF($A23="","",IFERROR($L23-$P23,""))</f>
        <v/>
      </c>
      <c r="R23" s="38" t="str">
        <f aca="false">IF($A23="","",IFERROR($L23-$H23,""))</f>
        <v/>
      </c>
      <c r="S23" s="39" t="str">
        <f aca="false">IF($A23="","",IFERROR($R23/$H23,""))</f>
        <v/>
      </c>
      <c r="T23" s="32"/>
      <c r="U23" s="37" t="str">
        <f aca="false">IF($C23="","",IFERROR(INDEX(PR!$A$4:$A$203,MATCH($C23,PR!$C$4:$C$203,0)),""))</f>
        <v/>
      </c>
      <c r="V23" s="32"/>
    </row>
    <row r="24" customFormat="false" ht="15" hidden="false" customHeight="false" outlineLevel="0" collapsed="false">
      <c r="A24" s="32"/>
      <c r="B24" s="33"/>
      <c r="C24" s="32"/>
      <c r="D24" s="37" t="str">
        <f aca="false">IF($C24="","",IFERROR(INDEX('Check giá'!$C$4:$C$203,MATCH($C24,'Check giá'!$A$4:$A$203,0)),""))</f>
        <v/>
      </c>
      <c r="E24" s="37" t="str">
        <f aca="false">IF($C24="","",IFERROR(INDEX('Check giá'!$D$4:$D$203,MATCH($C24,'Check giá'!$A$4:$A$203,0)),""))</f>
        <v/>
      </c>
      <c r="F24" s="37" t="str">
        <f aca="false">IF($C24="","",IFERROR(INDEX('Check giá'!$F$4:$F$203,MATCH($C24,'Check giá'!$A$4:$A$203,0)),""))</f>
        <v/>
      </c>
      <c r="G24" s="38" t="str">
        <f aca="false">IF($C24="","",IFERROR(INDEX('Check giá'!$H$4:$H$203,MATCH($C24,'Check giá'!$A$4:$A$203,0)),""))</f>
        <v/>
      </c>
      <c r="H24" s="38" t="str">
        <f aca="false">IF($C24="","",IFERROR(INDEX('Check giá'!$J$4:$J$203,MATCH($C24,'Check giá'!$A$4:$A$203,0)),""))</f>
        <v/>
      </c>
      <c r="I24" s="32"/>
      <c r="J24" s="37" t="str">
        <f aca="false">IF($I24="","",IFERROR(INDEX('Nhà cung cấp'!$B$4:$B$203,MATCH($I24,'Nhà cung cấp'!$A$4:$A$203,0)),""))</f>
        <v/>
      </c>
      <c r="K24" s="34"/>
      <c r="L24" s="38" t="str">
        <f aca="false">IF($A24="","",IFERROR($G24*$K24,""))</f>
        <v/>
      </c>
      <c r="M24" s="34"/>
      <c r="N24" s="38" t="str">
        <f aca="false">IF($I24="","",IFERROR(INDEX('Nhà cung cấp'!$G$4:$G$203,MATCH($I24,'Nhà cung cấp'!$A$4:$A$203,0)),""))</f>
        <v/>
      </c>
      <c r="O24" s="33"/>
      <c r="P24" s="38" t="str">
        <f aca="false">IF($C24="","",IFERROR(_xlfn.MINIFS($L$4:$L$203,$C$4:$C$203,$C24,$L$4:$L$203,"&gt;0"),""))</f>
        <v/>
      </c>
      <c r="Q24" s="38" t="str">
        <f aca="false">IF($A24="","",IFERROR($L24-$P24,""))</f>
        <v/>
      </c>
      <c r="R24" s="38" t="str">
        <f aca="false">IF($A24="","",IFERROR($L24-$H24,""))</f>
        <v/>
      </c>
      <c r="S24" s="39" t="str">
        <f aca="false">IF($A24="","",IFERROR($R24/$H24,""))</f>
        <v/>
      </c>
      <c r="T24" s="32"/>
      <c r="U24" s="37" t="str">
        <f aca="false">IF($C24="","",IFERROR(INDEX(PR!$A$4:$A$203,MATCH($C24,PR!$C$4:$C$203,0)),""))</f>
        <v/>
      </c>
      <c r="V24" s="32"/>
    </row>
    <row r="25" customFormat="false" ht="15" hidden="false" customHeight="false" outlineLevel="0" collapsed="false">
      <c r="A25" s="32"/>
      <c r="B25" s="33"/>
      <c r="C25" s="32"/>
      <c r="D25" s="37" t="str">
        <f aca="false">IF($C25="","",IFERROR(INDEX('Check giá'!$C$4:$C$203,MATCH($C25,'Check giá'!$A$4:$A$203,0)),""))</f>
        <v/>
      </c>
      <c r="E25" s="37" t="str">
        <f aca="false">IF($C25="","",IFERROR(INDEX('Check giá'!$D$4:$D$203,MATCH($C25,'Check giá'!$A$4:$A$203,0)),""))</f>
        <v/>
      </c>
      <c r="F25" s="37" t="str">
        <f aca="false">IF($C25="","",IFERROR(INDEX('Check giá'!$F$4:$F$203,MATCH($C25,'Check giá'!$A$4:$A$203,0)),""))</f>
        <v/>
      </c>
      <c r="G25" s="38" t="str">
        <f aca="false">IF($C25="","",IFERROR(INDEX('Check giá'!$H$4:$H$203,MATCH($C25,'Check giá'!$A$4:$A$203,0)),""))</f>
        <v/>
      </c>
      <c r="H25" s="38" t="str">
        <f aca="false">IF($C25="","",IFERROR(INDEX('Check giá'!$J$4:$J$203,MATCH($C25,'Check giá'!$A$4:$A$203,0)),""))</f>
        <v/>
      </c>
      <c r="I25" s="32"/>
      <c r="J25" s="37" t="str">
        <f aca="false">IF($I25="","",IFERROR(INDEX('Nhà cung cấp'!$B$4:$B$203,MATCH($I25,'Nhà cung cấp'!$A$4:$A$203,0)),""))</f>
        <v/>
      </c>
      <c r="K25" s="34"/>
      <c r="L25" s="38" t="str">
        <f aca="false">IF($A25="","",IFERROR($G25*$K25,""))</f>
        <v/>
      </c>
      <c r="M25" s="34"/>
      <c r="N25" s="38" t="str">
        <f aca="false">IF($I25="","",IFERROR(INDEX('Nhà cung cấp'!$G$4:$G$203,MATCH($I25,'Nhà cung cấp'!$A$4:$A$203,0)),""))</f>
        <v/>
      </c>
      <c r="O25" s="33"/>
      <c r="P25" s="38" t="str">
        <f aca="false">IF($C25="","",IFERROR(_xlfn.MINIFS($L$4:$L$203,$C$4:$C$203,$C25,$L$4:$L$203,"&gt;0"),""))</f>
        <v/>
      </c>
      <c r="Q25" s="38" t="str">
        <f aca="false">IF($A25="","",IFERROR($L25-$P25,""))</f>
        <v/>
      </c>
      <c r="R25" s="38" t="str">
        <f aca="false">IF($A25="","",IFERROR($L25-$H25,""))</f>
        <v/>
      </c>
      <c r="S25" s="39" t="str">
        <f aca="false">IF($A25="","",IFERROR($R25/$H25,""))</f>
        <v/>
      </c>
      <c r="T25" s="32"/>
      <c r="U25" s="37" t="str">
        <f aca="false">IF($C25="","",IFERROR(INDEX(PR!$A$4:$A$203,MATCH($C25,PR!$C$4:$C$203,0)),""))</f>
        <v/>
      </c>
      <c r="V25" s="32"/>
    </row>
    <row r="26" customFormat="false" ht="15" hidden="false" customHeight="false" outlineLevel="0" collapsed="false">
      <c r="A26" s="32"/>
      <c r="B26" s="33"/>
      <c r="C26" s="32"/>
      <c r="D26" s="37" t="str">
        <f aca="false">IF($C26="","",IFERROR(INDEX('Check giá'!$C$4:$C$203,MATCH($C26,'Check giá'!$A$4:$A$203,0)),""))</f>
        <v/>
      </c>
      <c r="E26" s="37" t="str">
        <f aca="false">IF($C26="","",IFERROR(INDEX('Check giá'!$D$4:$D$203,MATCH($C26,'Check giá'!$A$4:$A$203,0)),""))</f>
        <v/>
      </c>
      <c r="F26" s="37" t="str">
        <f aca="false">IF($C26="","",IFERROR(INDEX('Check giá'!$F$4:$F$203,MATCH($C26,'Check giá'!$A$4:$A$203,0)),""))</f>
        <v/>
      </c>
      <c r="G26" s="38" t="str">
        <f aca="false">IF($C26="","",IFERROR(INDEX('Check giá'!$H$4:$H$203,MATCH($C26,'Check giá'!$A$4:$A$203,0)),""))</f>
        <v/>
      </c>
      <c r="H26" s="38" t="str">
        <f aca="false">IF($C26="","",IFERROR(INDEX('Check giá'!$J$4:$J$203,MATCH($C26,'Check giá'!$A$4:$A$203,0)),""))</f>
        <v/>
      </c>
      <c r="I26" s="32"/>
      <c r="J26" s="37" t="str">
        <f aca="false">IF($I26="","",IFERROR(INDEX('Nhà cung cấp'!$B$4:$B$203,MATCH($I26,'Nhà cung cấp'!$A$4:$A$203,0)),""))</f>
        <v/>
      </c>
      <c r="K26" s="34"/>
      <c r="L26" s="38" t="str">
        <f aca="false">IF($A26="","",IFERROR($G26*$K26,""))</f>
        <v/>
      </c>
      <c r="M26" s="34"/>
      <c r="N26" s="38" t="str">
        <f aca="false">IF($I26="","",IFERROR(INDEX('Nhà cung cấp'!$G$4:$G$203,MATCH($I26,'Nhà cung cấp'!$A$4:$A$203,0)),""))</f>
        <v/>
      </c>
      <c r="O26" s="33"/>
      <c r="P26" s="38" t="str">
        <f aca="false">IF($C26="","",IFERROR(_xlfn.MINIFS($L$4:$L$203,$C$4:$C$203,$C26,$L$4:$L$203,"&gt;0"),""))</f>
        <v/>
      </c>
      <c r="Q26" s="38" t="str">
        <f aca="false">IF($A26="","",IFERROR($L26-$P26,""))</f>
        <v/>
      </c>
      <c r="R26" s="38" t="str">
        <f aca="false">IF($A26="","",IFERROR($L26-$H26,""))</f>
        <v/>
      </c>
      <c r="S26" s="39" t="str">
        <f aca="false">IF($A26="","",IFERROR($R26/$H26,""))</f>
        <v/>
      </c>
      <c r="T26" s="32"/>
      <c r="U26" s="37" t="str">
        <f aca="false">IF($C26="","",IFERROR(INDEX(PR!$A$4:$A$203,MATCH($C26,PR!$C$4:$C$203,0)),""))</f>
        <v/>
      </c>
      <c r="V26" s="32"/>
    </row>
    <row r="27" customFormat="false" ht="15" hidden="false" customHeight="false" outlineLevel="0" collapsed="false">
      <c r="A27" s="32"/>
      <c r="B27" s="33"/>
      <c r="C27" s="32"/>
      <c r="D27" s="37" t="str">
        <f aca="false">IF($C27="","",IFERROR(INDEX('Check giá'!$C$4:$C$203,MATCH($C27,'Check giá'!$A$4:$A$203,0)),""))</f>
        <v/>
      </c>
      <c r="E27" s="37" t="str">
        <f aca="false">IF($C27="","",IFERROR(INDEX('Check giá'!$D$4:$D$203,MATCH($C27,'Check giá'!$A$4:$A$203,0)),""))</f>
        <v/>
      </c>
      <c r="F27" s="37" t="str">
        <f aca="false">IF($C27="","",IFERROR(INDEX('Check giá'!$F$4:$F$203,MATCH($C27,'Check giá'!$A$4:$A$203,0)),""))</f>
        <v/>
      </c>
      <c r="G27" s="38" t="str">
        <f aca="false">IF($C27="","",IFERROR(INDEX('Check giá'!$H$4:$H$203,MATCH($C27,'Check giá'!$A$4:$A$203,0)),""))</f>
        <v/>
      </c>
      <c r="H27" s="38" t="str">
        <f aca="false">IF($C27="","",IFERROR(INDEX('Check giá'!$J$4:$J$203,MATCH($C27,'Check giá'!$A$4:$A$203,0)),""))</f>
        <v/>
      </c>
      <c r="I27" s="32"/>
      <c r="J27" s="37" t="str">
        <f aca="false">IF($I27="","",IFERROR(INDEX('Nhà cung cấp'!$B$4:$B$203,MATCH($I27,'Nhà cung cấp'!$A$4:$A$203,0)),""))</f>
        <v/>
      </c>
      <c r="K27" s="34"/>
      <c r="L27" s="38" t="str">
        <f aca="false">IF($A27="","",IFERROR($G27*$K27,""))</f>
        <v/>
      </c>
      <c r="M27" s="34"/>
      <c r="N27" s="38" t="str">
        <f aca="false">IF($I27="","",IFERROR(INDEX('Nhà cung cấp'!$G$4:$G$203,MATCH($I27,'Nhà cung cấp'!$A$4:$A$203,0)),""))</f>
        <v/>
      </c>
      <c r="O27" s="33"/>
      <c r="P27" s="38" t="str">
        <f aca="false">IF($C27="","",IFERROR(_xlfn.MINIFS($L$4:$L$203,$C$4:$C$203,$C27,$L$4:$L$203,"&gt;0"),""))</f>
        <v/>
      </c>
      <c r="Q27" s="38" t="str">
        <f aca="false">IF($A27="","",IFERROR($L27-$P27,""))</f>
        <v/>
      </c>
      <c r="R27" s="38" t="str">
        <f aca="false">IF($A27="","",IFERROR($L27-$H27,""))</f>
        <v/>
      </c>
      <c r="S27" s="39" t="str">
        <f aca="false">IF($A27="","",IFERROR($R27/$H27,""))</f>
        <v/>
      </c>
      <c r="T27" s="32"/>
      <c r="U27" s="37" t="str">
        <f aca="false">IF($C27="","",IFERROR(INDEX(PR!$A$4:$A$203,MATCH($C27,PR!$C$4:$C$203,0)),""))</f>
        <v/>
      </c>
      <c r="V27" s="32"/>
    </row>
    <row r="28" customFormat="false" ht="15" hidden="false" customHeight="false" outlineLevel="0" collapsed="false">
      <c r="A28" s="32"/>
      <c r="B28" s="33"/>
      <c r="C28" s="32"/>
      <c r="D28" s="37" t="str">
        <f aca="false">IF($C28="","",IFERROR(INDEX('Check giá'!$C$4:$C$203,MATCH($C28,'Check giá'!$A$4:$A$203,0)),""))</f>
        <v/>
      </c>
      <c r="E28" s="37" t="str">
        <f aca="false">IF($C28="","",IFERROR(INDEX('Check giá'!$D$4:$D$203,MATCH($C28,'Check giá'!$A$4:$A$203,0)),""))</f>
        <v/>
      </c>
      <c r="F28" s="37" t="str">
        <f aca="false">IF($C28="","",IFERROR(INDEX('Check giá'!$F$4:$F$203,MATCH($C28,'Check giá'!$A$4:$A$203,0)),""))</f>
        <v/>
      </c>
      <c r="G28" s="38" t="str">
        <f aca="false">IF($C28="","",IFERROR(INDEX('Check giá'!$H$4:$H$203,MATCH($C28,'Check giá'!$A$4:$A$203,0)),""))</f>
        <v/>
      </c>
      <c r="H28" s="38" t="str">
        <f aca="false">IF($C28="","",IFERROR(INDEX('Check giá'!$J$4:$J$203,MATCH($C28,'Check giá'!$A$4:$A$203,0)),""))</f>
        <v/>
      </c>
      <c r="I28" s="32"/>
      <c r="J28" s="37" t="str">
        <f aca="false">IF($I28="","",IFERROR(INDEX('Nhà cung cấp'!$B$4:$B$203,MATCH($I28,'Nhà cung cấp'!$A$4:$A$203,0)),""))</f>
        <v/>
      </c>
      <c r="K28" s="34"/>
      <c r="L28" s="38" t="str">
        <f aca="false">IF($A28="","",IFERROR($G28*$K28,""))</f>
        <v/>
      </c>
      <c r="M28" s="34"/>
      <c r="N28" s="38" t="str">
        <f aca="false">IF($I28="","",IFERROR(INDEX('Nhà cung cấp'!$G$4:$G$203,MATCH($I28,'Nhà cung cấp'!$A$4:$A$203,0)),""))</f>
        <v/>
      </c>
      <c r="O28" s="33"/>
      <c r="P28" s="38" t="str">
        <f aca="false">IF($C28="","",IFERROR(_xlfn.MINIFS($L$4:$L$203,$C$4:$C$203,$C28,$L$4:$L$203,"&gt;0"),""))</f>
        <v/>
      </c>
      <c r="Q28" s="38" t="str">
        <f aca="false">IF($A28="","",IFERROR($L28-$P28,""))</f>
        <v/>
      </c>
      <c r="R28" s="38" t="str">
        <f aca="false">IF($A28="","",IFERROR($L28-$H28,""))</f>
        <v/>
      </c>
      <c r="S28" s="39" t="str">
        <f aca="false">IF($A28="","",IFERROR($R28/$H28,""))</f>
        <v/>
      </c>
      <c r="T28" s="32"/>
      <c r="U28" s="37" t="str">
        <f aca="false">IF($C28="","",IFERROR(INDEX(PR!$A$4:$A$203,MATCH($C28,PR!$C$4:$C$203,0)),""))</f>
        <v/>
      </c>
      <c r="V28" s="32"/>
    </row>
    <row r="29" customFormat="false" ht="15" hidden="false" customHeight="false" outlineLevel="0" collapsed="false">
      <c r="A29" s="32"/>
      <c r="B29" s="33"/>
      <c r="C29" s="32"/>
      <c r="D29" s="37" t="str">
        <f aca="false">IF($C29="","",IFERROR(INDEX('Check giá'!$C$4:$C$203,MATCH($C29,'Check giá'!$A$4:$A$203,0)),""))</f>
        <v/>
      </c>
      <c r="E29" s="37" t="str">
        <f aca="false">IF($C29="","",IFERROR(INDEX('Check giá'!$D$4:$D$203,MATCH($C29,'Check giá'!$A$4:$A$203,0)),""))</f>
        <v/>
      </c>
      <c r="F29" s="37" t="str">
        <f aca="false">IF($C29="","",IFERROR(INDEX('Check giá'!$F$4:$F$203,MATCH($C29,'Check giá'!$A$4:$A$203,0)),""))</f>
        <v/>
      </c>
      <c r="G29" s="38" t="str">
        <f aca="false">IF($C29="","",IFERROR(INDEX('Check giá'!$H$4:$H$203,MATCH($C29,'Check giá'!$A$4:$A$203,0)),""))</f>
        <v/>
      </c>
      <c r="H29" s="38" t="str">
        <f aca="false">IF($C29="","",IFERROR(INDEX('Check giá'!$J$4:$J$203,MATCH($C29,'Check giá'!$A$4:$A$203,0)),""))</f>
        <v/>
      </c>
      <c r="I29" s="32"/>
      <c r="J29" s="37" t="str">
        <f aca="false">IF($I29="","",IFERROR(INDEX('Nhà cung cấp'!$B$4:$B$203,MATCH($I29,'Nhà cung cấp'!$A$4:$A$203,0)),""))</f>
        <v/>
      </c>
      <c r="K29" s="34"/>
      <c r="L29" s="38" t="str">
        <f aca="false">IF($A29="","",IFERROR($G29*$K29,""))</f>
        <v/>
      </c>
      <c r="M29" s="34"/>
      <c r="N29" s="38" t="str">
        <f aca="false">IF($I29="","",IFERROR(INDEX('Nhà cung cấp'!$G$4:$G$203,MATCH($I29,'Nhà cung cấp'!$A$4:$A$203,0)),""))</f>
        <v/>
      </c>
      <c r="O29" s="33"/>
      <c r="P29" s="38" t="str">
        <f aca="false">IF($C29="","",IFERROR(_xlfn.MINIFS($L$4:$L$203,$C$4:$C$203,$C29,$L$4:$L$203,"&gt;0"),""))</f>
        <v/>
      </c>
      <c r="Q29" s="38" t="str">
        <f aca="false">IF($A29="","",IFERROR($L29-$P29,""))</f>
        <v/>
      </c>
      <c r="R29" s="38" t="str">
        <f aca="false">IF($A29="","",IFERROR($L29-$H29,""))</f>
        <v/>
      </c>
      <c r="S29" s="39" t="str">
        <f aca="false">IF($A29="","",IFERROR($R29/$H29,""))</f>
        <v/>
      </c>
      <c r="T29" s="32"/>
      <c r="U29" s="37" t="str">
        <f aca="false">IF($C29="","",IFERROR(INDEX(PR!$A$4:$A$203,MATCH($C29,PR!$C$4:$C$203,0)),""))</f>
        <v/>
      </c>
      <c r="V29" s="32"/>
    </row>
    <row r="30" customFormat="false" ht="15" hidden="false" customHeight="false" outlineLevel="0" collapsed="false">
      <c r="A30" s="32"/>
      <c r="B30" s="33"/>
      <c r="C30" s="32"/>
      <c r="D30" s="37" t="str">
        <f aca="false">IF($C30="","",IFERROR(INDEX('Check giá'!$C$4:$C$203,MATCH($C30,'Check giá'!$A$4:$A$203,0)),""))</f>
        <v/>
      </c>
      <c r="E30" s="37" t="str">
        <f aca="false">IF($C30="","",IFERROR(INDEX('Check giá'!$D$4:$D$203,MATCH($C30,'Check giá'!$A$4:$A$203,0)),""))</f>
        <v/>
      </c>
      <c r="F30" s="37" t="str">
        <f aca="false">IF($C30="","",IFERROR(INDEX('Check giá'!$F$4:$F$203,MATCH($C30,'Check giá'!$A$4:$A$203,0)),""))</f>
        <v/>
      </c>
      <c r="G30" s="38" t="str">
        <f aca="false">IF($C30="","",IFERROR(INDEX('Check giá'!$H$4:$H$203,MATCH($C30,'Check giá'!$A$4:$A$203,0)),""))</f>
        <v/>
      </c>
      <c r="H30" s="38" t="str">
        <f aca="false">IF($C30="","",IFERROR(INDEX('Check giá'!$J$4:$J$203,MATCH($C30,'Check giá'!$A$4:$A$203,0)),""))</f>
        <v/>
      </c>
      <c r="I30" s="32"/>
      <c r="J30" s="37" t="str">
        <f aca="false">IF($I30="","",IFERROR(INDEX('Nhà cung cấp'!$B$4:$B$203,MATCH($I30,'Nhà cung cấp'!$A$4:$A$203,0)),""))</f>
        <v/>
      </c>
      <c r="K30" s="34"/>
      <c r="L30" s="38" t="str">
        <f aca="false">IF($A30="","",IFERROR($G30*$K30,""))</f>
        <v/>
      </c>
      <c r="M30" s="34"/>
      <c r="N30" s="38" t="str">
        <f aca="false">IF($I30="","",IFERROR(INDEX('Nhà cung cấp'!$G$4:$G$203,MATCH($I30,'Nhà cung cấp'!$A$4:$A$203,0)),""))</f>
        <v/>
      </c>
      <c r="O30" s="33"/>
      <c r="P30" s="38" t="str">
        <f aca="false">IF($C30="","",IFERROR(_xlfn.MINIFS($L$4:$L$203,$C$4:$C$203,$C30,$L$4:$L$203,"&gt;0"),""))</f>
        <v/>
      </c>
      <c r="Q30" s="38" t="str">
        <f aca="false">IF($A30="","",IFERROR($L30-$P30,""))</f>
        <v/>
      </c>
      <c r="R30" s="38" t="str">
        <f aca="false">IF($A30="","",IFERROR($L30-$H30,""))</f>
        <v/>
      </c>
      <c r="S30" s="39" t="str">
        <f aca="false">IF($A30="","",IFERROR($R30/$H30,""))</f>
        <v/>
      </c>
      <c r="T30" s="32"/>
      <c r="U30" s="37" t="str">
        <f aca="false">IF($C30="","",IFERROR(INDEX(PR!$A$4:$A$203,MATCH($C30,PR!$C$4:$C$203,0)),""))</f>
        <v/>
      </c>
      <c r="V30" s="32"/>
    </row>
    <row r="31" customFormat="false" ht="15" hidden="false" customHeight="false" outlineLevel="0" collapsed="false">
      <c r="A31" s="32"/>
      <c r="B31" s="33"/>
      <c r="C31" s="32"/>
      <c r="D31" s="37" t="str">
        <f aca="false">IF($C31="","",IFERROR(INDEX('Check giá'!$C$4:$C$203,MATCH($C31,'Check giá'!$A$4:$A$203,0)),""))</f>
        <v/>
      </c>
      <c r="E31" s="37" t="str">
        <f aca="false">IF($C31="","",IFERROR(INDEX('Check giá'!$D$4:$D$203,MATCH($C31,'Check giá'!$A$4:$A$203,0)),""))</f>
        <v/>
      </c>
      <c r="F31" s="37" t="str">
        <f aca="false">IF($C31="","",IFERROR(INDEX('Check giá'!$F$4:$F$203,MATCH($C31,'Check giá'!$A$4:$A$203,0)),""))</f>
        <v/>
      </c>
      <c r="G31" s="38" t="str">
        <f aca="false">IF($C31="","",IFERROR(INDEX('Check giá'!$H$4:$H$203,MATCH($C31,'Check giá'!$A$4:$A$203,0)),""))</f>
        <v/>
      </c>
      <c r="H31" s="38" t="str">
        <f aca="false">IF($C31="","",IFERROR(INDEX('Check giá'!$J$4:$J$203,MATCH($C31,'Check giá'!$A$4:$A$203,0)),""))</f>
        <v/>
      </c>
      <c r="I31" s="32"/>
      <c r="J31" s="37" t="str">
        <f aca="false">IF($I31="","",IFERROR(INDEX('Nhà cung cấp'!$B$4:$B$203,MATCH($I31,'Nhà cung cấp'!$A$4:$A$203,0)),""))</f>
        <v/>
      </c>
      <c r="K31" s="34"/>
      <c r="L31" s="38" t="str">
        <f aca="false">IF($A31="","",IFERROR($G31*$K31,""))</f>
        <v/>
      </c>
      <c r="M31" s="34"/>
      <c r="N31" s="38" t="str">
        <f aca="false">IF($I31="","",IFERROR(INDEX('Nhà cung cấp'!$G$4:$G$203,MATCH($I31,'Nhà cung cấp'!$A$4:$A$203,0)),""))</f>
        <v/>
      </c>
      <c r="O31" s="33"/>
      <c r="P31" s="38" t="str">
        <f aca="false">IF($C31="","",IFERROR(_xlfn.MINIFS($L$4:$L$203,$C$4:$C$203,$C31,$L$4:$L$203,"&gt;0"),""))</f>
        <v/>
      </c>
      <c r="Q31" s="38" t="str">
        <f aca="false">IF($A31="","",IFERROR($L31-$P31,""))</f>
        <v/>
      </c>
      <c r="R31" s="38" t="str">
        <f aca="false">IF($A31="","",IFERROR($L31-$H31,""))</f>
        <v/>
      </c>
      <c r="S31" s="39" t="str">
        <f aca="false">IF($A31="","",IFERROR($R31/$H31,""))</f>
        <v/>
      </c>
      <c r="T31" s="32"/>
      <c r="U31" s="37" t="str">
        <f aca="false">IF($C31="","",IFERROR(INDEX(PR!$A$4:$A$203,MATCH($C31,PR!$C$4:$C$203,0)),""))</f>
        <v/>
      </c>
      <c r="V31" s="32"/>
    </row>
    <row r="32" customFormat="false" ht="15" hidden="false" customHeight="false" outlineLevel="0" collapsed="false">
      <c r="A32" s="32"/>
      <c r="B32" s="33"/>
      <c r="C32" s="32"/>
      <c r="D32" s="37" t="str">
        <f aca="false">IF($C32="","",IFERROR(INDEX('Check giá'!$C$4:$C$203,MATCH($C32,'Check giá'!$A$4:$A$203,0)),""))</f>
        <v/>
      </c>
      <c r="E32" s="37" t="str">
        <f aca="false">IF($C32="","",IFERROR(INDEX('Check giá'!$D$4:$D$203,MATCH($C32,'Check giá'!$A$4:$A$203,0)),""))</f>
        <v/>
      </c>
      <c r="F32" s="37" t="str">
        <f aca="false">IF($C32="","",IFERROR(INDEX('Check giá'!$F$4:$F$203,MATCH($C32,'Check giá'!$A$4:$A$203,0)),""))</f>
        <v/>
      </c>
      <c r="G32" s="38" t="str">
        <f aca="false">IF($C32="","",IFERROR(INDEX('Check giá'!$H$4:$H$203,MATCH($C32,'Check giá'!$A$4:$A$203,0)),""))</f>
        <v/>
      </c>
      <c r="H32" s="38" t="str">
        <f aca="false">IF($C32="","",IFERROR(INDEX('Check giá'!$J$4:$J$203,MATCH($C32,'Check giá'!$A$4:$A$203,0)),""))</f>
        <v/>
      </c>
      <c r="I32" s="32"/>
      <c r="J32" s="37" t="str">
        <f aca="false">IF($I32="","",IFERROR(INDEX('Nhà cung cấp'!$B$4:$B$203,MATCH($I32,'Nhà cung cấp'!$A$4:$A$203,0)),""))</f>
        <v/>
      </c>
      <c r="K32" s="34"/>
      <c r="L32" s="38" t="str">
        <f aca="false">IF($A32="","",IFERROR($G32*$K32,""))</f>
        <v/>
      </c>
      <c r="M32" s="34"/>
      <c r="N32" s="38" t="str">
        <f aca="false">IF($I32="","",IFERROR(INDEX('Nhà cung cấp'!$G$4:$G$203,MATCH($I32,'Nhà cung cấp'!$A$4:$A$203,0)),""))</f>
        <v/>
      </c>
      <c r="O32" s="33"/>
      <c r="P32" s="38" t="str">
        <f aca="false">IF($C32="","",IFERROR(_xlfn.MINIFS($L$4:$L$203,$C$4:$C$203,$C32,$L$4:$L$203,"&gt;0"),""))</f>
        <v/>
      </c>
      <c r="Q32" s="38" t="str">
        <f aca="false">IF($A32="","",IFERROR($L32-$P32,""))</f>
        <v/>
      </c>
      <c r="R32" s="38" t="str">
        <f aca="false">IF($A32="","",IFERROR($L32-$H32,""))</f>
        <v/>
      </c>
      <c r="S32" s="39" t="str">
        <f aca="false">IF($A32="","",IFERROR($R32/$H32,""))</f>
        <v/>
      </c>
      <c r="T32" s="32"/>
      <c r="U32" s="37" t="str">
        <f aca="false">IF($C32="","",IFERROR(INDEX(PR!$A$4:$A$203,MATCH($C32,PR!$C$4:$C$203,0)),""))</f>
        <v/>
      </c>
      <c r="V32" s="32"/>
    </row>
    <row r="33" customFormat="false" ht="15" hidden="false" customHeight="false" outlineLevel="0" collapsed="false">
      <c r="A33" s="32"/>
      <c r="B33" s="33"/>
      <c r="C33" s="32"/>
      <c r="D33" s="37" t="str">
        <f aca="false">IF($C33="","",IFERROR(INDEX('Check giá'!$C$4:$C$203,MATCH($C33,'Check giá'!$A$4:$A$203,0)),""))</f>
        <v/>
      </c>
      <c r="E33" s="37" t="str">
        <f aca="false">IF($C33="","",IFERROR(INDEX('Check giá'!$D$4:$D$203,MATCH($C33,'Check giá'!$A$4:$A$203,0)),""))</f>
        <v/>
      </c>
      <c r="F33" s="37" t="str">
        <f aca="false">IF($C33="","",IFERROR(INDEX('Check giá'!$F$4:$F$203,MATCH($C33,'Check giá'!$A$4:$A$203,0)),""))</f>
        <v/>
      </c>
      <c r="G33" s="38" t="str">
        <f aca="false">IF($C33="","",IFERROR(INDEX('Check giá'!$H$4:$H$203,MATCH($C33,'Check giá'!$A$4:$A$203,0)),""))</f>
        <v/>
      </c>
      <c r="H33" s="38" t="str">
        <f aca="false">IF($C33="","",IFERROR(INDEX('Check giá'!$J$4:$J$203,MATCH($C33,'Check giá'!$A$4:$A$203,0)),""))</f>
        <v/>
      </c>
      <c r="I33" s="32"/>
      <c r="J33" s="37" t="str">
        <f aca="false">IF($I33="","",IFERROR(INDEX('Nhà cung cấp'!$B$4:$B$203,MATCH($I33,'Nhà cung cấp'!$A$4:$A$203,0)),""))</f>
        <v/>
      </c>
      <c r="K33" s="34"/>
      <c r="L33" s="38" t="str">
        <f aca="false">IF($A33="","",IFERROR($G33*$K33,""))</f>
        <v/>
      </c>
      <c r="M33" s="34"/>
      <c r="N33" s="38" t="str">
        <f aca="false">IF($I33="","",IFERROR(INDEX('Nhà cung cấp'!$G$4:$G$203,MATCH($I33,'Nhà cung cấp'!$A$4:$A$203,0)),""))</f>
        <v/>
      </c>
      <c r="O33" s="33"/>
      <c r="P33" s="38" t="str">
        <f aca="false">IF($C33="","",IFERROR(_xlfn.MINIFS($L$4:$L$203,$C$4:$C$203,$C33,$L$4:$L$203,"&gt;0"),""))</f>
        <v/>
      </c>
      <c r="Q33" s="38" t="str">
        <f aca="false">IF($A33="","",IFERROR($L33-$P33,""))</f>
        <v/>
      </c>
      <c r="R33" s="38" t="str">
        <f aca="false">IF($A33="","",IFERROR($L33-$H33,""))</f>
        <v/>
      </c>
      <c r="S33" s="39" t="str">
        <f aca="false">IF($A33="","",IFERROR($R33/$H33,""))</f>
        <v/>
      </c>
      <c r="T33" s="32"/>
      <c r="U33" s="37" t="str">
        <f aca="false">IF($C33="","",IFERROR(INDEX(PR!$A$4:$A$203,MATCH($C33,PR!$C$4:$C$203,0)),""))</f>
        <v/>
      </c>
      <c r="V33" s="32"/>
    </row>
    <row r="34" customFormat="false" ht="15" hidden="false" customHeight="false" outlineLevel="0" collapsed="false">
      <c r="A34" s="32"/>
      <c r="B34" s="33"/>
      <c r="C34" s="32"/>
      <c r="D34" s="37" t="str">
        <f aca="false">IF($C34="","",IFERROR(INDEX('Check giá'!$C$4:$C$203,MATCH($C34,'Check giá'!$A$4:$A$203,0)),""))</f>
        <v/>
      </c>
      <c r="E34" s="37" t="str">
        <f aca="false">IF($C34="","",IFERROR(INDEX('Check giá'!$D$4:$D$203,MATCH($C34,'Check giá'!$A$4:$A$203,0)),""))</f>
        <v/>
      </c>
      <c r="F34" s="37" t="str">
        <f aca="false">IF($C34="","",IFERROR(INDEX('Check giá'!$F$4:$F$203,MATCH($C34,'Check giá'!$A$4:$A$203,0)),""))</f>
        <v/>
      </c>
      <c r="G34" s="38" t="str">
        <f aca="false">IF($C34="","",IFERROR(INDEX('Check giá'!$H$4:$H$203,MATCH($C34,'Check giá'!$A$4:$A$203,0)),""))</f>
        <v/>
      </c>
      <c r="H34" s="38" t="str">
        <f aca="false">IF($C34="","",IFERROR(INDEX('Check giá'!$J$4:$J$203,MATCH($C34,'Check giá'!$A$4:$A$203,0)),""))</f>
        <v/>
      </c>
      <c r="I34" s="32"/>
      <c r="J34" s="37" t="str">
        <f aca="false">IF($I34="","",IFERROR(INDEX('Nhà cung cấp'!$B$4:$B$203,MATCH($I34,'Nhà cung cấp'!$A$4:$A$203,0)),""))</f>
        <v/>
      </c>
      <c r="K34" s="34"/>
      <c r="L34" s="38" t="str">
        <f aca="false">IF($A34="","",IFERROR($G34*$K34,""))</f>
        <v/>
      </c>
      <c r="M34" s="34"/>
      <c r="N34" s="38" t="str">
        <f aca="false">IF($I34="","",IFERROR(INDEX('Nhà cung cấp'!$G$4:$G$203,MATCH($I34,'Nhà cung cấp'!$A$4:$A$203,0)),""))</f>
        <v/>
      </c>
      <c r="O34" s="33"/>
      <c r="P34" s="38" t="str">
        <f aca="false">IF($C34="","",IFERROR(_xlfn.MINIFS($L$4:$L$203,$C$4:$C$203,$C34,$L$4:$L$203,"&gt;0"),""))</f>
        <v/>
      </c>
      <c r="Q34" s="38" t="str">
        <f aca="false">IF($A34="","",IFERROR($L34-$P34,""))</f>
        <v/>
      </c>
      <c r="R34" s="38" t="str">
        <f aca="false">IF($A34="","",IFERROR($L34-$H34,""))</f>
        <v/>
      </c>
      <c r="S34" s="39" t="str">
        <f aca="false">IF($A34="","",IFERROR($R34/$H34,""))</f>
        <v/>
      </c>
      <c r="T34" s="32"/>
      <c r="U34" s="37" t="str">
        <f aca="false">IF($C34="","",IFERROR(INDEX(PR!$A$4:$A$203,MATCH($C34,PR!$C$4:$C$203,0)),""))</f>
        <v/>
      </c>
      <c r="V34" s="32"/>
    </row>
    <row r="35" customFormat="false" ht="15" hidden="false" customHeight="false" outlineLevel="0" collapsed="false">
      <c r="A35" s="32"/>
      <c r="B35" s="33"/>
      <c r="C35" s="32"/>
      <c r="D35" s="37" t="str">
        <f aca="false">IF($C35="","",IFERROR(INDEX('Check giá'!$C$4:$C$203,MATCH($C35,'Check giá'!$A$4:$A$203,0)),""))</f>
        <v/>
      </c>
      <c r="E35" s="37" t="str">
        <f aca="false">IF($C35="","",IFERROR(INDEX('Check giá'!$D$4:$D$203,MATCH($C35,'Check giá'!$A$4:$A$203,0)),""))</f>
        <v/>
      </c>
      <c r="F35" s="37" t="str">
        <f aca="false">IF($C35="","",IFERROR(INDEX('Check giá'!$F$4:$F$203,MATCH($C35,'Check giá'!$A$4:$A$203,0)),""))</f>
        <v/>
      </c>
      <c r="G35" s="38" t="str">
        <f aca="false">IF($C35="","",IFERROR(INDEX('Check giá'!$H$4:$H$203,MATCH($C35,'Check giá'!$A$4:$A$203,0)),""))</f>
        <v/>
      </c>
      <c r="H35" s="38" t="str">
        <f aca="false">IF($C35="","",IFERROR(INDEX('Check giá'!$J$4:$J$203,MATCH($C35,'Check giá'!$A$4:$A$203,0)),""))</f>
        <v/>
      </c>
      <c r="I35" s="32"/>
      <c r="J35" s="37" t="str">
        <f aca="false">IF($I35="","",IFERROR(INDEX('Nhà cung cấp'!$B$4:$B$203,MATCH($I35,'Nhà cung cấp'!$A$4:$A$203,0)),""))</f>
        <v/>
      </c>
      <c r="K35" s="34"/>
      <c r="L35" s="38" t="str">
        <f aca="false">IF($A35="","",IFERROR($G35*$K35,""))</f>
        <v/>
      </c>
      <c r="M35" s="34"/>
      <c r="N35" s="38" t="str">
        <f aca="false">IF($I35="","",IFERROR(INDEX('Nhà cung cấp'!$G$4:$G$203,MATCH($I35,'Nhà cung cấp'!$A$4:$A$203,0)),""))</f>
        <v/>
      </c>
      <c r="O35" s="33"/>
      <c r="P35" s="38" t="str">
        <f aca="false">IF($C35="","",IFERROR(_xlfn.MINIFS($L$4:$L$203,$C$4:$C$203,$C35,$L$4:$L$203,"&gt;0"),""))</f>
        <v/>
      </c>
      <c r="Q35" s="38" t="str">
        <f aca="false">IF($A35="","",IFERROR($L35-$P35,""))</f>
        <v/>
      </c>
      <c r="R35" s="38" t="str">
        <f aca="false">IF($A35="","",IFERROR($L35-$H35,""))</f>
        <v/>
      </c>
      <c r="S35" s="39" t="str">
        <f aca="false">IF($A35="","",IFERROR($R35/$H35,""))</f>
        <v/>
      </c>
      <c r="T35" s="32"/>
      <c r="U35" s="37" t="str">
        <f aca="false">IF($C35="","",IFERROR(INDEX(PR!$A$4:$A$203,MATCH($C35,PR!$C$4:$C$203,0)),""))</f>
        <v/>
      </c>
      <c r="V35" s="32"/>
    </row>
    <row r="36" customFormat="false" ht="15" hidden="false" customHeight="false" outlineLevel="0" collapsed="false">
      <c r="A36" s="32"/>
      <c r="B36" s="33"/>
      <c r="C36" s="32"/>
      <c r="D36" s="37" t="str">
        <f aca="false">IF($C36="","",IFERROR(INDEX('Check giá'!$C$4:$C$203,MATCH($C36,'Check giá'!$A$4:$A$203,0)),""))</f>
        <v/>
      </c>
      <c r="E36" s="37" t="str">
        <f aca="false">IF($C36="","",IFERROR(INDEX('Check giá'!$D$4:$D$203,MATCH($C36,'Check giá'!$A$4:$A$203,0)),""))</f>
        <v/>
      </c>
      <c r="F36" s="37" t="str">
        <f aca="false">IF($C36="","",IFERROR(INDEX('Check giá'!$F$4:$F$203,MATCH($C36,'Check giá'!$A$4:$A$203,0)),""))</f>
        <v/>
      </c>
      <c r="G36" s="38" t="str">
        <f aca="false">IF($C36="","",IFERROR(INDEX('Check giá'!$H$4:$H$203,MATCH($C36,'Check giá'!$A$4:$A$203,0)),""))</f>
        <v/>
      </c>
      <c r="H36" s="38" t="str">
        <f aca="false">IF($C36="","",IFERROR(INDEX('Check giá'!$J$4:$J$203,MATCH($C36,'Check giá'!$A$4:$A$203,0)),""))</f>
        <v/>
      </c>
      <c r="I36" s="32"/>
      <c r="J36" s="37" t="str">
        <f aca="false">IF($I36="","",IFERROR(INDEX('Nhà cung cấp'!$B$4:$B$203,MATCH($I36,'Nhà cung cấp'!$A$4:$A$203,0)),""))</f>
        <v/>
      </c>
      <c r="K36" s="34"/>
      <c r="L36" s="38" t="str">
        <f aca="false">IF($A36="","",IFERROR($G36*$K36,""))</f>
        <v/>
      </c>
      <c r="M36" s="34"/>
      <c r="N36" s="38" t="str">
        <f aca="false">IF($I36="","",IFERROR(INDEX('Nhà cung cấp'!$G$4:$G$203,MATCH($I36,'Nhà cung cấp'!$A$4:$A$203,0)),""))</f>
        <v/>
      </c>
      <c r="O36" s="33"/>
      <c r="P36" s="38" t="str">
        <f aca="false">IF($C36="","",IFERROR(_xlfn.MINIFS($L$4:$L$203,$C$4:$C$203,$C36,$L$4:$L$203,"&gt;0"),""))</f>
        <v/>
      </c>
      <c r="Q36" s="38" t="str">
        <f aca="false">IF($A36="","",IFERROR($L36-$P36,""))</f>
        <v/>
      </c>
      <c r="R36" s="38" t="str">
        <f aca="false">IF($A36="","",IFERROR($L36-$H36,""))</f>
        <v/>
      </c>
      <c r="S36" s="39" t="str">
        <f aca="false">IF($A36="","",IFERROR($R36/$H36,""))</f>
        <v/>
      </c>
      <c r="T36" s="32"/>
      <c r="U36" s="37" t="str">
        <f aca="false">IF($C36="","",IFERROR(INDEX(PR!$A$4:$A$203,MATCH($C36,PR!$C$4:$C$203,0)),""))</f>
        <v/>
      </c>
      <c r="V36" s="32"/>
    </row>
    <row r="37" customFormat="false" ht="15" hidden="false" customHeight="false" outlineLevel="0" collapsed="false">
      <c r="A37" s="32"/>
      <c r="B37" s="33"/>
      <c r="C37" s="32"/>
      <c r="D37" s="37" t="str">
        <f aca="false">IF($C37="","",IFERROR(INDEX('Check giá'!$C$4:$C$203,MATCH($C37,'Check giá'!$A$4:$A$203,0)),""))</f>
        <v/>
      </c>
      <c r="E37" s="37" t="str">
        <f aca="false">IF($C37="","",IFERROR(INDEX('Check giá'!$D$4:$D$203,MATCH($C37,'Check giá'!$A$4:$A$203,0)),""))</f>
        <v/>
      </c>
      <c r="F37" s="37" t="str">
        <f aca="false">IF($C37="","",IFERROR(INDEX('Check giá'!$F$4:$F$203,MATCH($C37,'Check giá'!$A$4:$A$203,0)),""))</f>
        <v/>
      </c>
      <c r="G37" s="38" t="str">
        <f aca="false">IF($C37="","",IFERROR(INDEX('Check giá'!$H$4:$H$203,MATCH($C37,'Check giá'!$A$4:$A$203,0)),""))</f>
        <v/>
      </c>
      <c r="H37" s="38" t="str">
        <f aca="false">IF($C37="","",IFERROR(INDEX('Check giá'!$J$4:$J$203,MATCH($C37,'Check giá'!$A$4:$A$203,0)),""))</f>
        <v/>
      </c>
      <c r="I37" s="32"/>
      <c r="J37" s="37" t="str">
        <f aca="false">IF($I37="","",IFERROR(INDEX('Nhà cung cấp'!$B$4:$B$203,MATCH($I37,'Nhà cung cấp'!$A$4:$A$203,0)),""))</f>
        <v/>
      </c>
      <c r="K37" s="34"/>
      <c r="L37" s="38" t="str">
        <f aca="false">IF($A37="","",IFERROR($G37*$K37,""))</f>
        <v/>
      </c>
      <c r="M37" s="34"/>
      <c r="N37" s="38" t="str">
        <f aca="false">IF($I37="","",IFERROR(INDEX('Nhà cung cấp'!$G$4:$G$203,MATCH($I37,'Nhà cung cấp'!$A$4:$A$203,0)),""))</f>
        <v/>
      </c>
      <c r="O37" s="33"/>
      <c r="P37" s="38" t="str">
        <f aca="false">IF($C37="","",IFERROR(_xlfn.MINIFS($L$4:$L$203,$C$4:$C$203,$C37,$L$4:$L$203,"&gt;0"),""))</f>
        <v/>
      </c>
      <c r="Q37" s="38" t="str">
        <f aca="false">IF($A37="","",IFERROR($L37-$P37,""))</f>
        <v/>
      </c>
      <c r="R37" s="38" t="str">
        <f aca="false">IF($A37="","",IFERROR($L37-$H37,""))</f>
        <v/>
      </c>
      <c r="S37" s="39" t="str">
        <f aca="false">IF($A37="","",IFERROR($R37/$H37,""))</f>
        <v/>
      </c>
      <c r="T37" s="32"/>
      <c r="U37" s="37" t="str">
        <f aca="false">IF($C37="","",IFERROR(INDEX(PR!$A$4:$A$203,MATCH($C37,PR!$C$4:$C$203,0)),""))</f>
        <v/>
      </c>
      <c r="V37" s="32"/>
    </row>
    <row r="38" customFormat="false" ht="15" hidden="false" customHeight="false" outlineLevel="0" collapsed="false">
      <c r="A38" s="32"/>
      <c r="B38" s="33"/>
      <c r="C38" s="32"/>
      <c r="D38" s="37" t="str">
        <f aca="false">IF($C38="","",IFERROR(INDEX('Check giá'!$C$4:$C$203,MATCH($C38,'Check giá'!$A$4:$A$203,0)),""))</f>
        <v/>
      </c>
      <c r="E38" s="37" t="str">
        <f aca="false">IF($C38="","",IFERROR(INDEX('Check giá'!$D$4:$D$203,MATCH($C38,'Check giá'!$A$4:$A$203,0)),""))</f>
        <v/>
      </c>
      <c r="F38" s="37" t="str">
        <f aca="false">IF($C38="","",IFERROR(INDEX('Check giá'!$F$4:$F$203,MATCH($C38,'Check giá'!$A$4:$A$203,0)),""))</f>
        <v/>
      </c>
      <c r="G38" s="38" t="str">
        <f aca="false">IF($C38="","",IFERROR(INDEX('Check giá'!$H$4:$H$203,MATCH($C38,'Check giá'!$A$4:$A$203,0)),""))</f>
        <v/>
      </c>
      <c r="H38" s="38" t="str">
        <f aca="false">IF($C38="","",IFERROR(INDEX('Check giá'!$J$4:$J$203,MATCH($C38,'Check giá'!$A$4:$A$203,0)),""))</f>
        <v/>
      </c>
      <c r="I38" s="32"/>
      <c r="J38" s="37" t="str">
        <f aca="false">IF($I38="","",IFERROR(INDEX('Nhà cung cấp'!$B$4:$B$203,MATCH($I38,'Nhà cung cấp'!$A$4:$A$203,0)),""))</f>
        <v/>
      </c>
      <c r="K38" s="34"/>
      <c r="L38" s="38" t="str">
        <f aca="false">IF($A38="","",IFERROR($G38*$K38,""))</f>
        <v/>
      </c>
      <c r="M38" s="34"/>
      <c r="N38" s="38" t="str">
        <f aca="false">IF($I38="","",IFERROR(INDEX('Nhà cung cấp'!$G$4:$G$203,MATCH($I38,'Nhà cung cấp'!$A$4:$A$203,0)),""))</f>
        <v/>
      </c>
      <c r="O38" s="33"/>
      <c r="P38" s="38" t="str">
        <f aca="false">IF($C38="","",IFERROR(_xlfn.MINIFS($L$4:$L$203,$C$4:$C$203,$C38,$L$4:$L$203,"&gt;0"),""))</f>
        <v/>
      </c>
      <c r="Q38" s="38" t="str">
        <f aca="false">IF($A38="","",IFERROR($L38-$P38,""))</f>
        <v/>
      </c>
      <c r="R38" s="38" t="str">
        <f aca="false">IF($A38="","",IFERROR($L38-$H38,""))</f>
        <v/>
      </c>
      <c r="S38" s="39" t="str">
        <f aca="false">IF($A38="","",IFERROR($R38/$H38,""))</f>
        <v/>
      </c>
      <c r="T38" s="32"/>
      <c r="U38" s="37" t="str">
        <f aca="false">IF($C38="","",IFERROR(INDEX(PR!$A$4:$A$203,MATCH($C38,PR!$C$4:$C$203,0)),""))</f>
        <v/>
      </c>
      <c r="V38" s="32"/>
    </row>
    <row r="39" customFormat="false" ht="15" hidden="false" customHeight="false" outlineLevel="0" collapsed="false">
      <c r="A39" s="32"/>
      <c r="B39" s="33"/>
      <c r="C39" s="32"/>
      <c r="D39" s="37" t="str">
        <f aca="false">IF($C39="","",IFERROR(INDEX('Check giá'!$C$4:$C$203,MATCH($C39,'Check giá'!$A$4:$A$203,0)),""))</f>
        <v/>
      </c>
      <c r="E39" s="37" t="str">
        <f aca="false">IF($C39="","",IFERROR(INDEX('Check giá'!$D$4:$D$203,MATCH($C39,'Check giá'!$A$4:$A$203,0)),""))</f>
        <v/>
      </c>
      <c r="F39" s="37" t="str">
        <f aca="false">IF($C39="","",IFERROR(INDEX('Check giá'!$F$4:$F$203,MATCH($C39,'Check giá'!$A$4:$A$203,0)),""))</f>
        <v/>
      </c>
      <c r="G39" s="38" t="str">
        <f aca="false">IF($C39="","",IFERROR(INDEX('Check giá'!$H$4:$H$203,MATCH($C39,'Check giá'!$A$4:$A$203,0)),""))</f>
        <v/>
      </c>
      <c r="H39" s="38" t="str">
        <f aca="false">IF($C39="","",IFERROR(INDEX('Check giá'!$J$4:$J$203,MATCH($C39,'Check giá'!$A$4:$A$203,0)),""))</f>
        <v/>
      </c>
      <c r="I39" s="32"/>
      <c r="J39" s="37" t="str">
        <f aca="false">IF($I39="","",IFERROR(INDEX('Nhà cung cấp'!$B$4:$B$203,MATCH($I39,'Nhà cung cấp'!$A$4:$A$203,0)),""))</f>
        <v/>
      </c>
      <c r="K39" s="34"/>
      <c r="L39" s="38" t="str">
        <f aca="false">IF($A39="","",IFERROR($G39*$K39,""))</f>
        <v/>
      </c>
      <c r="M39" s="34"/>
      <c r="N39" s="38" t="str">
        <f aca="false">IF($I39="","",IFERROR(INDEX('Nhà cung cấp'!$G$4:$G$203,MATCH($I39,'Nhà cung cấp'!$A$4:$A$203,0)),""))</f>
        <v/>
      </c>
      <c r="O39" s="33"/>
      <c r="P39" s="38" t="str">
        <f aca="false">IF($C39="","",IFERROR(_xlfn.MINIFS($L$4:$L$203,$C$4:$C$203,$C39,$L$4:$L$203,"&gt;0"),""))</f>
        <v/>
      </c>
      <c r="Q39" s="38" t="str">
        <f aca="false">IF($A39="","",IFERROR($L39-$P39,""))</f>
        <v/>
      </c>
      <c r="R39" s="38" t="str">
        <f aca="false">IF($A39="","",IFERROR($L39-$H39,""))</f>
        <v/>
      </c>
      <c r="S39" s="39" t="str">
        <f aca="false">IF($A39="","",IFERROR($R39/$H39,""))</f>
        <v/>
      </c>
      <c r="T39" s="32"/>
      <c r="U39" s="37" t="str">
        <f aca="false">IF($C39="","",IFERROR(INDEX(PR!$A$4:$A$203,MATCH($C39,PR!$C$4:$C$203,0)),""))</f>
        <v/>
      </c>
      <c r="V39" s="32"/>
    </row>
    <row r="40" customFormat="false" ht="15" hidden="false" customHeight="false" outlineLevel="0" collapsed="false">
      <c r="A40" s="32"/>
      <c r="B40" s="33"/>
      <c r="C40" s="32"/>
      <c r="D40" s="37" t="str">
        <f aca="false">IF($C40="","",IFERROR(INDEX('Check giá'!$C$4:$C$203,MATCH($C40,'Check giá'!$A$4:$A$203,0)),""))</f>
        <v/>
      </c>
      <c r="E40" s="37" t="str">
        <f aca="false">IF($C40="","",IFERROR(INDEX('Check giá'!$D$4:$D$203,MATCH($C40,'Check giá'!$A$4:$A$203,0)),""))</f>
        <v/>
      </c>
      <c r="F40" s="37" t="str">
        <f aca="false">IF($C40="","",IFERROR(INDEX('Check giá'!$F$4:$F$203,MATCH($C40,'Check giá'!$A$4:$A$203,0)),""))</f>
        <v/>
      </c>
      <c r="G40" s="38" t="str">
        <f aca="false">IF($C40="","",IFERROR(INDEX('Check giá'!$H$4:$H$203,MATCH($C40,'Check giá'!$A$4:$A$203,0)),""))</f>
        <v/>
      </c>
      <c r="H40" s="38" t="str">
        <f aca="false">IF($C40="","",IFERROR(INDEX('Check giá'!$J$4:$J$203,MATCH($C40,'Check giá'!$A$4:$A$203,0)),""))</f>
        <v/>
      </c>
      <c r="I40" s="32"/>
      <c r="J40" s="37" t="str">
        <f aca="false">IF($I40="","",IFERROR(INDEX('Nhà cung cấp'!$B$4:$B$203,MATCH($I40,'Nhà cung cấp'!$A$4:$A$203,0)),""))</f>
        <v/>
      </c>
      <c r="K40" s="34"/>
      <c r="L40" s="38" t="str">
        <f aca="false">IF($A40="","",IFERROR($G40*$K40,""))</f>
        <v/>
      </c>
      <c r="M40" s="34"/>
      <c r="N40" s="38" t="str">
        <f aca="false">IF($I40="","",IFERROR(INDEX('Nhà cung cấp'!$G$4:$G$203,MATCH($I40,'Nhà cung cấp'!$A$4:$A$203,0)),""))</f>
        <v/>
      </c>
      <c r="O40" s="33"/>
      <c r="P40" s="38" t="str">
        <f aca="false">IF($C40="","",IFERROR(_xlfn.MINIFS($L$4:$L$203,$C$4:$C$203,$C40,$L$4:$L$203,"&gt;0"),""))</f>
        <v/>
      </c>
      <c r="Q40" s="38" t="str">
        <f aca="false">IF($A40="","",IFERROR($L40-$P40,""))</f>
        <v/>
      </c>
      <c r="R40" s="38" t="str">
        <f aca="false">IF($A40="","",IFERROR($L40-$H40,""))</f>
        <v/>
      </c>
      <c r="S40" s="39" t="str">
        <f aca="false">IF($A40="","",IFERROR($R40/$H40,""))</f>
        <v/>
      </c>
      <c r="T40" s="32"/>
      <c r="U40" s="37" t="str">
        <f aca="false">IF($C40="","",IFERROR(INDEX(PR!$A$4:$A$203,MATCH($C40,PR!$C$4:$C$203,0)),""))</f>
        <v/>
      </c>
      <c r="V40" s="32"/>
    </row>
    <row r="41" customFormat="false" ht="15" hidden="false" customHeight="false" outlineLevel="0" collapsed="false">
      <c r="A41" s="32"/>
      <c r="B41" s="33"/>
      <c r="C41" s="32"/>
      <c r="D41" s="37" t="str">
        <f aca="false">IF($C41="","",IFERROR(INDEX('Check giá'!$C$4:$C$203,MATCH($C41,'Check giá'!$A$4:$A$203,0)),""))</f>
        <v/>
      </c>
      <c r="E41" s="37" t="str">
        <f aca="false">IF($C41="","",IFERROR(INDEX('Check giá'!$D$4:$D$203,MATCH($C41,'Check giá'!$A$4:$A$203,0)),""))</f>
        <v/>
      </c>
      <c r="F41" s="37" t="str">
        <f aca="false">IF($C41="","",IFERROR(INDEX('Check giá'!$F$4:$F$203,MATCH($C41,'Check giá'!$A$4:$A$203,0)),""))</f>
        <v/>
      </c>
      <c r="G41" s="38" t="str">
        <f aca="false">IF($C41="","",IFERROR(INDEX('Check giá'!$H$4:$H$203,MATCH($C41,'Check giá'!$A$4:$A$203,0)),""))</f>
        <v/>
      </c>
      <c r="H41" s="38" t="str">
        <f aca="false">IF($C41="","",IFERROR(INDEX('Check giá'!$J$4:$J$203,MATCH($C41,'Check giá'!$A$4:$A$203,0)),""))</f>
        <v/>
      </c>
      <c r="I41" s="32"/>
      <c r="J41" s="37" t="str">
        <f aca="false">IF($I41="","",IFERROR(INDEX('Nhà cung cấp'!$B$4:$B$203,MATCH($I41,'Nhà cung cấp'!$A$4:$A$203,0)),""))</f>
        <v/>
      </c>
      <c r="K41" s="34"/>
      <c r="L41" s="38" t="str">
        <f aca="false">IF($A41="","",IFERROR($G41*$K41,""))</f>
        <v/>
      </c>
      <c r="M41" s="34"/>
      <c r="N41" s="38" t="str">
        <f aca="false">IF($I41="","",IFERROR(INDEX('Nhà cung cấp'!$G$4:$G$203,MATCH($I41,'Nhà cung cấp'!$A$4:$A$203,0)),""))</f>
        <v/>
      </c>
      <c r="O41" s="33"/>
      <c r="P41" s="38" t="str">
        <f aca="false">IF($C41="","",IFERROR(_xlfn.MINIFS($L$4:$L$203,$C$4:$C$203,$C41,$L$4:$L$203,"&gt;0"),""))</f>
        <v/>
      </c>
      <c r="Q41" s="38" t="str">
        <f aca="false">IF($A41="","",IFERROR($L41-$P41,""))</f>
        <v/>
      </c>
      <c r="R41" s="38" t="str">
        <f aca="false">IF($A41="","",IFERROR($L41-$H41,""))</f>
        <v/>
      </c>
      <c r="S41" s="39" t="str">
        <f aca="false">IF($A41="","",IFERROR($R41/$H41,""))</f>
        <v/>
      </c>
      <c r="T41" s="32"/>
      <c r="U41" s="37" t="str">
        <f aca="false">IF($C41="","",IFERROR(INDEX(PR!$A$4:$A$203,MATCH($C41,PR!$C$4:$C$203,0)),""))</f>
        <v/>
      </c>
      <c r="V41" s="32"/>
    </row>
    <row r="42" customFormat="false" ht="15" hidden="false" customHeight="false" outlineLevel="0" collapsed="false">
      <c r="A42" s="32"/>
      <c r="B42" s="33"/>
      <c r="C42" s="32"/>
      <c r="D42" s="37" t="str">
        <f aca="false">IF($C42="","",IFERROR(INDEX('Check giá'!$C$4:$C$203,MATCH($C42,'Check giá'!$A$4:$A$203,0)),""))</f>
        <v/>
      </c>
      <c r="E42" s="37" t="str">
        <f aca="false">IF($C42="","",IFERROR(INDEX('Check giá'!$D$4:$D$203,MATCH($C42,'Check giá'!$A$4:$A$203,0)),""))</f>
        <v/>
      </c>
      <c r="F42" s="37" t="str">
        <f aca="false">IF($C42="","",IFERROR(INDEX('Check giá'!$F$4:$F$203,MATCH($C42,'Check giá'!$A$4:$A$203,0)),""))</f>
        <v/>
      </c>
      <c r="G42" s="38" t="str">
        <f aca="false">IF($C42="","",IFERROR(INDEX('Check giá'!$H$4:$H$203,MATCH($C42,'Check giá'!$A$4:$A$203,0)),""))</f>
        <v/>
      </c>
      <c r="H42" s="38" t="str">
        <f aca="false">IF($C42="","",IFERROR(INDEX('Check giá'!$J$4:$J$203,MATCH($C42,'Check giá'!$A$4:$A$203,0)),""))</f>
        <v/>
      </c>
      <c r="I42" s="32"/>
      <c r="J42" s="37" t="str">
        <f aca="false">IF($I42="","",IFERROR(INDEX('Nhà cung cấp'!$B$4:$B$203,MATCH($I42,'Nhà cung cấp'!$A$4:$A$203,0)),""))</f>
        <v/>
      </c>
      <c r="K42" s="34"/>
      <c r="L42" s="38" t="str">
        <f aca="false">IF($A42="","",IFERROR($G42*$K42,""))</f>
        <v/>
      </c>
      <c r="M42" s="34"/>
      <c r="N42" s="38" t="str">
        <f aca="false">IF($I42="","",IFERROR(INDEX('Nhà cung cấp'!$G$4:$G$203,MATCH($I42,'Nhà cung cấp'!$A$4:$A$203,0)),""))</f>
        <v/>
      </c>
      <c r="O42" s="33"/>
      <c r="P42" s="38" t="str">
        <f aca="false">IF($C42="","",IFERROR(_xlfn.MINIFS($L$4:$L$203,$C$4:$C$203,$C42,$L$4:$L$203,"&gt;0"),""))</f>
        <v/>
      </c>
      <c r="Q42" s="38" t="str">
        <f aca="false">IF($A42="","",IFERROR($L42-$P42,""))</f>
        <v/>
      </c>
      <c r="R42" s="38" t="str">
        <f aca="false">IF($A42="","",IFERROR($L42-$H42,""))</f>
        <v/>
      </c>
      <c r="S42" s="39" t="str">
        <f aca="false">IF($A42="","",IFERROR($R42/$H42,""))</f>
        <v/>
      </c>
      <c r="T42" s="32"/>
      <c r="U42" s="37" t="str">
        <f aca="false">IF($C42="","",IFERROR(INDEX(PR!$A$4:$A$203,MATCH($C42,PR!$C$4:$C$203,0)),""))</f>
        <v/>
      </c>
      <c r="V42" s="32"/>
    </row>
    <row r="43" customFormat="false" ht="15" hidden="false" customHeight="false" outlineLevel="0" collapsed="false">
      <c r="A43" s="32"/>
      <c r="B43" s="33"/>
      <c r="C43" s="32"/>
      <c r="D43" s="37" t="str">
        <f aca="false">IF($C43="","",IFERROR(INDEX('Check giá'!$C$4:$C$203,MATCH($C43,'Check giá'!$A$4:$A$203,0)),""))</f>
        <v/>
      </c>
      <c r="E43" s="37" t="str">
        <f aca="false">IF($C43="","",IFERROR(INDEX('Check giá'!$D$4:$D$203,MATCH($C43,'Check giá'!$A$4:$A$203,0)),""))</f>
        <v/>
      </c>
      <c r="F43" s="37" t="str">
        <f aca="false">IF($C43="","",IFERROR(INDEX('Check giá'!$F$4:$F$203,MATCH($C43,'Check giá'!$A$4:$A$203,0)),""))</f>
        <v/>
      </c>
      <c r="G43" s="38" t="str">
        <f aca="false">IF($C43="","",IFERROR(INDEX('Check giá'!$H$4:$H$203,MATCH($C43,'Check giá'!$A$4:$A$203,0)),""))</f>
        <v/>
      </c>
      <c r="H43" s="38" t="str">
        <f aca="false">IF($C43="","",IFERROR(INDEX('Check giá'!$J$4:$J$203,MATCH($C43,'Check giá'!$A$4:$A$203,0)),""))</f>
        <v/>
      </c>
      <c r="I43" s="32"/>
      <c r="J43" s="37" t="str">
        <f aca="false">IF($I43="","",IFERROR(INDEX('Nhà cung cấp'!$B$4:$B$203,MATCH($I43,'Nhà cung cấp'!$A$4:$A$203,0)),""))</f>
        <v/>
      </c>
      <c r="K43" s="34"/>
      <c r="L43" s="38" t="str">
        <f aca="false">IF($A43="","",IFERROR($G43*$K43,""))</f>
        <v/>
      </c>
      <c r="M43" s="34"/>
      <c r="N43" s="38" t="str">
        <f aca="false">IF($I43="","",IFERROR(INDEX('Nhà cung cấp'!$G$4:$G$203,MATCH($I43,'Nhà cung cấp'!$A$4:$A$203,0)),""))</f>
        <v/>
      </c>
      <c r="O43" s="33"/>
      <c r="P43" s="38" t="str">
        <f aca="false">IF($C43="","",IFERROR(_xlfn.MINIFS($L$4:$L$203,$C$4:$C$203,$C43,$L$4:$L$203,"&gt;0"),""))</f>
        <v/>
      </c>
      <c r="Q43" s="38" t="str">
        <f aca="false">IF($A43="","",IFERROR($L43-$P43,""))</f>
        <v/>
      </c>
      <c r="R43" s="38" t="str">
        <f aca="false">IF($A43="","",IFERROR($L43-$H43,""))</f>
        <v/>
      </c>
      <c r="S43" s="39" t="str">
        <f aca="false">IF($A43="","",IFERROR($R43/$H43,""))</f>
        <v/>
      </c>
      <c r="T43" s="32"/>
      <c r="U43" s="37" t="str">
        <f aca="false">IF($C43="","",IFERROR(INDEX(PR!$A$4:$A$203,MATCH($C43,PR!$C$4:$C$203,0)),""))</f>
        <v/>
      </c>
      <c r="V43" s="32"/>
    </row>
    <row r="44" customFormat="false" ht="15" hidden="false" customHeight="false" outlineLevel="0" collapsed="false">
      <c r="A44" s="32"/>
      <c r="B44" s="33"/>
      <c r="C44" s="32"/>
      <c r="D44" s="37" t="str">
        <f aca="false">IF($C44="","",IFERROR(INDEX('Check giá'!$C$4:$C$203,MATCH($C44,'Check giá'!$A$4:$A$203,0)),""))</f>
        <v/>
      </c>
      <c r="E44" s="37" t="str">
        <f aca="false">IF($C44="","",IFERROR(INDEX('Check giá'!$D$4:$D$203,MATCH($C44,'Check giá'!$A$4:$A$203,0)),""))</f>
        <v/>
      </c>
      <c r="F44" s="37" t="str">
        <f aca="false">IF($C44="","",IFERROR(INDEX('Check giá'!$F$4:$F$203,MATCH($C44,'Check giá'!$A$4:$A$203,0)),""))</f>
        <v/>
      </c>
      <c r="G44" s="38" t="str">
        <f aca="false">IF($C44="","",IFERROR(INDEX('Check giá'!$H$4:$H$203,MATCH($C44,'Check giá'!$A$4:$A$203,0)),""))</f>
        <v/>
      </c>
      <c r="H44" s="38" t="str">
        <f aca="false">IF($C44="","",IFERROR(INDEX('Check giá'!$J$4:$J$203,MATCH($C44,'Check giá'!$A$4:$A$203,0)),""))</f>
        <v/>
      </c>
      <c r="I44" s="32"/>
      <c r="J44" s="37" t="str">
        <f aca="false">IF($I44="","",IFERROR(INDEX('Nhà cung cấp'!$B$4:$B$203,MATCH($I44,'Nhà cung cấp'!$A$4:$A$203,0)),""))</f>
        <v/>
      </c>
      <c r="K44" s="34"/>
      <c r="L44" s="38" t="str">
        <f aca="false">IF($A44="","",IFERROR($G44*$K44,""))</f>
        <v/>
      </c>
      <c r="M44" s="34"/>
      <c r="N44" s="38" t="str">
        <f aca="false">IF($I44="","",IFERROR(INDEX('Nhà cung cấp'!$G$4:$G$203,MATCH($I44,'Nhà cung cấp'!$A$4:$A$203,0)),""))</f>
        <v/>
      </c>
      <c r="O44" s="33"/>
      <c r="P44" s="38" t="str">
        <f aca="false">IF($C44="","",IFERROR(_xlfn.MINIFS($L$4:$L$203,$C$4:$C$203,$C44,$L$4:$L$203,"&gt;0"),""))</f>
        <v/>
      </c>
      <c r="Q44" s="38" t="str">
        <f aca="false">IF($A44="","",IFERROR($L44-$P44,""))</f>
        <v/>
      </c>
      <c r="R44" s="38" t="str">
        <f aca="false">IF($A44="","",IFERROR($L44-$H44,""))</f>
        <v/>
      </c>
      <c r="S44" s="39" t="str">
        <f aca="false">IF($A44="","",IFERROR($R44/$H44,""))</f>
        <v/>
      </c>
      <c r="T44" s="32"/>
      <c r="U44" s="37" t="str">
        <f aca="false">IF($C44="","",IFERROR(INDEX(PR!$A$4:$A$203,MATCH($C44,PR!$C$4:$C$203,0)),""))</f>
        <v/>
      </c>
      <c r="V44" s="32"/>
    </row>
    <row r="45" customFormat="false" ht="15" hidden="false" customHeight="false" outlineLevel="0" collapsed="false">
      <c r="A45" s="32"/>
      <c r="B45" s="33"/>
      <c r="C45" s="32"/>
      <c r="D45" s="37" t="str">
        <f aca="false">IF($C45="","",IFERROR(INDEX('Check giá'!$C$4:$C$203,MATCH($C45,'Check giá'!$A$4:$A$203,0)),""))</f>
        <v/>
      </c>
      <c r="E45" s="37" t="str">
        <f aca="false">IF($C45="","",IFERROR(INDEX('Check giá'!$D$4:$D$203,MATCH($C45,'Check giá'!$A$4:$A$203,0)),""))</f>
        <v/>
      </c>
      <c r="F45" s="37" t="str">
        <f aca="false">IF($C45="","",IFERROR(INDEX('Check giá'!$F$4:$F$203,MATCH($C45,'Check giá'!$A$4:$A$203,0)),""))</f>
        <v/>
      </c>
      <c r="G45" s="38" t="str">
        <f aca="false">IF($C45="","",IFERROR(INDEX('Check giá'!$H$4:$H$203,MATCH($C45,'Check giá'!$A$4:$A$203,0)),""))</f>
        <v/>
      </c>
      <c r="H45" s="38" t="str">
        <f aca="false">IF($C45="","",IFERROR(INDEX('Check giá'!$J$4:$J$203,MATCH($C45,'Check giá'!$A$4:$A$203,0)),""))</f>
        <v/>
      </c>
      <c r="I45" s="32"/>
      <c r="J45" s="37" t="str">
        <f aca="false">IF($I45="","",IFERROR(INDEX('Nhà cung cấp'!$B$4:$B$203,MATCH($I45,'Nhà cung cấp'!$A$4:$A$203,0)),""))</f>
        <v/>
      </c>
      <c r="K45" s="34"/>
      <c r="L45" s="38" t="str">
        <f aca="false">IF($A45="","",IFERROR($G45*$K45,""))</f>
        <v/>
      </c>
      <c r="M45" s="34"/>
      <c r="N45" s="38" t="str">
        <f aca="false">IF($I45="","",IFERROR(INDEX('Nhà cung cấp'!$G$4:$G$203,MATCH($I45,'Nhà cung cấp'!$A$4:$A$203,0)),""))</f>
        <v/>
      </c>
      <c r="O45" s="33"/>
      <c r="P45" s="38" t="str">
        <f aca="false">IF($C45="","",IFERROR(_xlfn.MINIFS($L$4:$L$203,$C$4:$C$203,$C45,$L$4:$L$203,"&gt;0"),""))</f>
        <v/>
      </c>
      <c r="Q45" s="38" t="str">
        <f aca="false">IF($A45="","",IFERROR($L45-$P45,""))</f>
        <v/>
      </c>
      <c r="R45" s="38" t="str">
        <f aca="false">IF($A45="","",IFERROR($L45-$H45,""))</f>
        <v/>
      </c>
      <c r="S45" s="39" t="str">
        <f aca="false">IF($A45="","",IFERROR($R45/$H45,""))</f>
        <v/>
      </c>
      <c r="T45" s="32"/>
      <c r="U45" s="37" t="str">
        <f aca="false">IF($C45="","",IFERROR(INDEX(PR!$A$4:$A$203,MATCH($C45,PR!$C$4:$C$203,0)),""))</f>
        <v/>
      </c>
      <c r="V45" s="32"/>
    </row>
    <row r="46" customFormat="false" ht="15" hidden="false" customHeight="false" outlineLevel="0" collapsed="false">
      <c r="A46" s="32"/>
      <c r="B46" s="33"/>
      <c r="C46" s="32"/>
      <c r="D46" s="37" t="str">
        <f aca="false">IF($C46="","",IFERROR(INDEX('Check giá'!$C$4:$C$203,MATCH($C46,'Check giá'!$A$4:$A$203,0)),""))</f>
        <v/>
      </c>
      <c r="E46" s="37" t="str">
        <f aca="false">IF($C46="","",IFERROR(INDEX('Check giá'!$D$4:$D$203,MATCH($C46,'Check giá'!$A$4:$A$203,0)),""))</f>
        <v/>
      </c>
      <c r="F46" s="37" t="str">
        <f aca="false">IF($C46="","",IFERROR(INDEX('Check giá'!$F$4:$F$203,MATCH($C46,'Check giá'!$A$4:$A$203,0)),""))</f>
        <v/>
      </c>
      <c r="G46" s="38" t="str">
        <f aca="false">IF($C46="","",IFERROR(INDEX('Check giá'!$H$4:$H$203,MATCH($C46,'Check giá'!$A$4:$A$203,0)),""))</f>
        <v/>
      </c>
      <c r="H46" s="38" t="str">
        <f aca="false">IF($C46="","",IFERROR(INDEX('Check giá'!$J$4:$J$203,MATCH($C46,'Check giá'!$A$4:$A$203,0)),""))</f>
        <v/>
      </c>
      <c r="I46" s="32"/>
      <c r="J46" s="37" t="str">
        <f aca="false">IF($I46="","",IFERROR(INDEX('Nhà cung cấp'!$B$4:$B$203,MATCH($I46,'Nhà cung cấp'!$A$4:$A$203,0)),""))</f>
        <v/>
      </c>
      <c r="K46" s="34"/>
      <c r="L46" s="38" t="str">
        <f aca="false">IF($A46="","",IFERROR($G46*$K46,""))</f>
        <v/>
      </c>
      <c r="M46" s="34"/>
      <c r="N46" s="38" t="str">
        <f aca="false">IF($I46="","",IFERROR(INDEX('Nhà cung cấp'!$G$4:$G$203,MATCH($I46,'Nhà cung cấp'!$A$4:$A$203,0)),""))</f>
        <v/>
      </c>
      <c r="O46" s="33"/>
      <c r="P46" s="38" t="str">
        <f aca="false">IF($C46="","",IFERROR(_xlfn.MINIFS($L$4:$L$203,$C$4:$C$203,$C46,$L$4:$L$203,"&gt;0"),""))</f>
        <v/>
      </c>
      <c r="Q46" s="38" t="str">
        <f aca="false">IF($A46="","",IFERROR($L46-$P46,""))</f>
        <v/>
      </c>
      <c r="R46" s="38" t="str">
        <f aca="false">IF($A46="","",IFERROR($L46-$H46,""))</f>
        <v/>
      </c>
      <c r="S46" s="39" t="str">
        <f aca="false">IF($A46="","",IFERROR($R46/$H46,""))</f>
        <v/>
      </c>
      <c r="T46" s="32"/>
      <c r="U46" s="37" t="str">
        <f aca="false">IF($C46="","",IFERROR(INDEX(PR!$A$4:$A$203,MATCH($C46,PR!$C$4:$C$203,0)),""))</f>
        <v/>
      </c>
      <c r="V46" s="32"/>
    </row>
    <row r="47" customFormat="false" ht="15" hidden="false" customHeight="false" outlineLevel="0" collapsed="false">
      <c r="A47" s="32"/>
      <c r="B47" s="33"/>
      <c r="C47" s="32"/>
      <c r="D47" s="37" t="str">
        <f aca="false">IF($C47="","",IFERROR(INDEX('Check giá'!$C$4:$C$203,MATCH($C47,'Check giá'!$A$4:$A$203,0)),""))</f>
        <v/>
      </c>
      <c r="E47" s="37" t="str">
        <f aca="false">IF($C47="","",IFERROR(INDEX('Check giá'!$D$4:$D$203,MATCH($C47,'Check giá'!$A$4:$A$203,0)),""))</f>
        <v/>
      </c>
      <c r="F47" s="37" t="str">
        <f aca="false">IF($C47="","",IFERROR(INDEX('Check giá'!$F$4:$F$203,MATCH($C47,'Check giá'!$A$4:$A$203,0)),""))</f>
        <v/>
      </c>
      <c r="G47" s="38" t="str">
        <f aca="false">IF($C47="","",IFERROR(INDEX('Check giá'!$H$4:$H$203,MATCH($C47,'Check giá'!$A$4:$A$203,0)),""))</f>
        <v/>
      </c>
      <c r="H47" s="38" t="str">
        <f aca="false">IF($C47="","",IFERROR(INDEX('Check giá'!$J$4:$J$203,MATCH($C47,'Check giá'!$A$4:$A$203,0)),""))</f>
        <v/>
      </c>
      <c r="I47" s="32"/>
      <c r="J47" s="37" t="str">
        <f aca="false">IF($I47="","",IFERROR(INDEX('Nhà cung cấp'!$B$4:$B$203,MATCH($I47,'Nhà cung cấp'!$A$4:$A$203,0)),""))</f>
        <v/>
      </c>
      <c r="K47" s="34"/>
      <c r="L47" s="38" t="str">
        <f aca="false">IF($A47="","",IFERROR($G47*$K47,""))</f>
        <v/>
      </c>
      <c r="M47" s="34"/>
      <c r="N47" s="38" t="str">
        <f aca="false">IF($I47="","",IFERROR(INDEX('Nhà cung cấp'!$G$4:$G$203,MATCH($I47,'Nhà cung cấp'!$A$4:$A$203,0)),""))</f>
        <v/>
      </c>
      <c r="O47" s="33"/>
      <c r="P47" s="38" t="str">
        <f aca="false">IF($C47="","",IFERROR(_xlfn.MINIFS($L$4:$L$203,$C$4:$C$203,$C47,$L$4:$L$203,"&gt;0"),""))</f>
        <v/>
      </c>
      <c r="Q47" s="38" t="str">
        <f aca="false">IF($A47="","",IFERROR($L47-$P47,""))</f>
        <v/>
      </c>
      <c r="R47" s="38" t="str">
        <f aca="false">IF($A47="","",IFERROR($L47-$H47,""))</f>
        <v/>
      </c>
      <c r="S47" s="39" t="str">
        <f aca="false">IF($A47="","",IFERROR($R47/$H47,""))</f>
        <v/>
      </c>
      <c r="T47" s="32"/>
      <c r="U47" s="37" t="str">
        <f aca="false">IF($C47="","",IFERROR(INDEX(PR!$A$4:$A$203,MATCH($C47,PR!$C$4:$C$203,0)),""))</f>
        <v/>
      </c>
      <c r="V47" s="32"/>
    </row>
    <row r="48" customFormat="false" ht="15" hidden="false" customHeight="false" outlineLevel="0" collapsed="false">
      <c r="A48" s="32"/>
      <c r="B48" s="33"/>
      <c r="C48" s="32"/>
      <c r="D48" s="37" t="str">
        <f aca="false">IF($C48="","",IFERROR(INDEX('Check giá'!$C$4:$C$203,MATCH($C48,'Check giá'!$A$4:$A$203,0)),""))</f>
        <v/>
      </c>
      <c r="E48" s="37" t="str">
        <f aca="false">IF($C48="","",IFERROR(INDEX('Check giá'!$D$4:$D$203,MATCH($C48,'Check giá'!$A$4:$A$203,0)),""))</f>
        <v/>
      </c>
      <c r="F48" s="37" t="str">
        <f aca="false">IF($C48="","",IFERROR(INDEX('Check giá'!$F$4:$F$203,MATCH($C48,'Check giá'!$A$4:$A$203,0)),""))</f>
        <v/>
      </c>
      <c r="G48" s="38" t="str">
        <f aca="false">IF($C48="","",IFERROR(INDEX('Check giá'!$H$4:$H$203,MATCH($C48,'Check giá'!$A$4:$A$203,0)),""))</f>
        <v/>
      </c>
      <c r="H48" s="38" t="str">
        <f aca="false">IF($C48="","",IFERROR(INDEX('Check giá'!$J$4:$J$203,MATCH($C48,'Check giá'!$A$4:$A$203,0)),""))</f>
        <v/>
      </c>
      <c r="I48" s="32"/>
      <c r="J48" s="37" t="str">
        <f aca="false">IF($I48="","",IFERROR(INDEX('Nhà cung cấp'!$B$4:$B$203,MATCH($I48,'Nhà cung cấp'!$A$4:$A$203,0)),""))</f>
        <v/>
      </c>
      <c r="K48" s="34"/>
      <c r="L48" s="38" t="str">
        <f aca="false">IF($A48="","",IFERROR($G48*$K48,""))</f>
        <v/>
      </c>
      <c r="M48" s="34"/>
      <c r="N48" s="38" t="str">
        <f aca="false">IF($I48="","",IFERROR(INDEX('Nhà cung cấp'!$G$4:$G$203,MATCH($I48,'Nhà cung cấp'!$A$4:$A$203,0)),""))</f>
        <v/>
      </c>
      <c r="O48" s="33"/>
      <c r="P48" s="38" t="str">
        <f aca="false">IF($C48="","",IFERROR(_xlfn.MINIFS($L$4:$L$203,$C$4:$C$203,$C48,$L$4:$L$203,"&gt;0"),""))</f>
        <v/>
      </c>
      <c r="Q48" s="38" t="str">
        <f aca="false">IF($A48="","",IFERROR($L48-$P48,""))</f>
        <v/>
      </c>
      <c r="R48" s="38" t="str">
        <f aca="false">IF($A48="","",IFERROR($L48-$H48,""))</f>
        <v/>
      </c>
      <c r="S48" s="39" t="str">
        <f aca="false">IF($A48="","",IFERROR($R48/$H48,""))</f>
        <v/>
      </c>
      <c r="T48" s="32"/>
      <c r="U48" s="37" t="str">
        <f aca="false">IF($C48="","",IFERROR(INDEX(PR!$A$4:$A$203,MATCH($C48,PR!$C$4:$C$203,0)),""))</f>
        <v/>
      </c>
      <c r="V48" s="32"/>
    </row>
    <row r="49" customFormat="false" ht="15" hidden="false" customHeight="false" outlineLevel="0" collapsed="false">
      <c r="A49" s="32"/>
      <c r="B49" s="33"/>
      <c r="C49" s="32"/>
      <c r="D49" s="37" t="str">
        <f aca="false">IF($C49="","",IFERROR(INDEX('Check giá'!$C$4:$C$203,MATCH($C49,'Check giá'!$A$4:$A$203,0)),""))</f>
        <v/>
      </c>
      <c r="E49" s="37" t="str">
        <f aca="false">IF($C49="","",IFERROR(INDEX('Check giá'!$D$4:$D$203,MATCH($C49,'Check giá'!$A$4:$A$203,0)),""))</f>
        <v/>
      </c>
      <c r="F49" s="37" t="str">
        <f aca="false">IF($C49="","",IFERROR(INDEX('Check giá'!$F$4:$F$203,MATCH($C49,'Check giá'!$A$4:$A$203,0)),""))</f>
        <v/>
      </c>
      <c r="G49" s="38" t="str">
        <f aca="false">IF($C49="","",IFERROR(INDEX('Check giá'!$H$4:$H$203,MATCH($C49,'Check giá'!$A$4:$A$203,0)),""))</f>
        <v/>
      </c>
      <c r="H49" s="38" t="str">
        <f aca="false">IF($C49="","",IFERROR(INDEX('Check giá'!$J$4:$J$203,MATCH($C49,'Check giá'!$A$4:$A$203,0)),""))</f>
        <v/>
      </c>
      <c r="I49" s="32"/>
      <c r="J49" s="37" t="str">
        <f aca="false">IF($I49="","",IFERROR(INDEX('Nhà cung cấp'!$B$4:$B$203,MATCH($I49,'Nhà cung cấp'!$A$4:$A$203,0)),""))</f>
        <v/>
      </c>
      <c r="K49" s="34"/>
      <c r="L49" s="38" t="str">
        <f aca="false">IF($A49="","",IFERROR($G49*$K49,""))</f>
        <v/>
      </c>
      <c r="M49" s="34"/>
      <c r="N49" s="38" t="str">
        <f aca="false">IF($I49="","",IFERROR(INDEX('Nhà cung cấp'!$G$4:$G$203,MATCH($I49,'Nhà cung cấp'!$A$4:$A$203,0)),""))</f>
        <v/>
      </c>
      <c r="O49" s="33"/>
      <c r="P49" s="38" t="str">
        <f aca="false">IF($C49="","",IFERROR(_xlfn.MINIFS($L$4:$L$203,$C$4:$C$203,$C49,$L$4:$L$203,"&gt;0"),""))</f>
        <v/>
      </c>
      <c r="Q49" s="38" t="str">
        <f aca="false">IF($A49="","",IFERROR($L49-$P49,""))</f>
        <v/>
      </c>
      <c r="R49" s="38" t="str">
        <f aca="false">IF($A49="","",IFERROR($L49-$H49,""))</f>
        <v/>
      </c>
      <c r="S49" s="39" t="str">
        <f aca="false">IF($A49="","",IFERROR($R49/$H49,""))</f>
        <v/>
      </c>
      <c r="T49" s="32"/>
      <c r="U49" s="37" t="str">
        <f aca="false">IF($C49="","",IFERROR(INDEX(PR!$A$4:$A$203,MATCH($C49,PR!$C$4:$C$203,0)),""))</f>
        <v/>
      </c>
      <c r="V49" s="32"/>
    </row>
    <row r="50" customFormat="false" ht="15" hidden="false" customHeight="false" outlineLevel="0" collapsed="false">
      <c r="A50" s="32"/>
      <c r="B50" s="33"/>
      <c r="C50" s="32"/>
      <c r="D50" s="37" t="str">
        <f aca="false">IF($C50="","",IFERROR(INDEX('Check giá'!$C$4:$C$203,MATCH($C50,'Check giá'!$A$4:$A$203,0)),""))</f>
        <v/>
      </c>
      <c r="E50" s="37" t="str">
        <f aca="false">IF($C50="","",IFERROR(INDEX('Check giá'!$D$4:$D$203,MATCH($C50,'Check giá'!$A$4:$A$203,0)),""))</f>
        <v/>
      </c>
      <c r="F50" s="37" t="str">
        <f aca="false">IF($C50="","",IFERROR(INDEX('Check giá'!$F$4:$F$203,MATCH($C50,'Check giá'!$A$4:$A$203,0)),""))</f>
        <v/>
      </c>
      <c r="G50" s="38" t="str">
        <f aca="false">IF($C50="","",IFERROR(INDEX('Check giá'!$H$4:$H$203,MATCH($C50,'Check giá'!$A$4:$A$203,0)),""))</f>
        <v/>
      </c>
      <c r="H50" s="38" t="str">
        <f aca="false">IF($C50="","",IFERROR(INDEX('Check giá'!$J$4:$J$203,MATCH($C50,'Check giá'!$A$4:$A$203,0)),""))</f>
        <v/>
      </c>
      <c r="I50" s="32"/>
      <c r="J50" s="37" t="str">
        <f aca="false">IF($I50="","",IFERROR(INDEX('Nhà cung cấp'!$B$4:$B$203,MATCH($I50,'Nhà cung cấp'!$A$4:$A$203,0)),""))</f>
        <v/>
      </c>
      <c r="K50" s="34"/>
      <c r="L50" s="38" t="str">
        <f aca="false">IF($A50="","",IFERROR($G50*$K50,""))</f>
        <v/>
      </c>
      <c r="M50" s="34"/>
      <c r="N50" s="38" t="str">
        <f aca="false">IF($I50="","",IFERROR(INDEX('Nhà cung cấp'!$G$4:$G$203,MATCH($I50,'Nhà cung cấp'!$A$4:$A$203,0)),""))</f>
        <v/>
      </c>
      <c r="O50" s="33"/>
      <c r="P50" s="38" t="str">
        <f aca="false">IF($C50="","",IFERROR(_xlfn.MINIFS($L$4:$L$203,$C$4:$C$203,$C50,$L$4:$L$203,"&gt;0"),""))</f>
        <v/>
      </c>
      <c r="Q50" s="38" t="str">
        <f aca="false">IF($A50="","",IFERROR($L50-$P50,""))</f>
        <v/>
      </c>
      <c r="R50" s="38" t="str">
        <f aca="false">IF($A50="","",IFERROR($L50-$H50,""))</f>
        <v/>
      </c>
      <c r="S50" s="39" t="str">
        <f aca="false">IF($A50="","",IFERROR($R50/$H50,""))</f>
        <v/>
      </c>
      <c r="T50" s="32"/>
      <c r="U50" s="37" t="str">
        <f aca="false">IF($C50="","",IFERROR(INDEX(PR!$A$4:$A$203,MATCH($C50,PR!$C$4:$C$203,0)),""))</f>
        <v/>
      </c>
      <c r="V50" s="32"/>
    </row>
    <row r="51" customFormat="false" ht="15" hidden="false" customHeight="false" outlineLevel="0" collapsed="false">
      <c r="A51" s="32"/>
      <c r="B51" s="33"/>
      <c r="C51" s="32"/>
      <c r="D51" s="37" t="str">
        <f aca="false">IF($C51="","",IFERROR(INDEX('Check giá'!$C$4:$C$203,MATCH($C51,'Check giá'!$A$4:$A$203,0)),""))</f>
        <v/>
      </c>
      <c r="E51" s="37" t="str">
        <f aca="false">IF($C51="","",IFERROR(INDEX('Check giá'!$D$4:$D$203,MATCH($C51,'Check giá'!$A$4:$A$203,0)),""))</f>
        <v/>
      </c>
      <c r="F51" s="37" t="str">
        <f aca="false">IF($C51="","",IFERROR(INDEX('Check giá'!$F$4:$F$203,MATCH($C51,'Check giá'!$A$4:$A$203,0)),""))</f>
        <v/>
      </c>
      <c r="G51" s="38" t="str">
        <f aca="false">IF($C51="","",IFERROR(INDEX('Check giá'!$H$4:$H$203,MATCH($C51,'Check giá'!$A$4:$A$203,0)),""))</f>
        <v/>
      </c>
      <c r="H51" s="38" t="str">
        <f aca="false">IF($C51="","",IFERROR(INDEX('Check giá'!$J$4:$J$203,MATCH($C51,'Check giá'!$A$4:$A$203,0)),""))</f>
        <v/>
      </c>
      <c r="I51" s="32"/>
      <c r="J51" s="37" t="str">
        <f aca="false">IF($I51="","",IFERROR(INDEX('Nhà cung cấp'!$B$4:$B$203,MATCH($I51,'Nhà cung cấp'!$A$4:$A$203,0)),""))</f>
        <v/>
      </c>
      <c r="K51" s="34"/>
      <c r="L51" s="38" t="str">
        <f aca="false">IF($A51="","",IFERROR($G51*$K51,""))</f>
        <v/>
      </c>
      <c r="M51" s="34"/>
      <c r="N51" s="38" t="str">
        <f aca="false">IF($I51="","",IFERROR(INDEX('Nhà cung cấp'!$G$4:$G$203,MATCH($I51,'Nhà cung cấp'!$A$4:$A$203,0)),""))</f>
        <v/>
      </c>
      <c r="O51" s="33"/>
      <c r="P51" s="38" t="str">
        <f aca="false">IF($C51="","",IFERROR(_xlfn.MINIFS($L$4:$L$203,$C$4:$C$203,$C51,$L$4:$L$203,"&gt;0"),""))</f>
        <v/>
      </c>
      <c r="Q51" s="38" t="str">
        <f aca="false">IF($A51="","",IFERROR($L51-$P51,""))</f>
        <v/>
      </c>
      <c r="R51" s="38" t="str">
        <f aca="false">IF($A51="","",IFERROR($L51-$H51,""))</f>
        <v/>
      </c>
      <c r="S51" s="39" t="str">
        <f aca="false">IF($A51="","",IFERROR($R51/$H51,""))</f>
        <v/>
      </c>
      <c r="T51" s="32"/>
      <c r="U51" s="37" t="str">
        <f aca="false">IF($C51="","",IFERROR(INDEX(PR!$A$4:$A$203,MATCH($C51,PR!$C$4:$C$203,0)),""))</f>
        <v/>
      </c>
      <c r="V51" s="32"/>
    </row>
    <row r="52" customFormat="false" ht="15" hidden="false" customHeight="false" outlineLevel="0" collapsed="false">
      <c r="A52" s="32"/>
      <c r="B52" s="33"/>
      <c r="C52" s="32"/>
      <c r="D52" s="37" t="str">
        <f aca="false">IF($C52="","",IFERROR(INDEX('Check giá'!$C$4:$C$203,MATCH($C52,'Check giá'!$A$4:$A$203,0)),""))</f>
        <v/>
      </c>
      <c r="E52" s="37" t="str">
        <f aca="false">IF($C52="","",IFERROR(INDEX('Check giá'!$D$4:$D$203,MATCH($C52,'Check giá'!$A$4:$A$203,0)),""))</f>
        <v/>
      </c>
      <c r="F52" s="37" t="str">
        <f aca="false">IF($C52="","",IFERROR(INDEX('Check giá'!$F$4:$F$203,MATCH($C52,'Check giá'!$A$4:$A$203,0)),""))</f>
        <v/>
      </c>
      <c r="G52" s="38" t="str">
        <f aca="false">IF($C52="","",IFERROR(INDEX('Check giá'!$H$4:$H$203,MATCH($C52,'Check giá'!$A$4:$A$203,0)),""))</f>
        <v/>
      </c>
      <c r="H52" s="38" t="str">
        <f aca="false">IF($C52="","",IFERROR(INDEX('Check giá'!$J$4:$J$203,MATCH($C52,'Check giá'!$A$4:$A$203,0)),""))</f>
        <v/>
      </c>
      <c r="I52" s="32"/>
      <c r="J52" s="37" t="str">
        <f aca="false">IF($I52="","",IFERROR(INDEX('Nhà cung cấp'!$B$4:$B$203,MATCH($I52,'Nhà cung cấp'!$A$4:$A$203,0)),""))</f>
        <v/>
      </c>
      <c r="K52" s="34"/>
      <c r="L52" s="38" t="str">
        <f aca="false">IF($A52="","",IFERROR($G52*$K52,""))</f>
        <v/>
      </c>
      <c r="M52" s="34"/>
      <c r="N52" s="38" t="str">
        <f aca="false">IF($I52="","",IFERROR(INDEX('Nhà cung cấp'!$G$4:$G$203,MATCH($I52,'Nhà cung cấp'!$A$4:$A$203,0)),""))</f>
        <v/>
      </c>
      <c r="O52" s="33"/>
      <c r="P52" s="38" t="str">
        <f aca="false">IF($C52="","",IFERROR(_xlfn.MINIFS($L$4:$L$203,$C$4:$C$203,$C52,$L$4:$L$203,"&gt;0"),""))</f>
        <v/>
      </c>
      <c r="Q52" s="38" t="str">
        <f aca="false">IF($A52="","",IFERROR($L52-$P52,""))</f>
        <v/>
      </c>
      <c r="R52" s="38" t="str">
        <f aca="false">IF($A52="","",IFERROR($L52-$H52,""))</f>
        <v/>
      </c>
      <c r="S52" s="39" t="str">
        <f aca="false">IF($A52="","",IFERROR($R52/$H52,""))</f>
        <v/>
      </c>
      <c r="T52" s="32"/>
      <c r="U52" s="37" t="str">
        <f aca="false">IF($C52="","",IFERROR(INDEX(PR!$A$4:$A$203,MATCH($C52,PR!$C$4:$C$203,0)),""))</f>
        <v/>
      </c>
      <c r="V52" s="32"/>
    </row>
    <row r="53" customFormat="false" ht="15" hidden="false" customHeight="false" outlineLevel="0" collapsed="false">
      <c r="A53" s="32"/>
      <c r="B53" s="33"/>
      <c r="C53" s="32"/>
      <c r="D53" s="37" t="str">
        <f aca="false">IF($C53="","",IFERROR(INDEX('Check giá'!$C$4:$C$203,MATCH($C53,'Check giá'!$A$4:$A$203,0)),""))</f>
        <v/>
      </c>
      <c r="E53" s="37" t="str">
        <f aca="false">IF($C53="","",IFERROR(INDEX('Check giá'!$D$4:$D$203,MATCH($C53,'Check giá'!$A$4:$A$203,0)),""))</f>
        <v/>
      </c>
      <c r="F53" s="37" t="str">
        <f aca="false">IF($C53="","",IFERROR(INDEX('Check giá'!$F$4:$F$203,MATCH($C53,'Check giá'!$A$4:$A$203,0)),""))</f>
        <v/>
      </c>
      <c r="G53" s="38" t="str">
        <f aca="false">IF($C53="","",IFERROR(INDEX('Check giá'!$H$4:$H$203,MATCH($C53,'Check giá'!$A$4:$A$203,0)),""))</f>
        <v/>
      </c>
      <c r="H53" s="38" t="str">
        <f aca="false">IF($C53="","",IFERROR(INDEX('Check giá'!$J$4:$J$203,MATCH($C53,'Check giá'!$A$4:$A$203,0)),""))</f>
        <v/>
      </c>
      <c r="I53" s="32"/>
      <c r="J53" s="37" t="str">
        <f aca="false">IF($I53="","",IFERROR(INDEX('Nhà cung cấp'!$B$4:$B$203,MATCH($I53,'Nhà cung cấp'!$A$4:$A$203,0)),""))</f>
        <v/>
      </c>
      <c r="K53" s="34"/>
      <c r="L53" s="38" t="str">
        <f aca="false">IF($A53="","",IFERROR($G53*$K53,""))</f>
        <v/>
      </c>
      <c r="M53" s="34"/>
      <c r="N53" s="38" t="str">
        <f aca="false">IF($I53="","",IFERROR(INDEX('Nhà cung cấp'!$G$4:$G$203,MATCH($I53,'Nhà cung cấp'!$A$4:$A$203,0)),""))</f>
        <v/>
      </c>
      <c r="O53" s="33"/>
      <c r="P53" s="38" t="str">
        <f aca="false">IF($C53="","",IFERROR(_xlfn.MINIFS($L$4:$L$203,$C$4:$C$203,$C53,$L$4:$L$203,"&gt;0"),""))</f>
        <v/>
      </c>
      <c r="Q53" s="38" t="str">
        <f aca="false">IF($A53="","",IFERROR($L53-$P53,""))</f>
        <v/>
      </c>
      <c r="R53" s="38" t="str">
        <f aca="false">IF($A53="","",IFERROR($L53-$H53,""))</f>
        <v/>
      </c>
      <c r="S53" s="39" t="str">
        <f aca="false">IF($A53="","",IFERROR($R53/$H53,""))</f>
        <v/>
      </c>
      <c r="T53" s="32"/>
      <c r="U53" s="37" t="str">
        <f aca="false">IF($C53="","",IFERROR(INDEX(PR!$A$4:$A$203,MATCH($C53,PR!$C$4:$C$203,0)),""))</f>
        <v/>
      </c>
      <c r="V53" s="32"/>
    </row>
    <row r="54" customFormat="false" ht="15" hidden="false" customHeight="false" outlineLevel="0" collapsed="false">
      <c r="A54" s="32"/>
      <c r="B54" s="33"/>
      <c r="C54" s="32"/>
      <c r="D54" s="37" t="str">
        <f aca="false">IF($C54="","",IFERROR(INDEX('Check giá'!$C$4:$C$203,MATCH($C54,'Check giá'!$A$4:$A$203,0)),""))</f>
        <v/>
      </c>
      <c r="E54" s="37" t="str">
        <f aca="false">IF($C54="","",IFERROR(INDEX('Check giá'!$D$4:$D$203,MATCH($C54,'Check giá'!$A$4:$A$203,0)),""))</f>
        <v/>
      </c>
      <c r="F54" s="37" t="str">
        <f aca="false">IF($C54="","",IFERROR(INDEX('Check giá'!$F$4:$F$203,MATCH($C54,'Check giá'!$A$4:$A$203,0)),""))</f>
        <v/>
      </c>
      <c r="G54" s="38" t="str">
        <f aca="false">IF($C54="","",IFERROR(INDEX('Check giá'!$H$4:$H$203,MATCH($C54,'Check giá'!$A$4:$A$203,0)),""))</f>
        <v/>
      </c>
      <c r="H54" s="38" t="str">
        <f aca="false">IF($C54="","",IFERROR(INDEX('Check giá'!$J$4:$J$203,MATCH($C54,'Check giá'!$A$4:$A$203,0)),""))</f>
        <v/>
      </c>
      <c r="I54" s="32"/>
      <c r="J54" s="37" t="str">
        <f aca="false">IF($I54="","",IFERROR(INDEX('Nhà cung cấp'!$B$4:$B$203,MATCH($I54,'Nhà cung cấp'!$A$4:$A$203,0)),""))</f>
        <v/>
      </c>
      <c r="K54" s="34"/>
      <c r="L54" s="38" t="str">
        <f aca="false">IF($A54="","",IFERROR($G54*$K54,""))</f>
        <v/>
      </c>
      <c r="M54" s="34"/>
      <c r="N54" s="38" t="str">
        <f aca="false">IF($I54="","",IFERROR(INDEX('Nhà cung cấp'!$G$4:$G$203,MATCH($I54,'Nhà cung cấp'!$A$4:$A$203,0)),""))</f>
        <v/>
      </c>
      <c r="O54" s="33"/>
      <c r="P54" s="38" t="str">
        <f aca="false">IF($C54="","",IFERROR(_xlfn.MINIFS($L$4:$L$203,$C$4:$C$203,$C54,$L$4:$L$203,"&gt;0"),""))</f>
        <v/>
      </c>
      <c r="Q54" s="38" t="str">
        <f aca="false">IF($A54="","",IFERROR($L54-$P54,""))</f>
        <v/>
      </c>
      <c r="R54" s="38" t="str">
        <f aca="false">IF($A54="","",IFERROR($L54-$H54,""))</f>
        <v/>
      </c>
      <c r="S54" s="39" t="str">
        <f aca="false">IF($A54="","",IFERROR($R54/$H54,""))</f>
        <v/>
      </c>
      <c r="T54" s="32"/>
      <c r="U54" s="37" t="str">
        <f aca="false">IF($C54="","",IFERROR(INDEX(PR!$A$4:$A$203,MATCH($C54,PR!$C$4:$C$203,0)),""))</f>
        <v/>
      </c>
      <c r="V54" s="32"/>
    </row>
    <row r="55" customFormat="false" ht="15" hidden="false" customHeight="false" outlineLevel="0" collapsed="false">
      <c r="A55" s="32"/>
      <c r="B55" s="33"/>
      <c r="C55" s="32"/>
      <c r="D55" s="37" t="str">
        <f aca="false">IF($C55="","",IFERROR(INDEX('Check giá'!$C$4:$C$203,MATCH($C55,'Check giá'!$A$4:$A$203,0)),""))</f>
        <v/>
      </c>
      <c r="E55" s="37" t="str">
        <f aca="false">IF($C55="","",IFERROR(INDEX('Check giá'!$D$4:$D$203,MATCH($C55,'Check giá'!$A$4:$A$203,0)),""))</f>
        <v/>
      </c>
      <c r="F55" s="37" t="str">
        <f aca="false">IF($C55="","",IFERROR(INDEX('Check giá'!$F$4:$F$203,MATCH($C55,'Check giá'!$A$4:$A$203,0)),""))</f>
        <v/>
      </c>
      <c r="G55" s="38" t="str">
        <f aca="false">IF($C55="","",IFERROR(INDEX('Check giá'!$H$4:$H$203,MATCH($C55,'Check giá'!$A$4:$A$203,0)),""))</f>
        <v/>
      </c>
      <c r="H55" s="38" t="str">
        <f aca="false">IF($C55="","",IFERROR(INDEX('Check giá'!$J$4:$J$203,MATCH($C55,'Check giá'!$A$4:$A$203,0)),""))</f>
        <v/>
      </c>
      <c r="I55" s="32"/>
      <c r="J55" s="37" t="str">
        <f aca="false">IF($I55="","",IFERROR(INDEX('Nhà cung cấp'!$B$4:$B$203,MATCH($I55,'Nhà cung cấp'!$A$4:$A$203,0)),""))</f>
        <v/>
      </c>
      <c r="K55" s="34"/>
      <c r="L55" s="38" t="str">
        <f aca="false">IF($A55="","",IFERROR($G55*$K55,""))</f>
        <v/>
      </c>
      <c r="M55" s="34"/>
      <c r="N55" s="38" t="str">
        <f aca="false">IF($I55="","",IFERROR(INDEX('Nhà cung cấp'!$G$4:$G$203,MATCH($I55,'Nhà cung cấp'!$A$4:$A$203,0)),""))</f>
        <v/>
      </c>
      <c r="O55" s="33"/>
      <c r="P55" s="38" t="str">
        <f aca="false">IF($C55="","",IFERROR(_xlfn.MINIFS($L$4:$L$203,$C$4:$C$203,$C55,$L$4:$L$203,"&gt;0"),""))</f>
        <v/>
      </c>
      <c r="Q55" s="38" t="str">
        <f aca="false">IF($A55="","",IFERROR($L55-$P55,""))</f>
        <v/>
      </c>
      <c r="R55" s="38" t="str">
        <f aca="false">IF($A55="","",IFERROR($L55-$H55,""))</f>
        <v/>
      </c>
      <c r="S55" s="39" t="str">
        <f aca="false">IF($A55="","",IFERROR($R55/$H55,""))</f>
        <v/>
      </c>
      <c r="T55" s="32"/>
      <c r="U55" s="37" t="str">
        <f aca="false">IF($C55="","",IFERROR(INDEX(PR!$A$4:$A$203,MATCH($C55,PR!$C$4:$C$203,0)),""))</f>
        <v/>
      </c>
      <c r="V55" s="32"/>
    </row>
    <row r="56" customFormat="false" ht="15" hidden="false" customHeight="false" outlineLevel="0" collapsed="false">
      <c r="A56" s="32"/>
      <c r="B56" s="33"/>
      <c r="C56" s="32"/>
      <c r="D56" s="37" t="str">
        <f aca="false">IF($C56="","",IFERROR(INDEX('Check giá'!$C$4:$C$203,MATCH($C56,'Check giá'!$A$4:$A$203,0)),""))</f>
        <v/>
      </c>
      <c r="E56" s="37" t="str">
        <f aca="false">IF($C56="","",IFERROR(INDEX('Check giá'!$D$4:$D$203,MATCH($C56,'Check giá'!$A$4:$A$203,0)),""))</f>
        <v/>
      </c>
      <c r="F56" s="37" t="str">
        <f aca="false">IF($C56="","",IFERROR(INDEX('Check giá'!$F$4:$F$203,MATCH($C56,'Check giá'!$A$4:$A$203,0)),""))</f>
        <v/>
      </c>
      <c r="G56" s="38" t="str">
        <f aca="false">IF($C56="","",IFERROR(INDEX('Check giá'!$H$4:$H$203,MATCH($C56,'Check giá'!$A$4:$A$203,0)),""))</f>
        <v/>
      </c>
      <c r="H56" s="38" t="str">
        <f aca="false">IF($C56="","",IFERROR(INDEX('Check giá'!$J$4:$J$203,MATCH($C56,'Check giá'!$A$4:$A$203,0)),""))</f>
        <v/>
      </c>
      <c r="I56" s="32"/>
      <c r="J56" s="37" t="str">
        <f aca="false">IF($I56="","",IFERROR(INDEX('Nhà cung cấp'!$B$4:$B$203,MATCH($I56,'Nhà cung cấp'!$A$4:$A$203,0)),""))</f>
        <v/>
      </c>
      <c r="K56" s="34"/>
      <c r="L56" s="38" t="str">
        <f aca="false">IF($A56="","",IFERROR($G56*$K56,""))</f>
        <v/>
      </c>
      <c r="M56" s="34"/>
      <c r="N56" s="38" t="str">
        <f aca="false">IF($I56="","",IFERROR(INDEX('Nhà cung cấp'!$G$4:$G$203,MATCH($I56,'Nhà cung cấp'!$A$4:$A$203,0)),""))</f>
        <v/>
      </c>
      <c r="O56" s="33"/>
      <c r="P56" s="38" t="str">
        <f aca="false">IF($C56="","",IFERROR(_xlfn.MINIFS($L$4:$L$203,$C$4:$C$203,$C56,$L$4:$L$203,"&gt;0"),""))</f>
        <v/>
      </c>
      <c r="Q56" s="38" t="str">
        <f aca="false">IF($A56="","",IFERROR($L56-$P56,""))</f>
        <v/>
      </c>
      <c r="R56" s="38" t="str">
        <f aca="false">IF($A56="","",IFERROR($L56-$H56,""))</f>
        <v/>
      </c>
      <c r="S56" s="39" t="str">
        <f aca="false">IF($A56="","",IFERROR($R56/$H56,""))</f>
        <v/>
      </c>
      <c r="T56" s="32"/>
      <c r="U56" s="37" t="str">
        <f aca="false">IF($C56="","",IFERROR(INDEX(PR!$A$4:$A$203,MATCH($C56,PR!$C$4:$C$203,0)),""))</f>
        <v/>
      </c>
      <c r="V56" s="32"/>
    </row>
    <row r="57" customFormat="false" ht="15" hidden="false" customHeight="false" outlineLevel="0" collapsed="false">
      <c r="A57" s="32"/>
      <c r="B57" s="33"/>
      <c r="C57" s="32"/>
      <c r="D57" s="37" t="str">
        <f aca="false">IF($C57="","",IFERROR(INDEX('Check giá'!$C$4:$C$203,MATCH($C57,'Check giá'!$A$4:$A$203,0)),""))</f>
        <v/>
      </c>
      <c r="E57" s="37" t="str">
        <f aca="false">IF($C57="","",IFERROR(INDEX('Check giá'!$D$4:$D$203,MATCH($C57,'Check giá'!$A$4:$A$203,0)),""))</f>
        <v/>
      </c>
      <c r="F57" s="37" t="str">
        <f aca="false">IF($C57="","",IFERROR(INDEX('Check giá'!$F$4:$F$203,MATCH($C57,'Check giá'!$A$4:$A$203,0)),""))</f>
        <v/>
      </c>
      <c r="G57" s="38" t="str">
        <f aca="false">IF($C57="","",IFERROR(INDEX('Check giá'!$H$4:$H$203,MATCH($C57,'Check giá'!$A$4:$A$203,0)),""))</f>
        <v/>
      </c>
      <c r="H57" s="38" t="str">
        <f aca="false">IF($C57="","",IFERROR(INDEX('Check giá'!$J$4:$J$203,MATCH($C57,'Check giá'!$A$4:$A$203,0)),""))</f>
        <v/>
      </c>
      <c r="I57" s="32"/>
      <c r="J57" s="37" t="str">
        <f aca="false">IF($I57="","",IFERROR(INDEX('Nhà cung cấp'!$B$4:$B$203,MATCH($I57,'Nhà cung cấp'!$A$4:$A$203,0)),""))</f>
        <v/>
      </c>
      <c r="K57" s="34"/>
      <c r="L57" s="38" t="str">
        <f aca="false">IF($A57="","",IFERROR($G57*$K57,""))</f>
        <v/>
      </c>
      <c r="M57" s="34"/>
      <c r="N57" s="38" t="str">
        <f aca="false">IF($I57="","",IFERROR(INDEX('Nhà cung cấp'!$G$4:$G$203,MATCH($I57,'Nhà cung cấp'!$A$4:$A$203,0)),""))</f>
        <v/>
      </c>
      <c r="O57" s="33"/>
      <c r="P57" s="38" t="str">
        <f aca="false">IF($C57="","",IFERROR(_xlfn.MINIFS($L$4:$L$203,$C$4:$C$203,$C57,$L$4:$L$203,"&gt;0"),""))</f>
        <v/>
      </c>
      <c r="Q57" s="38" t="str">
        <f aca="false">IF($A57="","",IFERROR($L57-$P57,""))</f>
        <v/>
      </c>
      <c r="R57" s="38" t="str">
        <f aca="false">IF($A57="","",IFERROR($L57-$H57,""))</f>
        <v/>
      </c>
      <c r="S57" s="39" t="str">
        <f aca="false">IF($A57="","",IFERROR($R57/$H57,""))</f>
        <v/>
      </c>
      <c r="T57" s="32"/>
      <c r="U57" s="37" t="str">
        <f aca="false">IF($C57="","",IFERROR(INDEX(PR!$A$4:$A$203,MATCH($C57,PR!$C$4:$C$203,0)),""))</f>
        <v/>
      </c>
      <c r="V57" s="32"/>
    </row>
    <row r="58" customFormat="false" ht="15" hidden="false" customHeight="false" outlineLevel="0" collapsed="false">
      <c r="A58" s="32"/>
      <c r="B58" s="33"/>
      <c r="C58" s="32"/>
      <c r="D58" s="37" t="str">
        <f aca="false">IF($C58="","",IFERROR(INDEX('Check giá'!$C$4:$C$203,MATCH($C58,'Check giá'!$A$4:$A$203,0)),""))</f>
        <v/>
      </c>
      <c r="E58" s="37" t="str">
        <f aca="false">IF($C58="","",IFERROR(INDEX('Check giá'!$D$4:$D$203,MATCH($C58,'Check giá'!$A$4:$A$203,0)),""))</f>
        <v/>
      </c>
      <c r="F58" s="37" t="str">
        <f aca="false">IF($C58="","",IFERROR(INDEX('Check giá'!$F$4:$F$203,MATCH($C58,'Check giá'!$A$4:$A$203,0)),""))</f>
        <v/>
      </c>
      <c r="G58" s="38" t="str">
        <f aca="false">IF($C58="","",IFERROR(INDEX('Check giá'!$H$4:$H$203,MATCH($C58,'Check giá'!$A$4:$A$203,0)),""))</f>
        <v/>
      </c>
      <c r="H58" s="38" t="str">
        <f aca="false">IF($C58="","",IFERROR(INDEX('Check giá'!$J$4:$J$203,MATCH($C58,'Check giá'!$A$4:$A$203,0)),""))</f>
        <v/>
      </c>
      <c r="I58" s="32"/>
      <c r="J58" s="37" t="str">
        <f aca="false">IF($I58="","",IFERROR(INDEX('Nhà cung cấp'!$B$4:$B$203,MATCH($I58,'Nhà cung cấp'!$A$4:$A$203,0)),""))</f>
        <v/>
      </c>
      <c r="K58" s="34"/>
      <c r="L58" s="38" t="str">
        <f aca="false">IF($A58="","",IFERROR($G58*$K58,""))</f>
        <v/>
      </c>
      <c r="M58" s="34"/>
      <c r="N58" s="38" t="str">
        <f aca="false">IF($I58="","",IFERROR(INDEX('Nhà cung cấp'!$G$4:$G$203,MATCH($I58,'Nhà cung cấp'!$A$4:$A$203,0)),""))</f>
        <v/>
      </c>
      <c r="O58" s="33"/>
      <c r="P58" s="38" t="str">
        <f aca="false">IF($C58="","",IFERROR(_xlfn.MINIFS($L$4:$L$203,$C$4:$C$203,$C58,$L$4:$L$203,"&gt;0"),""))</f>
        <v/>
      </c>
      <c r="Q58" s="38" t="str">
        <f aca="false">IF($A58="","",IFERROR($L58-$P58,""))</f>
        <v/>
      </c>
      <c r="R58" s="38" t="str">
        <f aca="false">IF($A58="","",IFERROR($L58-$H58,""))</f>
        <v/>
      </c>
      <c r="S58" s="39" t="str">
        <f aca="false">IF($A58="","",IFERROR($R58/$H58,""))</f>
        <v/>
      </c>
      <c r="T58" s="32"/>
      <c r="U58" s="37" t="str">
        <f aca="false">IF($C58="","",IFERROR(INDEX(PR!$A$4:$A$203,MATCH($C58,PR!$C$4:$C$203,0)),""))</f>
        <v/>
      </c>
      <c r="V58" s="32"/>
    </row>
    <row r="59" customFormat="false" ht="15" hidden="false" customHeight="false" outlineLevel="0" collapsed="false">
      <c r="A59" s="32"/>
      <c r="B59" s="33"/>
      <c r="C59" s="32"/>
      <c r="D59" s="37" t="str">
        <f aca="false">IF($C59="","",IFERROR(INDEX('Check giá'!$C$4:$C$203,MATCH($C59,'Check giá'!$A$4:$A$203,0)),""))</f>
        <v/>
      </c>
      <c r="E59" s="37" t="str">
        <f aca="false">IF($C59="","",IFERROR(INDEX('Check giá'!$D$4:$D$203,MATCH($C59,'Check giá'!$A$4:$A$203,0)),""))</f>
        <v/>
      </c>
      <c r="F59" s="37" t="str">
        <f aca="false">IF($C59="","",IFERROR(INDEX('Check giá'!$F$4:$F$203,MATCH($C59,'Check giá'!$A$4:$A$203,0)),""))</f>
        <v/>
      </c>
      <c r="G59" s="38" t="str">
        <f aca="false">IF($C59="","",IFERROR(INDEX('Check giá'!$H$4:$H$203,MATCH($C59,'Check giá'!$A$4:$A$203,0)),""))</f>
        <v/>
      </c>
      <c r="H59" s="38" t="str">
        <f aca="false">IF($C59="","",IFERROR(INDEX('Check giá'!$J$4:$J$203,MATCH($C59,'Check giá'!$A$4:$A$203,0)),""))</f>
        <v/>
      </c>
      <c r="I59" s="32"/>
      <c r="J59" s="37" t="str">
        <f aca="false">IF($I59="","",IFERROR(INDEX('Nhà cung cấp'!$B$4:$B$203,MATCH($I59,'Nhà cung cấp'!$A$4:$A$203,0)),""))</f>
        <v/>
      </c>
      <c r="K59" s="34"/>
      <c r="L59" s="38" t="str">
        <f aca="false">IF($A59="","",IFERROR($G59*$K59,""))</f>
        <v/>
      </c>
      <c r="M59" s="34"/>
      <c r="N59" s="38" t="str">
        <f aca="false">IF($I59="","",IFERROR(INDEX('Nhà cung cấp'!$G$4:$G$203,MATCH($I59,'Nhà cung cấp'!$A$4:$A$203,0)),""))</f>
        <v/>
      </c>
      <c r="O59" s="33"/>
      <c r="P59" s="38" t="str">
        <f aca="false">IF($C59="","",IFERROR(_xlfn.MINIFS($L$4:$L$203,$C$4:$C$203,$C59,$L$4:$L$203,"&gt;0"),""))</f>
        <v/>
      </c>
      <c r="Q59" s="38" t="str">
        <f aca="false">IF($A59="","",IFERROR($L59-$P59,""))</f>
        <v/>
      </c>
      <c r="R59" s="38" t="str">
        <f aca="false">IF($A59="","",IFERROR($L59-$H59,""))</f>
        <v/>
      </c>
      <c r="S59" s="39" t="str">
        <f aca="false">IF($A59="","",IFERROR($R59/$H59,""))</f>
        <v/>
      </c>
      <c r="T59" s="32"/>
      <c r="U59" s="37" t="str">
        <f aca="false">IF($C59="","",IFERROR(INDEX(PR!$A$4:$A$203,MATCH($C59,PR!$C$4:$C$203,0)),""))</f>
        <v/>
      </c>
      <c r="V59" s="32"/>
    </row>
    <row r="60" customFormat="false" ht="15" hidden="false" customHeight="false" outlineLevel="0" collapsed="false">
      <c r="A60" s="32"/>
      <c r="B60" s="33"/>
      <c r="C60" s="32"/>
      <c r="D60" s="37" t="str">
        <f aca="false">IF($C60="","",IFERROR(INDEX('Check giá'!$C$4:$C$203,MATCH($C60,'Check giá'!$A$4:$A$203,0)),""))</f>
        <v/>
      </c>
      <c r="E60" s="37" t="str">
        <f aca="false">IF($C60="","",IFERROR(INDEX('Check giá'!$D$4:$D$203,MATCH($C60,'Check giá'!$A$4:$A$203,0)),""))</f>
        <v/>
      </c>
      <c r="F60" s="37" t="str">
        <f aca="false">IF($C60="","",IFERROR(INDEX('Check giá'!$F$4:$F$203,MATCH($C60,'Check giá'!$A$4:$A$203,0)),""))</f>
        <v/>
      </c>
      <c r="G60" s="38" t="str">
        <f aca="false">IF($C60="","",IFERROR(INDEX('Check giá'!$H$4:$H$203,MATCH($C60,'Check giá'!$A$4:$A$203,0)),""))</f>
        <v/>
      </c>
      <c r="H60" s="38" t="str">
        <f aca="false">IF($C60="","",IFERROR(INDEX('Check giá'!$J$4:$J$203,MATCH($C60,'Check giá'!$A$4:$A$203,0)),""))</f>
        <v/>
      </c>
      <c r="I60" s="32"/>
      <c r="J60" s="37" t="str">
        <f aca="false">IF($I60="","",IFERROR(INDEX('Nhà cung cấp'!$B$4:$B$203,MATCH($I60,'Nhà cung cấp'!$A$4:$A$203,0)),""))</f>
        <v/>
      </c>
      <c r="K60" s="34"/>
      <c r="L60" s="38" t="str">
        <f aca="false">IF($A60="","",IFERROR($G60*$K60,""))</f>
        <v/>
      </c>
      <c r="M60" s="34"/>
      <c r="N60" s="38" t="str">
        <f aca="false">IF($I60="","",IFERROR(INDEX('Nhà cung cấp'!$G$4:$G$203,MATCH($I60,'Nhà cung cấp'!$A$4:$A$203,0)),""))</f>
        <v/>
      </c>
      <c r="O60" s="33"/>
      <c r="P60" s="38" t="str">
        <f aca="false">IF($C60="","",IFERROR(_xlfn.MINIFS($L$4:$L$203,$C$4:$C$203,$C60,$L$4:$L$203,"&gt;0"),""))</f>
        <v/>
      </c>
      <c r="Q60" s="38" t="str">
        <f aca="false">IF($A60="","",IFERROR($L60-$P60,""))</f>
        <v/>
      </c>
      <c r="R60" s="38" t="str">
        <f aca="false">IF($A60="","",IFERROR($L60-$H60,""))</f>
        <v/>
      </c>
      <c r="S60" s="39" t="str">
        <f aca="false">IF($A60="","",IFERROR($R60/$H60,""))</f>
        <v/>
      </c>
      <c r="T60" s="32"/>
      <c r="U60" s="37" t="str">
        <f aca="false">IF($C60="","",IFERROR(INDEX(PR!$A$4:$A$203,MATCH($C60,PR!$C$4:$C$203,0)),""))</f>
        <v/>
      </c>
      <c r="V60" s="32"/>
    </row>
    <row r="61" customFormat="false" ht="15" hidden="false" customHeight="false" outlineLevel="0" collapsed="false">
      <c r="A61" s="32"/>
      <c r="B61" s="33"/>
      <c r="C61" s="32"/>
      <c r="D61" s="37" t="str">
        <f aca="false">IF($C61="","",IFERROR(INDEX('Check giá'!$C$4:$C$203,MATCH($C61,'Check giá'!$A$4:$A$203,0)),""))</f>
        <v/>
      </c>
      <c r="E61" s="37" t="str">
        <f aca="false">IF($C61="","",IFERROR(INDEX('Check giá'!$D$4:$D$203,MATCH($C61,'Check giá'!$A$4:$A$203,0)),""))</f>
        <v/>
      </c>
      <c r="F61" s="37" t="str">
        <f aca="false">IF($C61="","",IFERROR(INDEX('Check giá'!$F$4:$F$203,MATCH($C61,'Check giá'!$A$4:$A$203,0)),""))</f>
        <v/>
      </c>
      <c r="G61" s="38" t="str">
        <f aca="false">IF($C61="","",IFERROR(INDEX('Check giá'!$H$4:$H$203,MATCH($C61,'Check giá'!$A$4:$A$203,0)),""))</f>
        <v/>
      </c>
      <c r="H61" s="38" t="str">
        <f aca="false">IF($C61="","",IFERROR(INDEX('Check giá'!$J$4:$J$203,MATCH($C61,'Check giá'!$A$4:$A$203,0)),""))</f>
        <v/>
      </c>
      <c r="I61" s="32"/>
      <c r="J61" s="37" t="str">
        <f aca="false">IF($I61="","",IFERROR(INDEX('Nhà cung cấp'!$B$4:$B$203,MATCH($I61,'Nhà cung cấp'!$A$4:$A$203,0)),""))</f>
        <v/>
      </c>
      <c r="K61" s="34"/>
      <c r="L61" s="38" t="str">
        <f aca="false">IF($A61="","",IFERROR($G61*$K61,""))</f>
        <v/>
      </c>
      <c r="M61" s="34"/>
      <c r="N61" s="38" t="str">
        <f aca="false">IF($I61="","",IFERROR(INDEX('Nhà cung cấp'!$G$4:$G$203,MATCH($I61,'Nhà cung cấp'!$A$4:$A$203,0)),""))</f>
        <v/>
      </c>
      <c r="O61" s="33"/>
      <c r="P61" s="38" t="str">
        <f aca="false">IF($C61="","",IFERROR(_xlfn.MINIFS($L$4:$L$203,$C$4:$C$203,$C61,$L$4:$L$203,"&gt;0"),""))</f>
        <v/>
      </c>
      <c r="Q61" s="38" t="str">
        <f aca="false">IF($A61="","",IFERROR($L61-$P61,""))</f>
        <v/>
      </c>
      <c r="R61" s="38" t="str">
        <f aca="false">IF($A61="","",IFERROR($L61-$H61,""))</f>
        <v/>
      </c>
      <c r="S61" s="39" t="str">
        <f aca="false">IF($A61="","",IFERROR($R61/$H61,""))</f>
        <v/>
      </c>
      <c r="T61" s="32"/>
      <c r="U61" s="37" t="str">
        <f aca="false">IF($C61="","",IFERROR(INDEX(PR!$A$4:$A$203,MATCH($C61,PR!$C$4:$C$203,0)),""))</f>
        <v/>
      </c>
      <c r="V61" s="32"/>
    </row>
    <row r="62" customFormat="false" ht="15" hidden="false" customHeight="false" outlineLevel="0" collapsed="false">
      <c r="A62" s="32"/>
      <c r="B62" s="33"/>
      <c r="C62" s="32"/>
      <c r="D62" s="37" t="str">
        <f aca="false">IF($C62="","",IFERROR(INDEX('Check giá'!$C$4:$C$203,MATCH($C62,'Check giá'!$A$4:$A$203,0)),""))</f>
        <v/>
      </c>
      <c r="E62" s="37" t="str">
        <f aca="false">IF($C62="","",IFERROR(INDEX('Check giá'!$D$4:$D$203,MATCH($C62,'Check giá'!$A$4:$A$203,0)),""))</f>
        <v/>
      </c>
      <c r="F62" s="37" t="str">
        <f aca="false">IF($C62="","",IFERROR(INDEX('Check giá'!$F$4:$F$203,MATCH($C62,'Check giá'!$A$4:$A$203,0)),""))</f>
        <v/>
      </c>
      <c r="G62" s="38" t="str">
        <f aca="false">IF($C62="","",IFERROR(INDEX('Check giá'!$H$4:$H$203,MATCH($C62,'Check giá'!$A$4:$A$203,0)),""))</f>
        <v/>
      </c>
      <c r="H62" s="38" t="str">
        <f aca="false">IF($C62="","",IFERROR(INDEX('Check giá'!$J$4:$J$203,MATCH($C62,'Check giá'!$A$4:$A$203,0)),""))</f>
        <v/>
      </c>
      <c r="I62" s="32"/>
      <c r="J62" s="37" t="str">
        <f aca="false">IF($I62="","",IFERROR(INDEX('Nhà cung cấp'!$B$4:$B$203,MATCH($I62,'Nhà cung cấp'!$A$4:$A$203,0)),""))</f>
        <v/>
      </c>
      <c r="K62" s="34"/>
      <c r="L62" s="38" t="str">
        <f aca="false">IF($A62="","",IFERROR($G62*$K62,""))</f>
        <v/>
      </c>
      <c r="M62" s="34"/>
      <c r="N62" s="38" t="str">
        <f aca="false">IF($I62="","",IFERROR(INDEX('Nhà cung cấp'!$G$4:$G$203,MATCH($I62,'Nhà cung cấp'!$A$4:$A$203,0)),""))</f>
        <v/>
      </c>
      <c r="O62" s="33"/>
      <c r="P62" s="38" t="str">
        <f aca="false">IF($C62="","",IFERROR(_xlfn.MINIFS($L$4:$L$203,$C$4:$C$203,$C62,$L$4:$L$203,"&gt;0"),""))</f>
        <v/>
      </c>
      <c r="Q62" s="38" t="str">
        <f aca="false">IF($A62="","",IFERROR($L62-$P62,""))</f>
        <v/>
      </c>
      <c r="R62" s="38" t="str">
        <f aca="false">IF($A62="","",IFERROR($L62-$H62,""))</f>
        <v/>
      </c>
      <c r="S62" s="39" t="str">
        <f aca="false">IF($A62="","",IFERROR($R62/$H62,""))</f>
        <v/>
      </c>
      <c r="T62" s="32"/>
      <c r="U62" s="37" t="str">
        <f aca="false">IF($C62="","",IFERROR(INDEX(PR!$A$4:$A$203,MATCH($C62,PR!$C$4:$C$203,0)),""))</f>
        <v/>
      </c>
      <c r="V62" s="32"/>
    </row>
    <row r="63" customFormat="false" ht="15" hidden="false" customHeight="false" outlineLevel="0" collapsed="false">
      <c r="A63" s="32"/>
      <c r="B63" s="33"/>
      <c r="C63" s="32"/>
      <c r="D63" s="37" t="str">
        <f aca="false">IF($C63="","",IFERROR(INDEX('Check giá'!$C$4:$C$203,MATCH($C63,'Check giá'!$A$4:$A$203,0)),""))</f>
        <v/>
      </c>
      <c r="E63" s="37" t="str">
        <f aca="false">IF($C63="","",IFERROR(INDEX('Check giá'!$D$4:$D$203,MATCH($C63,'Check giá'!$A$4:$A$203,0)),""))</f>
        <v/>
      </c>
      <c r="F63" s="37" t="str">
        <f aca="false">IF($C63="","",IFERROR(INDEX('Check giá'!$F$4:$F$203,MATCH($C63,'Check giá'!$A$4:$A$203,0)),""))</f>
        <v/>
      </c>
      <c r="G63" s="38" t="str">
        <f aca="false">IF($C63="","",IFERROR(INDEX('Check giá'!$H$4:$H$203,MATCH($C63,'Check giá'!$A$4:$A$203,0)),""))</f>
        <v/>
      </c>
      <c r="H63" s="38" t="str">
        <f aca="false">IF($C63="","",IFERROR(INDEX('Check giá'!$J$4:$J$203,MATCH($C63,'Check giá'!$A$4:$A$203,0)),""))</f>
        <v/>
      </c>
      <c r="I63" s="32"/>
      <c r="J63" s="37" t="str">
        <f aca="false">IF($I63="","",IFERROR(INDEX('Nhà cung cấp'!$B$4:$B$203,MATCH($I63,'Nhà cung cấp'!$A$4:$A$203,0)),""))</f>
        <v/>
      </c>
      <c r="K63" s="34"/>
      <c r="L63" s="38" t="str">
        <f aca="false">IF($A63="","",IFERROR($G63*$K63,""))</f>
        <v/>
      </c>
      <c r="M63" s="34"/>
      <c r="N63" s="38" t="str">
        <f aca="false">IF($I63="","",IFERROR(INDEX('Nhà cung cấp'!$G$4:$G$203,MATCH($I63,'Nhà cung cấp'!$A$4:$A$203,0)),""))</f>
        <v/>
      </c>
      <c r="O63" s="33"/>
      <c r="P63" s="38" t="str">
        <f aca="false">IF($C63="","",IFERROR(_xlfn.MINIFS($L$4:$L$203,$C$4:$C$203,$C63,$L$4:$L$203,"&gt;0"),""))</f>
        <v/>
      </c>
      <c r="Q63" s="38" t="str">
        <f aca="false">IF($A63="","",IFERROR($L63-$P63,""))</f>
        <v/>
      </c>
      <c r="R63" s="38" t="str">
        <f aca="false">IF($A63="","",IFERROR($L63-$H63,""))</f>
        <v/>
      </c>
      <c r="S63" s="39" t="str">
        <f aca="false">IF($A63="","",IFERROR($R63/$H63,""))</f>
        <v/>
      </c>
      <c r="T63" s="32"/>
      <c r="U63" s="37" t="str">
        <f aca="false">IF($C63="","",IFERROR(INDEX(PR!$A$4:$A$203,MATCH($C63,PR!$C$4:$C$203,0)),""))</f>
        <v/>
      </c>
      <c r="V63" s="32"/>
    </row>
    <row r="64" customFormat="false" ht="15" hidden="false" customHeight="false" outlineLevel="0" collapsed="false">
      <c r="A64" s="32"/>
      <c r="B64" s="33"/>
      <c r="C64" s="32"/>
      <c r="D64" s="37" t="str">
        <f aca="false">IF($C64="","",IFERROR(INDEX('Check giá'!$C$4:$C$203,MATCH($C64,'Check giá'!$A$4:$A$203,0)),""))</f>
        <v/>
      </c>
      <c r="E64" s="37" t="str">
        <f aca="false">IF($C64="","",IFERROR(INDEX('Check giá'!$D$4:$D$203,MATCH($C64,'Check giá'!$A$4:$A$203,0)),""))</f>
        <v/>
      </c>
      <c r="F64" s="37" t="str">
        <f aca="false">IF($C64="","",IFERROR(INDEX('Check giá'!$F$4:$F$203,MATCH($C64,'Check giá'!$A$4:$A$203,0)),""))</f>
        <v/>
      </c>
      <c r="G64" s="38" t="str">
        <f aca="false">IF($C64="","",IFERROR(INDEX('Check giá'!$H$4:$H$203,MATCH($C64,'Check giá'!$A$4:$A$203,0)),""))</f>
        <v/>
      </c>
      <c r="H64" s="38" t="str">
        <f aca="false">IF($C64="","",IFERROR(INDEX('Check giá'!$J$4:$J$203,MATCH($C64,'Check giá'!$A$4:$A$203,0)),""))</f>
        <v/>
      </c>
      <c r="I64" s="32"/>
      <c r="J64" s="37" t="str">
        <f aca="false">IF($I64="","",IFERROR(INDEX('Nhà cung cấp'!$B$4:$B$203,MATCH($I64,'Nhà cung cấp'!$A$4:$A$203,0)),""))</f>
        <v/>
      </c>
      <c r="K64" s="34"/>
      <c r="L64" s="38" t="str">
        <f aca="false">IF($A64="","",IFERROR($G64*$K64,""))</f>
        <v/>
      </c>
      <c r="M64" s="34"/>
      <c r="N64" s="38" t="str">
        <f aca="false">IF($I64="","",IFERROR(INDEX('Nhà cung cấp'!$G$4:$G$203,MATCH($I64,'Nhà cung cấp'!$A$4:$A$203,0)),""))</f>
        <v/>
      </c>
      <c r="O64" s="33"/>
      <c r="P64" s="38" t="str">
        <f aca="false">IF($C64="","",IFERROR(_xlfn.MINIFS($L$4:$L$203,$C$4:$C$203,$C64,$L$4:$L$203,"&gt;0"),""))</f>
        <v/>
      </c>
      <c r="Q64" s="38" t="str">
        <f aca="false">IF($A64="","",IFERROR($L64-$P64,""))</f>
        <v/>
      </c>
      <c r="R64" s="38" t="str">
        <f aca="false">IF($A64="","",IFERROR($L64-$H64,""))</f>
        <v/>
      </c>
      <c r="S64" s="39" t="str">
        <f aca="false">IF($A64="","",IFERROR($R64/$H64,""))</f>
        <v/>
      </c>
      <c r="T64" s="32"/>
      <c r="U64" s="37" t="str">
        <f aca="false">IF($C64="","",IFERROR(INDEX(PR!$A$4:$A$203,MATCH($C64,PR!$C$4:$C$203,0)),""))</f>
        <v/>
      </c>
      <c r="V64" s="32"/>
    </row>
    <row r="65" customFormat="false" ht="15" hidden="false" customHeight="false" outlineLevel="0" collapsed="false">
      <c r="A65" s="32"/>
      <c r="B65" s="33"/>
      <c r="C65" s="32"/>
      <c r="D65" s="37" t="str">
        <f aca="false">IF($C65="","",IFERROR(INDEX('Check giá'!$C$4:$C$203,MATCH($C65,'Check giá'!$A$4:$A$203,0)),""))</f>
        <v/>
      </c>
      <c r="E65" s="37" t="str">
        <f aca="false">IF($C65="","",IFERROR(INDEX('Check giá'!$D$4:$D$203,MATCH($C65,'Check giá'!$A$4:$A$203,0)),""))</f>
        <v/>
      </c>
      <c r="F65" s="37" t="str">
        <f aca="false">IF($C65="","",IFERROR(INDEX('Check giá'!$F$4:$F$203,MATCH($C65,'Check giá'!$A$4:$A$203,0)),""))</f>
        <v/>
      </c>
      <c r="G65" s="38" t="str">
        <f aca="false">IF($C65="","",IFERROR(INDEX('Check giá'!$H$4:$H$203,MATCH($C65,'Check giá'!$A$4:$A$203,0)),""))</f>
        <v/>
      </c>
      <c r="H65" s="38" t="str">
        <f aca="false">IF($C65="","",IFERROR(INDEX('Check giá'!$J$4:$J$203,MATCH($C65,'Check giá'!$A$4:$A$203,0)),""))</f>
        <v/>
      </c>
      <c r="I65" s="32"/>
      <c r="J65" s="37" t="str">
        <f aca="false">IF($I65="","",IFERROR(INDEX('Nhà cung cấp'!$B$4:$B$203,MATCH($I65,'Nhà cung cấp'!$A$4:$A$203,0)),""))</f>
        <v/>
      </c>
      <c r="K65" s="34"/>
      <c r="L65" s="38" t="str">
        <f aca="false">IF($A65="","",IFERROR($G65*$K65,""))</f>
        <v/>
      </c>
      <c r="M65" s="34"/>
      <c r="N65" s="38" t="str">
        <f aca="false">IF($I65="","",IFERROR(INDEX('Nhà cung cấp'!$G$4:$G$203,MATCH($I65,'Nhà cung cấp'!$A$4:$A$203,0)),""))</f>
        <v/>
      </c>
      <c r="O65" s="33"/>
      <c r="P65" s="38" t="str">
        <f aca="false">IF($C65="","",IFERROR(_xlfn.MINIFS($L$4:$L$203,$C$4:$C$203,$C65,$L$4:$L$203,"&gt;0"),""))</f>
        <v/>
      </c>
      <c r="Q65" s="38" t="str">
        <f aca="false">IF($A65="","",IFERROR($L65-$P65,""))</f>
        <v/>
      </c>
      <c r="R65" s="38" t="str">
        <f aca="false">IF($A65="","",IFERROR($L65-$H65,""))</f>
        <v/>
      </c>
      <c r="S65" s="39" t="str">
        <f aca="false">IF($A65="","",IFERROR($R65/$H65,""))</f>
        <v/>
      </c>
      <c r="T65" s="32"/>
      <c r="U65" s="37" t="str">
        <f aca="false">IF($C65="","",IFERROR(INDEX(PR!$A$4:$A$203,MATCH($C65,PR!$C$4:$C$203,0)),""))</f>
        <v/>
      </c>
      <c r="V65" s="32"/>
    </row>
    <row r="66" customFormat="false" ht="15" hidden="false" customHeight="false" outlineLevel="0" collapsed="false">
      <c r="A66" s="32"/>
      <c r="B66" s="33"/>
      <c r="C66" s="32"/>
      <c r="D66" s="37" t="str">
        <f aca="false">IF($C66="","",IFERROR(INDEX('Check giá'!$C$4:$C$203,MATCH($C66,'Check giá'!$A$4:$A$203,0)),""))</f>
        <v/>
      </c>
      <c r="E66" s="37" t="str">
        <f aca="false">IF($C66="","",IFERROR(INDEX('Check giá'!$D$4:$D$203,MATCH($C66,'Check giá'!$A$4:$A$203,0)),""))</f>
        <v/>
      </c>
      <c r="F66" s="37" t="str">
        <f aca="false">IF($C66="","",IFERROR(INDEX('Check giá'!$F$4:$F$203,MATCH($C66,'Check giá'!$A$4:$A$203,0)),""))</f>
        <v/>
      </c>
      <c r="G66" s="38" t="str">
        <f aca="false">IF($C66="","",IFERROR(INDEX('Check giá'!$H$4:$H$203,MATCH($C66,'Check giá'!$A$4:$A$203,0)),""))</f>
        <v/>
      </c>
      <c r="H66" s="38" t="str">
        <f aca="false">IF($C66="","",IFERROR(INDEX('Check giá'!$J$4:$J$203,MATCH($C66,'Check giá'!$A$4:$A$203,0)),""))</f>
        <v/>
      </c>
      <c r="I66" s="32"/>
      <c r="J66" s="37" t="str">
        <f aca="false">IF($I66="","",IFERROR(INDEX('Nhà cung cấp'!$B$4:$B$203,MATCH($I66,'Nhà cung cấp'!$A$4:$A$203,0)),""))</f>
        <v/>
      </c>
      <c r="K66" s="34"/>
      <c r="L66" s="38" t="str">
        <f aca="false">IF($A66="","",IFERROR($G66*$K66,""))</f>
        <v/>
      </c>
      <c r="M66" s="34"/>
      <c r="N66" s="38" t="str">
        <f aca="false">IF($I66="","",IFERROR(INDEX('Nhà cung cấp'!$G$4:$G$203,MATCH($I66,'Nhà cung cấp'!$A$4:$A$203,0)),""))</f>
        <v/>
      </c>
      <c r="O66" s="33"/>
      <c r="P66" s="38" t="str">
        <f aca="false">IF($C66="","",IFERROR(_xlfn.MINIFS($L$4:$L$203,$C$4:$C$203,$C66,$L$4:$L$203,"&gt;0"),""))</f>
        <v/>
      </c>
      <c r="Q66" s="38" t="str">
        <f aca="false">IF($A66="","",IFERROR($L66-$P66,""))</f>
        <v/>
      </c>
      <c r="R66" s="38" t="str">
        <f aca="false">IF($A66="","",IFERROR($L66-$H66,""))</f>
        <v/>
      </c>
      <c r="S66" s="39" t="str">
        <f aca="false">IF($A66="","",IFERROR($R66/$H66,""))</f>
        <v/>
      </c>
      <c r="T66" s="32"/>
      <c r="U66" s="37" t="str">
        <f aca="false">IF($C66="","",IFERROR(INDEX(PR!$A$4:$A$203,MATCH($C66,PR!$C$4:$C$203,0)),""))</f>
        <v/>
      </c>
      <c r="V66" s="32"/>
    </row>
    <row r="67" customFormat="false" ht="15" hidden="false" customHeight="false" outlineLevel="0" collapsed="false">
      <c r="A67" s="32"/>
      <c r="B67" s="33"/>
      <c r="C67" s="32"/>
      <c r="D67" s="37" t="str">
        <f aca="false">IF($C67="","",IFERROR(INDEX('Check giá'!$C$4:$C$203,MATCH($C67,'Check giá'!$A$4:$A$203,0)),""))</f>
        <v/>
      </c>
      <c r="E67" s="37" t="str">
        <f aca="false">IF($C67="","",IFERROR(INDEX('Check giá'!$D$4:$D$203,MATCH($C67,'Check giá'!$A$4:$A$203,0)),""))</f>
        <v/>
      </c>
      <c r="F67" s="37" t="str">
        <f aca="false">IF($C67="","",IFERROR(INDEX('Check giá'!$F$4:$F$203,MATCH($C67,'Check giá'!$A$4:$A$203,0)),""))</f>
        <v/>
      </c>
      <c r="G67" s="38" t="str">
        <f aca="false">IF($C67="","",IFERROR(INDEX('Check giá'!$H$4:$H$203,MATCH($C67,'Check giá'!$A$4:$A$203,0)),""))</f>
        <v/>
      </c>
      <c r="H67" s="38" t="str">
        <f aca="false">IF($C67="","",IFERROR(INDEX('Check giá'!$J$4:$J$203,MATCH($C67,'Check giá'!$A$4:$A$203,0)),""))</f>
        <v/>
      </c>
      <c r="I67" s="32"/>
      <c r="J67" s="37" t="str">
        <f aca="false">IF($I67="","",IFERROR(INDEX('Nhà cung cấp'!$B$4:$B$203,MATCH($I67,'Nhà cung cấp'!$A$4:$A$203,0)),""))</f>
        <v/>
      </c>
      <c r="K67" s="34"/>
      <c r="L67" s="38" t="str">
        <f aca="false">IF($A67="","",IFERROR($G67*$K67,""))</f>
        <v/>
      </c>
      <c r="M67" s="34"/>
      <c r="N67" s="38" t="str">
        <f aca="false">IF($I67="","",IFERROR(INDEX('Nhà cung cấp'!$G$4:$G$203,MATCH($I67,'Nhà cung cấp'!$A$4:$A$203,0)),""))</f>
        <v/>
      </c>
      <c r="O67" s="33"/>
      <c r="P67" s="38" t="str">
        <f aca="false">IF($C67="","",IFERROR(_xlfn.MINIFS($L$4:$L$203,$C$4:$C$203,$C67,$L$4:$L$203,"&gt;0"),""))</f>
        <v/>
      </c>
      <c r="Q67" s="38" t="str">
        <f aca="false">IF($A67="","",IFERROR($L67-$P67,""))</f>
        <v/>
      </c>
      <c r="R67" s="38" t="str">
        <f aca="false">IF($A67="","",IFERROR($L67-$H67,""))</f>
        <v/>
      </c>
      <c r="S67" s="39" t="str">
        <f aca="false">IF($A67="","",IFERROR($R67/$H67,""))</f>
        <v/>
      </c>
      <c r="T67" s="32"/>
      <c r="U67" s="37" t="str">
        <f aca="false">IF($C67="","",IFERROR(INDEX(PR!$A$4:$A$203,MATCH($C67,PR!$C$4:$C$203,0)),""))</f>
        <v/>
      </c>
      <c r="V67" s="32"/>
    </row>
    <row r="68" customFormat="false" ht="15" hidden="false" customHeight="false" outlineLevel="0" collapsed="false">
      <c r="A68" s="32"/>
      <c r="B68" s="33"/>
      <c r="C68" s="32"/>
      <c r="D68" s="37" t="str">
        <f aca="false">IF($C68="","",IFERROR(INDEX('Check giá'!$C$4:$C$203,MATCH($C68,'Check giá'!$A$4:$A$203,0)),""))</f>
        <v/>
      </c>
      <c r="E68" s="37" t="str">
        <f aca="false">IF($C68="","",IFERROR(INDEX('Check giá'!$D$4:$D$203,MATCH($C68,'Check giá'!$A$4:$A$203,0)),""))</f>
        <v/>
      </c>
      <c r="F68" s="37" t="str">
        <f aca="false">IF($C68="","",IFERROR(INDEX('Check giá'!$F$4:$F$203,MATCH($C68,'Check giá'!$A$4:$A$203,0)),""))</f>
        <v/>
      </c>
      <c r="G68" s="38" t="str">
        <f aca="false">IF($C68="","",IFERROR(INDEX('Check giá'!$H$4:$H$203,MATCH($C68,'Check giá'!$A$4:$A$203,0)),""))</f>
        <v/>
      </c>
      <c r="H68" s="38" t="str">
        <f aca="false">IF($C68="","",IFERROR(INDEX('Check giá'!$J$4:$J$203,MATCH($C68,'Check giá'!$A$4:$A$203,0)),""))</f>
        <v/>
      </c>
      <c r="I68" s="32"/>
      <c r="J68" s="37" t="str">
        <f aca="false">IF($I68="","",IFERROR(INDEX('Nhà cung cấp'!$B$4:$B$203,MATCH($I68,'Nhà cung cấp'!$A$4:$A$203,0)),""))</f>
        <v/>
      </c>
      <c r="K68" s="34"/>
      <c r="L68" s="38" t="str">
        <f aca="false">IF($A68="","",IFERROR($G68*$K68,""))</f>
        <v/>
      </c>
      <c r="M68" s="34"/>
      <c r="N68" s="38" t="str">
        <f aca="false">IF($I68="","",IFERROR(INDEX('Nhà cung cấp'!$G$4:$G$203,MATCH($I68,'Nhà cung cấp'!$A$4:$A$203,0)),""))</f>
        <v/>
      </c>
      <c r="O68" s="33"/>
      <c r="P68" s="38" t="str">
        <f aca="false">IF($C68="","",IFERROR(_xlfn.MINIFS($L$4:$L$203,$C$4:$C$203,$C68,$L$4:$L$203,"&gt;0"),""))</f>
        <v/>
      </c>
      <c r="Q68" s="38" t="str">
        <f aca="false">IF($A68="","",IFERROR($L68-$P68,""))</f>
        <v/>
      </c>
      <c r="R68" s="38" t="str">
        <f aca="false">IF($A68="","",IFERROR($L68-$H68,""))</f>
        <v/>
      </c>
      <c r="S68" s="39" t="str">
        <f aca="false">IF($A68="","",IFERROR($R68/$H68,""))</f>
        <v/>
      </c>
      <c r="T68" s="32"/>
      <c r="U68" s="37" t="str">
        <f aca="false">IF($C68="","",IFERROR(INDEX(PR!$A$4:$A$203,MATCH($C68,PR!$C$4:$C$203,0)),""))</f>
        <v/>
      </c>
      <c r="V68" s="32"/>
    </row>
    <row r="69" customFormat="false" ht="15" hidden="false" customHeight="false" outlineLevel="0" collapsed="false">
      <c r="A69" s="32"/>
      <c r="B69" s="33"/>
      <c r="C69" s="32"/>
      <c r="D69" s="37" t="str">
        <f aca="false">IF($C69="","",IFERROR(INDEX('Check giá'!$C$4:$C$203,MATCH($C69,'Check giá'!$A$4:$A$203,0)),""))</f>
        <v/>
      </c>
      <c r="E69" s="37" t="str">
        <f aca="false">IF($C69="","",IFERROR(INDEX('Check giá'!$D$4:$D$203,MATCH($C69,'Check giá'!$A$4:$A$203,0)),""))</f>
        <v/>
      </c>
      <c r="F69" s="37" t="str">
        <f aca="false">IF($C69="","",IFERROR(INDEX('Check giá'!$F$4:$F$203,MATCH($C69,'Check giá'!$A$4:$A$203,0)),""))</f>
        <v/>
      </c>
      <c r="G69" s="38" t="str">
        <f aca="false">IF($C69="","",IFERROR(INDEX('Check giá'!$H$4:$H$203,MATCH($C69,'Check giá'!$A$4:$A$203,0)),""))</f>
        <v/>
      </c>
      <c r="H69" s="38" t="str">
        <f aca="false">IF($C69="","",IFERROR(INDEX('Check giá'!$J$4:$J$203,MATCH($C69,'Check giá'!$A$4:$A$203,0)),""))</f>
        <v/>
      </c>
      <c r="I69" s="32"/>
      <c r="J69" s="37" t="str">
        <f aca="false">IF($I69="","",IFERROR(INDEX('Nhà cung cấp'!$B$4:$B$203,MATCH($I69,'Nhà cung cấp'!$A$4:$A$203,0)),""))</f>
        <v/>
      </c>
      <c r="K69" s="34"/>
      <c r="L69" s="38" t="str">
        <f aca="false">IF($A69="","",IFERROR($G69*$K69,""))</f>
        <v/>
      </c>
      <c r="M69" s="34"/>
      <c r="N69" s="38" t="str">
        <f aca="false">IF($I69="","",IFERROR(INDEX('Nhà cung cấp'!$G$4:$G$203,MATCH($I69,'Nhà cung cấp'!$A$4:$A$203,0)),""))</f>
        <v/>
      </c>
      <c r="O69" s="33"/>
      <c r="P69" s="38" t="str">
        <f aca="false">IF($C69="","",IFERROR(_xlfn.MINIFS($L$4:$L$203,$C$4:$C$203,$C69,$L$4:$L$203,"&gt;0"),""))</f>
        <v/>
      </c>
      <c r="Q69" s="38" t="str">
        <f aca="false">IF($A69="","",IFERROR($L69-$P69,""))</f>
        <v/>
      </c>
      <c r="R69" s="38" t="str">
        <f aca="false">IF($A69="","",IFERROR($L69-$H69,""))</f>
        <v/>
      </c>
      <c r="S69" s="39" t="str">
        <f aca="false">IF($A69="","",IFERROR($R69/$H69,""))</f>
        <v/>
      </c>
      <c r="T69" s="32"/>
      <c r="U69" s="37" t="str">
        <f aca="false">IF($C69="","",IFERROR(INDEX(PR!$A$4:$A$203,MATCH($C69,PR!$C$4:$C$203,0)),""))</f>
        <v/>
      </c>
      <c r="V69" s="32"/>
    </row>
    <row r="70" customFormat="false" ht="15" hidden="false" customHeight="false" outlineLevel="0" collapsed="false">
      <c r="A70" s="32"/>
      <c r="B70" s="33"/>
      <c r="C70" s="32"/>
      <c r="D70" s="37" t="str">
        <f aca="false">IF($C70="","",IFERROR(INDEX('Check giá'!$C$4:$C$203,MATCH($C70,'Check giá'!$A$4:$A$203,0)),""))</f>
        <v/>
      </c>
      <c r="E70" s="37" t="str">
        <f aca="false">IF($C70="","",IFERROR(INDEX('Check giá'!$D$4:$D$203,MATCH($C70,'Check giá'!$A$4:$A$203,0)),""))</f>
        <v/>
      </c>
      <c r="F70" s="37" t="str">
        <f aca="false">IF($C70="","",IFERROR(INDEX('Check giá'!$F$4:$F$203,MATCH($C70,'Check giá'!$A$4:$A$203,0)),""))</f>
        <v/>
      </c>
      <c r="G70" s="38" t="str">
        <f aca="false">IF($C70="","",IFERROR(INDEX('Check giá'!$H$4:$H$203,MATCH($C70,'Check giá'!$A$4:$A$203,0)),""))</f>
        <v/>
      </c>
      <c r="H70" s="38" t="str">
        <f aca="false">IF($C70="","",IFERROR(INDEX('Check giá'!$J$4:$J$203,MATCH($C70,'Check giá'!$A$4:$A$203,0)),""))</f>
        <v/>
      </c>
      <c r="I70" s="32"/>
      <c r="J70" s="37" t="str">
        <f aca="false">IF($I70="","",IFERROR(INDEX('Nhà cung cấp'!$B$4:$B$203,MATCH($I70,'Nhà cung cấp'!$A$4:$A$203,0)),""))</f>
        <v/>
      </c>
      <c r="K70" s="34"/>
      <c r="L70" s="38" t="str">
        <f aca="false">IF($A70="","",IFERROR($G70*$K70,""))</f>
        <v/>
      </c>
      <c r="M70" s="34"/>
      <c r="N70" s="38" t="str">
        <f aca="false">IF($I70="","",IFERROR(INDEX('Nhà cung cấp'!$G$4:$G$203,MATCH($I70,'Nhà cung cấp'!$A$4:$A$203,0)),""))</f>
        <v/>
      </c>
      <c r="O70" s="33"/>
      <c r="P70" s="38" t="str">
        <f aca="false">IF($C70="","",IFERROR(_xlfn.MINIFS($L$4:$L$203,$C$4:$C$203,$C70,$L$4:$L$203,"&gt;0"),""))</f>
        <v/>
      </c>
      <c r="Q70" s="38" t="str">
        <f aca="false">IF($A70="","",IFERROR($L70-$P70,""))</f>
        <v/>
      </c>
      <c r="R70" s="38" t="str">
        <f aca="false">IF($A70="","",IFERROR($L70-$H70,""))</f>
        <v/>
      </c>
      <c r="S70" s="39" t="str">
        <f aca="false">IF($A70="","",IFERROR($R70/$H70,""))</f>
        <v/>
      </c>
      <c r="T70" s="32"/>
      <c r="U70" s="37" t="str">
        <f aca="false">IF($C70="","",IFERROR(INDEX(PR!$A$4:$A$203,MATCH($C70,PR!$C$4:$C$203,0)),""))</f>
        <v/>
      </c>
      <c r="V70" s="32"/>
    </row>
    <row r="71" customFormat="false" ht="15" hidden="false" customHeight="false" outlineLevel="0" collapsed="false">
      <c r="A71" s="32"/>
      <c r="B71" s="33"/>
      <c r="C71" s="32"/>
      <c r="D71" s="37" t="str">
        <f aca="false">IF($C71="","",IFERROR(INDEX('Check giá'!$C$4:$C$203,MATCH($C71,'Check giá'!$A$4:$A$203,0)),""))</f>
        <v/>
      </c>
      <c r="E71" s="37" t="str">
        <f aca="false">IF($C71="","",IFERROR(INDEX('Check giá'!$D$4:$D$203,MATCH($C71,'Check giá'!$A$4:$A$203,0)),""))</f>
        <v/>
      </c>
      <c r="F71" s="37" t="str">
        <f aca="false">IF($C71="","",IFERROR(INDEX('Check giá'!$F$4:$F$203,MATCH($C71,'Check giá'!$A$4:$A$203,0)),""))</f>
        <v/>
      </c>
      <c r="G71" s="38" t="str">
        <f aca="false">IF($C71="","",IFERROR(INDEX('Check giá'!$H$4:$H$203,MATCH($C71,'Check giá'!$A$4:$A$203,0)),""))</f>
        <v/>
      </c>
      <c r="H71" s="38" t="str">
        <f aca="false">IF($C71="","",IFERROR(INDEX('Check giá'!$J$4:$J$203,MATCH($C71,'Check giá'!$A$4:$A$203,0)),""))</f>
        <v/>
      </c>
      <c r="I71" s="32"/>
      <c r="J71" s="37" t="str">
        <f aca="false">IF($I71="","",IFERROR(INDEX('Nhà cung cấp'!$B$4:$B$203,MATCH($I71,'Nhà cung cấp'!$A$4:$A$203,0)),""))</f>
        <v/>
      </c>
      <c r="K71" s="34"/>
      <c r="L71" s="38" t="str">
        <f aca="false">IF($A71="","",IFERROR($G71*$K71,""))</f>
        <v/>
      </c>
      <c r="M71" s="34"/>
      <c r="N71" s="38" t="str">
        <f aca="false">IF($I71="","",IFERROR(INDEX('Nhà cung cấp'!$G$4:$G$203,MATCH($I71,'Nhà cung cấp'!$A$4:$A$203,0)),""))</f>
        <v/>
      </c>
      <c r="O71" s="33"/>
      <c r="P71" s="38" t="str">
        <f aca="false">IF($C71="","",IFERROR(_xlfn.MINIFS($L$4:$L$203,$C$4:$C$203,$C71,$L$4:$L$203,"&gt;0"),""))</f>
        <v/>
      </c>
      <c r="Q71" s="38" t="str">
        <f aca="false">IF($A71="","",IFERROR($L71-$P71,""))</f>
        <v/>
      </c>
      <c r="R71" s="38" t="str">
        <f aca="false">IF($A71="","",IFERROR($L71-$H71,""))</f>
        <v/>
      </c>
      <c r="S71" s="39" t="str">
        <f aca="false">IF($A71="","",IFERROR($R71/$H71,""))</f>
        <v/>
      </c>
      <c r="T71" s="32"/>
      <c r="U71" s="37" t="str">
        <f aca="false">IF($C71="","",IFERROR(INDEX(PR!$A$4:$A$203,MATCH($C71,PR!$C$4:$C$203,0)),""))</f>
        <v/>
      </c>
      <c r="V71" s="32"/>
    </row>
    <row r="72" customFormat="false" ht="15" hidden="false" customHeight="false" outlineLevel="0" collapsed="false">
      <c r="A72" s="32"/>
      <c r="B72" s="33"/>
      <c r="C72" s="32"/>
      <c r="D72" s="37" t="str">
        <f aca="false">IF($C72="","",IFERROR(INDEX('Check giá'!$C$4:$C$203,MATCH($C72,'Check giá'!$A$4:$A$203,0)),""))</f>
        <v/>
      </c>
      <c r="E72" s="37" t="str">
        <f aca="false">IF($C72="","",IFERROR(INDEX('Check giá'!$D$4:$D$203,MATCH($C72,'Check giá'!$A$4:$A$203,0)),""))</f>
        <v/>
      </c>
      <c r="F72" s="37" t="str">
        <f aca="false">IF($C72="","",IFERROR(INDEX('Check giá'!$F$4:$F$203,MATCH($C72,'Check giá'!$A$4:$A$203,0)),""))</f>
        <v/>
      </c>
      <c r="G72" s="38" t="str">
        <f aca="false">IF($C72="","",IFERROR(INDEX('Check giá'!$H$4:$H$203,MATCH($C72,'Check giá'!$A$4:$A$203,0)),""))</f>
        <v/>
      </c>
      <c r="H72" s="38" t="str">
        <f aca="false">IF($C72="","",IFERROR(INDEX('Check giá'!$J$4:$J$203,MATCH($C72,'Check giá'!$A$4:$A$203,0)),""))</f>
        <v/>
      </c>
      <c r="I72" s="32"/>
      <c r="J72" s="37" t="str">
        <f aca="false">IF($I72="","",IFERROR(INDEX('Nhà cung cấp'!$B$4:$B$203,MATCH($I72,'Nhà cung cấp'!$A$4:$A$203,0)),""))</f>
        <v/>
      </c>
      <c r="K72" s="34"/>
      <c r="L72" s="38" t="str">
        <f aca="false">IF($A72="","",IFERROR($G72*$K72,""))</f>
        <v/>
      </c>
      <c r="M72" s="34"/>
      <c r="N72" s="38" t="str">
        <f aca="false">IF($I72="","",IFERROR(INDEX('Nhà cung cấp'!$G$4:$G$203,MATCH($I72,'Nhà cung cấp'!$A$4:$A$203,0)),""))</f>
        <v/>
      </c>
      <c r="O72" s="33"/>
      <c r="P72" s="38" t="str">
        <f aca="false">IF($C72="","",IFERROR(_xlfn.MINIFS($L$4:$L$203,$C$4:$C$203,$C72,$L$4:$L$203,"&gt;0"),""))</f>
        <v/>
      </c>
      <c r="Q72" s="38" t="str">
        <f aca="false">IF($A72="","",IFERROR($L72-$P72,""))</f>
        <v/>
      </c>
      <c r="R72" s="38" t="str">
        <f aca="false">IF($A72="","",IFERROR($L72-$H72,""))</f>
        <v/>
      </c>
      <c r="S72" s="39" t="str">
        <f aca="false">IF($A72="","",IFERROR($R72/$H72,""))</f>
        <v/>
      </c>
      <c r="T72" s="32"/>
      <c r="U72" s="37" t="str">
        <f aca="false">IF($C72="","",IFERROR(INDEX(PR!$A$4:$A$203,MATCH($C72,PR!$C$4:$C$203,0)),""))</f>
        <v/>
      </c>
      <c r="V72" s="32"/>
    </row>
    <row r="73" customFormat="false" ht="15" hidden="false" customHeight="false" outlineLevel="0" collapsed="false">
      <c r="A73" s="32"/>
      <c r="B73" s="33"/>
      <c r="C73" s="32"/>
      <c r="D73" s="37" t="str">
        <f aca="false">IF($C73="","",IFERROR(INDEX('Check giá'!$C$4:$C$203,MATCH($C73,'Check giá'!$A$4:$A$203,0)),""))</f>
        <v/>
      </c>
      <c r="E73" s="37" t="str">
        <f aca="false">IF($C73="","",IFERROR(INDEX('Check giá'!$D$4:$D$203,MATCH($C73,'Check giá'!$A$4:$A$203,0)),""))</f>
        <v/>
      </c>
      <c r="F73" s="37" t="str">
        <f aca="false">IF($C73="","",IFERROR(INDEX('Check giá'!$F$4:$F$203,MATCH($C73,'Check giá'!$A$4:$A$203,0)),""))</f>
        <v/>
      </c>
      <c r="G73" s="38" t="str">
        <f aca="false">IF($C73="","",IFERROR(INDEX('Check giá'!$H$4:$H$203,MATCH($C73,'Check giá'!$A$4:$A$203,0)),""))</f>
        <v/>
      </c>
      <c r="H73" s="38" t="str">
        <f aca="false">IF($C73="","",IFERROR(INDEX('Check giá'!$J$4:$J$203,MATCH($C73,'Check giá'!$A$4:$A$203,0)),""))</f>
        <v/>
      </c>
      <c r="I73" s="32"/>
      <c r="J73" s="37" t="str">
        <f aca="false">IF($I73="","",IFERROR(INDEX('Nhà cung cấp'!$B$4:$B$203,MATCH($I73,'Nhà cung cấp'!$A$4:$A$203,0)),""))</f>
        <v/>
      </c>
      <c r="K73" s="34"/>
      <c r="L73" s="38" t="str">
        <f aca="false">IF($A73="","",IFERROR($G73*$K73,""))</f>
        <v/>
      </c>
      <c r="M73" s="34"/>
      <c r="N73" s="38" t="str">
        <f aca="false">IF($I73="","",IFERROR(INDEX('Nhà cung cấp'!$G$4:$G$203,MATCH($I73,'Nhà cung cấp'!$A$4:$A$203,0)),""))</f>
        <v/>
      </c>
      <c r="O73" s="33"/>
      <c r="P73" s="38" t="str">
        <f aca="false">IF($C73="","",IFERROR(_xlfn.MINIFS($L$4:$L$203,$C$4:$C$203,$C73,$L$4:$L$203,"&gt;0"),""))</f>
        <v/>
      </c>
      <c r="Q73" s="38" t="str">
        <f aca="false">IF($A73="","",IFERROR($L73-$P73,""))</f>
        <v/>
      </c>
      <c r="R73" s="38" t="str">
        <f aca="false">IF($A73="","",IFERROR($L73-$H73,""))</f>
        <v/>
      </c>
      <c r="S73" s="39" t="str">
        <f aca="false">IF($A73="","",IFERROR($R73/$H73,""))</f>
        <v/>
      </c>
      <c r="T73" s="32"/>
      <c r="U73" s="37" t="str">
        <f aca="false">IF($C73="","",IFERROR(INDEX(PR!$A$4:$A$203,MATCH($C73,PR!$C$4:$C$203,0)),""))</f>
        <v/>
      </c>
      <c r="V73" s="32"/>
    </row>
    <row r="74" customFormat="false" ht="15" hidden="false" customHeight="false" outlineLevel="0" collapsed="false">
      <c r="A74" s="32"/>
      <c r="B74" s="33"/>
      <c r="C74" s="32"/>
      <c r="D74" s="37" t="str">
        <f aca="false">IF($C74="","",IFERROR(INDEX('Check giá'!$C$4:$C$203,MATCH($C74,'Check giá'!$A$4:$A$203,0)),""))</f>
        <v/>
      </c>
      <c r="E74" s="37" t="str">
        <f aca="false">IF($C74="","",IFERROR(INDEX('Check giá'!$D$4:$D$203,MATCH($C74,'Check giá'!$A$4:$A$203,0)),""))</f>
        <v/>
      </c>
      <c r="F74" s="37" t="str">
        <f aca="false">IF($C74="","",IFERROR(INDEX('Check giá'!$F$4:$F$203,MATCH($C74,'Check giá'!$A$4:$A$203,0)),""))</f>
        <v/>
      </c>
      <c r="G74" s="38" t="str">
        <f aca="false">IF($C74="","",IFERROR(INDEX('Check giá'!$H$4:$H$203,MATCH($C74,'Check giá'!$A$4:$A$203,0)),""))</f>
        <v/>
      </c>
      <c r="H74" s="38" t="str">
        <f aca="false">IF($C74="","",IFERROR(INDEX('Check giá'!$J$4:$J$203,MATCH($C74,'Check giá'!$A$4:$A$203,0)),""))</f>
        <v/>
      </c>
      <c r="I74" s="32"/>
      <c r="J74" s="37" t="str">
        <f aca="false">IF($I74="","",IFERROR(INDEX('Nhà cung cấp'!$B$4:$B$203,MATCH($I74,'Nhà cung cấp'!$A$4:$A$203,0)),""))</f>
        <v/>
      </c>
      <c r="K74" s="34"/>
      <c r="L74" s="38" t="str">
        <f aca="false">IF($A74="","",IFERROR($G74*$K74,""))</f>
        <v/>
      </c>
      <c r="M74" s="34"/>
      <c r="N74" s="38" t="str">
        <f aca="false">IF($I74="","",IFERROR(INDEX('Nhà cung cấp'!$G$4:$G$203,MATCH($I74,'Nhà cung cấp'!$A$4:$A$203,0)),""))</f>
        <v/>
      </c>
      <c r="O74" s="33"/>
      <c r="P74" s="38" t="str">
        <f aca="false">IF($C74="","",IFERROR(_xlfn.MINIFS($L$4:$L$203,$C$4:$C$203,$C74,$L$4:$L$203,"&gt;0"),""))</f>
        <v/>
      </c>
      <c r="Q74" s="38" t="str">
        <f aca="false">IF($A74="","",IFERROR($L74-$P74,""))</f>
        <v/>
      </c>
      <c r="R74" s="38" t="str">
        <f aca="false">IF($A74="","",IFERROR($L74-$H74,""))</f>
        <v/>
      </c>
      <c r="S74" s="39" t="str">
        <f aca="false">IF($A74="","",IFERROR($R74/$H74,""))</f>
        <v/>
      </c>
      <c r="T74" s="32"/>
      <c r="U74" s="37" t="str">
        <f aca="false">IF($C74="","",IFERROR(INDEX(PR!$A$4:$A$203,MATCH($C74,PR!$C$4:$C$203,0)),""))</f>
        <v/>
      </c>
      <c r="V74" s="32"/>
    </row>
    <row r="75" customFormat="false" ht="15" hidden="false" customHeight="false" outlineLevel="0" collapsed="false">
      <c r="A75" s="32"/>
      <c r="B75" s="33"/>
      <c r="C75" s="32"/>
      <c r="D75" s="37" t="str">
        <f aca="false">IF($C75="","",IFERROR(INDEX('Check giá'!$C$4:$C$203,MATCH($C75,'Check giá'!$A$4:$A$203,0)),""))</f>
        <v/>
      </c>
      <c r="E75" s="37" t="str">
        <f aca="false">IF($C75="","",IFERROR(INDEX('Check giá'!$D$4:$D$203,MATCH($C75,'Check giá'!$A$4:$A$203,0)),""))</f>
        <v/>
      </c>
      <c r="F75" s="37" t="str">
        <f aca="false">IF($C75="","",IFERROR(INDEX('Check giá'!$F$4:$F$203,MATCH($C75,'Check giá'!$A$4:$A$203,0)),""))</f>
        <v/>
      </c>
      <c r="G75" s="38" t="str">
        <f aca="false">IF($C75="","",IFERROR(INDEX('Check giá'!$H$4:$H$203,MATCH($C75,'Check giá'!$A$4:$A$203,0)),""))</f>
        <v/>
      </c>
      <c r="H75" s="38" t="str">
        <f aca="false">IF($C75="","",IFERROR(INDEX('Check giá'!$J$4:$J$203,MATCH($C75,'Check giá'!$A$4:$A$203,0)),""))</f>
        <v/>
      </c>
      <c r="I75" s="32"/>
      <c r="J75" s="37" t="str">
        <f aca="false">IF($I75="","",IFERROR(INDEX('Nhà cung cấp'!$B$4:$B$203,MATCH($I75,'Nhà cung cấp'!$A$4:$A$203,0)),""))</f>
        <v/>
      </c>
      <c r="K75" s="34"/>
      <c r="L75" s="38" t="str">
        <f aca="false">IF($A75="","",IFERROR($G75*$K75,""))</f>
        <v/>
      </c>
      <c r="M75" s="34"/>
      <c r="N75" s="38" t="str">
        <f aca="false">IF($I75="","",IFERROR(INDEX('Nhà cung cấp'!$G$4:$G$203,MATCH($I75,'Nhà cung cấp'!$A$4:$A$203,0)),""))</f>
        <v/>
      </c>
      <c r="O75" s="33"/>
      <c r="P75" s="38" t="str">
        <f aca="false">IF($C75="","",IFERROR(_xlfn.MINIFS($L$4:$L$203,$C$4:$C$203,$C75,$L$4:$L$203,"&gt;0"),""))</f>
        <v/>
      </c>
      <c r="Q75" s="38" t="str">
        <f aca="false">IF($A75="","",IFERROR($L75-$P75,""))</f>
        <v/>
      </c>
      <c r="R75" s="38" t="str">
        <f aca="false">IF($A75="","",IFERROR($L75-$H75,""))</f>
        <v/>
      </c>
      <c r="S75" s="39" t="str">
        <f aca="false">IF($A75="","",IFERROR($R75/$H75,""))</f>
        <v/>
      </c>
      <c r="T75" s="32"/>
      <c r="U75" s="37" t="str">
        <f aca="false">IF($C75="","",IFERROR(INDEX(PR!$A$4:$A$203,MATCH($C75,PR!$C$4:$C$203,0)),""))</f>
        <v/>
      </c>
      <c r="V75" s="32"/>
    </row>
    <row r="76" customFormat="false" ht="15" hidden="false" customHeight="false" outlineLevel="0" collapsed="false">
      <c r="A76" s="32"/>
      <c r="B76" s="33"/>
      <c r="C76" s="32"/>
      <c r="D76" s="37" t="str">
        <f aca="false">IF($C76="","",IFERROR(INDEX('Check giá'!$C$4:$C$203,MATCH($C76,'Check giá'!$A$4:$A$203,0)),""))</f>
        <v/>
      </c>
      <c r="E76" s="37" t="str">
        <f aca="false">IF($C76="","",IFERROR(INDEX('Check giá'!$D$4:$D$203,MATCH($C76,'Check giá'!$A$4:$A$203,0)),""))</f>
        <v/>
      </c>
      <c r="F76" s="37" t="str">
        <f aca="false">IF($C76="","",IFERROR(INDEX('Check giá'!$F$4:$F$203,MATCH($C76,'Check giá'!$A$4:$A$203,0)),""))</f>
        <v/>
      </c>
      <c r="G76" s="38" t="str">
        <f aca="false">IF($C76="","",IFERROR(INDEX('Check giá'!$H$4:$H$203,MATCH($C76,'Check giá'!$A$4:$A$203,0)),""))</f>
        <v/>
      </c>
      <c r="H76" s="38" t="str">
        <f aca="false">IF($C76="","",IFERROR(INDEX('Check giá'!$J$4:$J$203,MATCH($C76,'Check giá'!$A$4:$A$203,0)),""))</f>
        <v/>
      </c>
      <c r="I76" s="32"/>
      <c r="J76" s="37" t="str">
        <f aca="false">IF($I76="","",IFERROR(INDEX('Nhà cung cấp'!$B$4:$B$203,MATCH($I76,'Nhà cung cấp'!$A$4:$A$203,0)),""))</f>
        <v/>
      </c>
      <c r="K76" s="34"/>
      <c r="L76" s="38" t="str">
        <f aca="false">IF($A76="","",IFERROR($G76*$K76,""))</f>
        <v/>
      </c>
      <c r="M76" s="34"/>
      <c r="N76" s="38" t="str">
        <f aca="false">IF($I76="","",IFERROR(INDEX('Nhà cung cấp'!$G$4:$G$203,MATCH($I76,'Nhà cung cấp'!$A$4:$A$203,0)),""))</f>
        <v/>
      </c>
      <c r="O76" s="33"/>
      <c r="P76" s="38" t="str">
        <f aca="false">IF($C76="","",IFERROR(_xlfn.MINIFS($L$4:$L$203,$C$4:$C$203,$C76,$L$4:$L$203,"&gt;0"),""))</f>
        <v/>
      </c>
      <c r="Q76" s="38" t="str">
        <f aca="false">IF($A76="","",IFERROR($L76-$P76,""))</f>
        <v/>
      </c>
      <c r="R76" s="38" t="str">
        <f aca="false">IF($A76="","",IFERROR($L76-$H76,""))</f>
        <v/>
      </c>
      <c r="S76" s="39" t="str">
        <f aca="false">IF($A76="","",IFERROR($R76/$H76,""))</f>
        <v/>
      </c>
      <c r="T76" s="32"/>
      <c r="U76" s="37" t="str">
        <f aca="false">IF($C76="","",IFERROR(INDEX(PR!$A$4:$A$203,MATCH($C76,PR!$C$4:$C$203,0)),""))</f>
        <v/>
      </c>
      <c r="V76" s="32"/>
    </row>
    <row r="77" customFormat="false" ht="15" hidden="false" customHeight="false" outlineLevel="0" collapsed="false">
      <c r="A77" s="32"/>
      <c r="B77" s="33"/>
      <c r="C77" s="32"/>
      <c r="D77" s="37" t="str">
        <f aca="false">IF($C77="","",IFERROR(INDEX('Check giá'!$C$4:$C$203,MATCH($C77,'Check giá'!$A$4:$A$203,0)),""))</f>
        <v/>
      </c>
      <c r="E77" s="37" t="str">
        <f aca="false">IF($C77="","",IFERROR(INDEX('Check giá'!$D$4:$D$203,MATCH($C77,'Check giá'!$A$4:$A$203,0)),""))</f>
        <v/>
      </c>
      <c r="F77" s="37" t="str">
        <f aca="false">IF($C77="","",IFERROR(INDEX('Check giá'!$F$4:$F$203,MATCH($C77,'Check giá'!$A$4:$A$203,0)),""))</f>
        <v/>
      </c>
      <c r="G77" s="38" t="str">
        <f aca="false">IF($C77="","",IFERROR(INDEX('Check giá'!$H$4:$H$203,MATCH($C77,'Check giá'!$A$4:$A$203,0)),""))</f>
        <v/>
      </c>
      <c r="H77" s="38" t="str">
        <f aca="false">IF($C77="","",IFERROR(INDEX('Check giá'!$J$4:$J$203,MATCH($C77,'Check giá'!$A$4:$A$203,0)),""))</f>
        <v/>
      </c>
      <c r="I77" s="32"/>
      <c r="J77" s="37" t="str">
        <f aca="false">IF($I77="","",IFERROR(INDEX('Nhà cung cấp'!$B$4:$B$203,MATCH($I77,'Nhà cung cấp'!$A$4:$A$203,0)),""))</f>
        <v/>
      </c>
      <c r="K77" s="34"/>
      <c r="L77" s="38" t="str">
        <f aca="false">IF($A77="","",IFERROR($G77*$K77,""))</f>
        <v/>
      </c>
      <c r="M77" s="34"/>
      <c r="N77" s="38" t="str">
        <f aca="false">IF($I77="","",IFERROR(INDEX('Nhà cung cấp'!$G$4:$G$203,MATCH($I77,'Nhà cung cấp'!$A$4:$A$203,0)),""))</f>
        <v/>
      </c>
      <c r="O77" s="33"/>
      <c r="P77" s="38" t="str">
        <f aca="false">IF($C77="","",IFERROR(_xlfn.MINIFS($L$4:$L$203,$C$4:$C$203,$C77,$L$4:$L$203,"&gt;0"),""))</f>
        <v/>
      </c>
      <c r="Q77" s="38" t="str">
        <f aca="false">IF($A77="","",IFERROR($L77-$P77,""))</f>
        <v/>
      </c>
      <c r="R77" s="38" t="str">
        <f aca="false">IF($A77="","",IFERROR($L77-$H77,""))</f>
        <v/>
      </c>
      <c r="S77" s="39" t="str">
        <f aca="false">IF($A77="","",IFERROR($R77/$H77,""))</f>
        <v/>
      </c>
      <c r="T77" s="32"/>
      <c r="U77" s="37" t="str">
        <f aca="false">IF($C77="","",IFERROR(INDEX(PR!$A$4:$A$203,MATCH($C77,PR!$C$4:$C$203,0)),""))</f>
        <v/>
      </c>
      <c r="V77" s="32"/>
    </row>
    <row r="78" customFormat="false" ht="15" hidden="false" customHeight="false" outlineLevel="0" collapsed="false">
      <c r="A78" s="32"/>
      <c r="B78" s="33"/>
      <c r="C78" s="32"/>
      <c r="D78" s="37" t="str">
        <f aca="false">IF($C78="","",IFERROR(INDEX('Check giá'!$C$4:$C$203,MATCH($C78,'Check giá'!$A$4:$A$203,0)),""))</f>
        <v/>
      </c>
      <c r="E78" s="37" t="str">
        <f aca="false">IF($C78="","",IFERROR(INDEX('Check giá'!$D$4:$D$203,MATCH($C78,'Check giá'!$A$4:$A$203,0)),""))</f>
        <v/>
      </c>
      <c r="F78" s="37" t="str">
        <f aca="false">IF($C78="","",IFERROR(INDEX('Check giá'!$F$4:$F$203,MATCH($C78,'Check giá'!$A$4:$A$203,0)),""))</f>
        <v/>
      </c>
      <c r="G78" s="38" t="str">
        <f aca="false">IF($C78="","",IFERROR(INDEX('Check giá'!$H$4:$H$203,MATCH($C78,'Check giá'!$A$4:$A$203,0)),""))</f>
        <v/>
      </c>
      <c r="H78" s="38" t="str">
        <f aca="false">IF($C78="","",IFERROR(INDEX('Check giá'!$J$4:$J$203,MATCH($C78,'Check giá'!$A$4:$A$203,0)),""))</f>
        <v/>
      </c>
      <c r="I78" s="32"/>
      <c r="J78" s="37" t="str">
        <f aca="false">IF($I78="","",IFERROR(INDEX('Nhà cung cấp'!$B$4:$B$203,MATCH($I78,'Nhà cung cấp'!$A$4:$A$203,0)),""))</f>
        <v/>
      </c>
      <c r="K78" s="34"/>
      <c r="L78" s="38" t="str">
        <f aca="false">IF($A78="","",IFERROR($G78*$K78,""))</f>
        <v/>
      </c>
      <c r="M78" s="34"/>
      <c r="N78" s="38" t="str">
        <f aca="false">IF($I78="","",IFERROR(INDEX('Nhà cung cấp'!$G$4:$G$203,MATCH($I78,'Nhà cung cấp'!$A$4:$A$203,0)),""))</f>
        <v/>
      </c>
      <c r="O78" s="33"/>
      <c r="P78" s="38" t="str">
        <f aca="false">IF($C78="","",IFERROR(_xlfn.MINIFS($L$4:$L$203,$C$4:$C$203,$C78,$L$4:$L$203,"&gt;0"),""))</f>
        <v/>
      </c>
      <c r="Q78" s="38" t="str">
        <f aca="false">IF($A78="","",IFERROR($L78-$P78,""))</f>
        <v/>
      </c>
      <c r="R78" s="38" t="str">
        <f aca="false">IF($A78="","",IFERROR($L78-$H78,""))</f>
        <v/>
      </c>
      <c r="S78" s="39" t="str">
        <f aca="false">IF($A78="","",IFERROR($R78/$H78,""))</f>
        <v/>
      </c>
      <c r="T78" s="32"/>
      <c r="U78" s="37" t="str">
        <f aca="false">IF($C78="","",IFERROR(INDEX(PR!$A$4:$A$203,MATCH($C78,PR!$C$4:$C$203,0)),""))</f>
        <v/>
      </c>
      <c r="V78" s="32"/>
    </row>
    <row r="79" customFormat="false" ht="15" hidden="false" customHeight="false" outlineLevel="0" collapsed="false">
      <c r="A79" s="32"/>
      <c r="B79" s="33"/>
      <c r="C79" s="32"/>
      <c r="D79" s="37" t="str">
        <f aca="false">IF($C79="","",IFERROR(INDEX('Check giá'!$C$4:$C$203,MATCH($C79,'Check giá'!$A$4:$A$203,0)),""))</f>
        <v/>
      </c>
      <c r="E79" s="37" t="str">
        <f aca="false">IF($C79="","",IFERROR(INDEX('Check giá'!$D$4:$D$203,MATCH($C79,'Check giá'!$A$4:$A$203,0)),""))</f>
        <v/>
      </c>
      <c r="F79" s="37" t="str">
        <f aca="false">IF($C79="","",IFERROR(INDEX('Check giá'!$F$4:$F$203,MATCH($C79,'Check giá'!$A$4:$A$203,0)),""))</f>
        <v/>
      </c>
      <c r="G79" s="38" t="str">
        <f aca="false">IF($C79="","",IFERROR(INDEX('Check giá'!$H$4:$H$203,MATCH($C79,'Check giá'!$A$4:$A$203,0)),""))</f>
        <v/>
      </c>
      <c r="H79" s="38" t="str">
        <f aca="false">IF($C79="","",IFERROR(INDEX('Check giá'!$J$4:$J$203,MATCH($C79,'Check giá'!$A$4:$A$203,0)),""))</f>
        <v/>
      </c>
      <c r="I79" s="32"/>
      <c r="J79" s="37" t="str">
        <f aca="false">IF($I79="","",IFERROR(INDEX('Nhà cung cấp'!$B$4:$B$203,MATCH($I79,'Nhà cung cấp'!$A$4:$A$203,0)),""))</f>
        <v/>
      </c>
      <c r="K79" s="34"/>
      <c r="L79" s="38" t="str">
        <f aca="false">IF($A79="","",IFERROR($G79*$K79,""))</f>
        <v/>
      </c>
      <c r="M79" s="34"/>
      <c r="N79" s="38" t="str">
        <f aca="false">IF($I79="","",IFERROR(INDEX('Nhà cung cấp'!$G$4:$G$203,MATCH($I79,'Nhà cung cấp'!$A$4:$A$203,0)),""))</f>
        <v/>
      </c>
      <c r="O79" s="33"/>
      <c r="P79" s="38" t="str">
        <f aca="false">IF($C79="","",IFERROR(_xlfn.MINIFS($L$4:$L$203,$C$4:$C$203,$C79,$L$4:$L$203,"&gt;0"),""))</f>
        <v/>
      </c>
      <c r="Q79" s="38" t="str">
        <f aca="false">IF($A79="","",IFERROR($L79-$P79,""))</f>
        <v/>
      </c>
      <c r="R79" s="38" t="str">
        <f aca="false">IF($A79="","",IFERROR($L79-$H79,""))</f>
        <v/>
      </c>
      <c r="S79" s="39" t="str">
        <f aca="false">IF($A79="","",IFERROR($R79/$H79,""))</f>
        <v/>
      </c>
      <c r="T79" s="32"/>
      <c r="U79" s="37" t="str">
        <f aca="false">IF($C79="","",IFERROR(INDEX(PR!$A$4:$A$203,MATCH($C79,PR!$C$4:$C$203,0)),""))</f>
        <v/>
      </c>
      <c r="V79" s="32"/>
    </row>
    <row r="80" customFormat="false" ht="15" hidden="false" customHeight="false" outlineLevel="0" collapsed="false">
      <c r="A80" s="32"/>
      <c r="B80" s="33"/>
      <c r="C80" s="32"/>
      <c r="D80" s="37" t="str">
        <f aca="false">IF($C80="","",IFERROR(INDEX('Check giá'!$C$4:$C$203,MATCH($C80,'Check giá'!$A$4:$A$203,0)),""))</f>
        <v/>
      </c>
      <c r="E80" s="37" t="str">
        <f aca="false">IF($C80="","",IFERROR(INDEX('Check giá'!$D$4:$D$203,MATCH($C80,'Check giá'!$A$4:$A$203,0)),""))</f>
        <v/>
      </c>
      <c r="F80" s="37" t="str">
        <f aca="false">IF($C80="","",IFERROR(INDEX('Check giá'!$F$4:$F$203,MATCH($C80,'Check giá'!$A$4:$A$203,0)),""))</f>
        <v/>
      </c>
      <c r="G80" s="38" t="str">
        <f aca="false">IF($C80="","",IFERROR(INDEX('Check giá'!$H$4:$H$203,MATCH($C80,'Check giá'!$A$4:$A$203,0)),""))</f>
        <v/>
      </c>
      <c r="H80" s="38" t="str">
        <f aca="false">IF($C80="","",IFERROR(INDEX('Check giá'!$J$4:$J$203,MATCH($C80,'Check giá'!$A$4:$A$203,0)),""))</f>
        <v/>
      </c>
      <c r="I80" s="32"/>
      <c r="J80" s="37" t="str">
        <f aca="false">IF($I80="","",IFERROR(INDEX('Nhà cung cấp'!$B$4:$B$203,MATCH($I80,'Nhà cung cấp'!$A$4:$A$203,0)),""))</f>
        <v/>
      </c>
      <c r="K80" s="34"/>
      <c r="L80" s="38" t="str">
        <f aca="false">IF($A80="","",IFERROR($G80*$K80,""))</f>
        <v/>
      </c>
      <c r="M80" s="34"/>
      <c r="N80" s="38" t="str">
        <f aca="false">IF($I80="","",IFERROR(INDEX('Nhà cung cấp'!$G$4:$G$203,MATCH($I80,'Nhà cung cấp'!$A$4:$A$203,0)),""))</f>
        <v/>
      </c>
      <c r="O80" s="33"/>
      <c r="P80" s="38" t="str">
        <f aca="false">IF($C80="","",IFERROR(_xlfn.MINIFS($L$4:$L$203,$C$4:$C$203,$C80,$L$4:$L$203,"&gt;0"),""))</f>
        <v/>
      </c>
      <c r="Q80" s="38" t="str">
        <f aca="false">IF($A80="","",IFERROR($L80-$P80,""))</f>
        <v/>
      </c>
      <c r="R80" s="38" t="str">
        <f aca="false">IF($A80="","",IFERROR($L80-$H80,""))</f>
        <v/>
      </c>
      <c r="S80" s="39" t="str">
        <f aca="false">IF($A80="","",IFERROR($R80/$H80,""))</f>
        <v/>
      </c>
      <c r="T80" s="32"/>
      <c r="U80" s="37" t="str">
        <f aca="false">IF($C80="","",IFERROR(INDEX(PR!$A$4:$A$203,MATCH($C80,PR!$C$4:$C$203,0)),""))</f>
        <v/>
      </c>
      <c r="V80" s="32"/>
    </row>
    <row r="81" customFormat="false" ht="15" hidden="false" customHeight="false" outlineLevel="0" collapsed="false">
      <c r="A81" s="32"/>
      <c r="B81" s="33"/>
      <c r="C81" s="32"/>
      <c r="D81" s="37" t="str">
        <f aca="false">IF($C81="","",IFERROR(INDEX('Check giá'!$C$4:$C$203,MATCH($C81,'Check giá'!$A$4:$A$203,0)),""))</f>
        <v/>
      </c>
      <c r="E81" s="37" t="str">
        <f aca="false">IF($C81="","",IFERROR(INDEX('Check giá'!$D$4:$D$203,MATCH($C81,'Check giá'!$A$4:$A$203,0)),""))</f>
        <v/>
      </c>
      <c r="F81" s="37" t="str">
        <f aca="false">IF($C81="","",IFERROR(INDEX('Check giá'!$F$4:$F$203,MATCH($C81,'Check giá'!$A$4:$A$203,0)),""))</f>
        <v/>
      </c>
      <c r="G81" s="38" t="str">
        <f aca="false">IF($C81="","",IFERROR(INDEX('Check giá'!$H$4:$H$203,MATCH($C81,'Check giá'!$A$4:$A$203,0)),""))</f>
        <v/>
      </c>
      <c r="H81" s="38" t="str">
        <f aca="false">IF($C81="","",IFERROR(INDEX('Check giá'!$J$4:$J$203,MATCH($C81,'Check giá'!$A$4:$A$203,0)),""))</f>
        <v/>
      </c>
      <c r="I81" s="32"/>
      <c r="J81" s="37" t="str">
        <f aca="false">IF($I81="","",IFERROR(INDEX('Nhà cung cấp'!$B$4:$B$203,MATCH($I81,'Nhà cung cấp'!$A$4:$A$203,0)),""))</f>
        <v/>
      </c>
      <c r="K81" s="34"/>
      <c r="L81" s="38" t="str">
        <f aca="false">IF($A81="","",IFERROR($G81*$K81,""))</f>
        <v/>
      </c>
      <c r="M81" s="34"/>
      <c r="N81" s="38" t="str">
        <f aca="false">IF($I81="","",IFERROR(INDEX('Nhà cung cấp'!$G$4:$G$203,MATCH($I81,'Nhà cung cấp'!$A$4:$A$203,0)),""))</f>
        <v/>
      </c>
      <c r="O81" s="33"/>
      <c r="P81" s="38" t="str">
        <f aca="false">IF($C81="","",IFERROR(_xlfn.MINIFS($L$4:$L$203,$C$4:$C$203,$C81,$L$4:$L$203,"&gt;0"),""))</f>
        <v/>
      </c>
      <c r="Q81" s="38" t="str">
        <f aca="false">IF($A81="","",IFERROR($L81-$P81,""))</f>
        <v/>
      </c>
      <c r="R81" s="38" t="str">
        <f aca="false">IF($A81="","",IFERROR($L81-$H81,""))</f>
        <v/>
      </c>
      <c r="S81" s="39" t="str">
        <f aca="false">IF($A81="","",IFERROR($R81/$H81,""))</f>
        <v/>
      </c>
      <c r="T81" s="32"/>
      <c r="U81" s="37" t="str">
        <f aca="false">IF($C81="","",IFERROR(INDEX(PR!$A$4:$A$203,MATCH($C81,PR!$C$4:$C$203,0)),""))</f>
        <v/>
      </c>
      <c r="V81" s="32"/>
    </row>
    <row r="82" customFormat="false" ht="15" hidden="false" customHeight="false" outlineLevel="0" collapsed="false">
      <c r="A82" s="32"/>
      <c r="B82" s="33"/>
      <c r="C82" s="32"/>
      <c r="D82" s="37" t="str">
        <f aca="false">IF($C82="","",IFERROR(INDEX('Check giá'!$C$4:$C$203,MATCH($C82,'Check giá'!$A$4:$A$203,0)),""))</f>
        <v/>
      </c>
      <c r="E82" s="37" t="str">
        <f aca="false">IF($C82="","",IFERROR(INDEX('Check giá'!$D$4:$D$203,MATCH($C82,'Check giá'!$A$4:$A$203,0)),""))</f>
        <v/>
      </c>
      <c r="F82" s="37" t="str">
        <f aca="false">IF($C82="","",IFERROR(INDEX('Check giá'!$F$4:$F$203,MATCH($C82,'Check giá'!$A$4:$A$203,0)),""))</f>
        <v/>
      </c>
      <c r="G82" s="38" t="str">
        <f aca="false">IF($C82="","",IFERROR(INDEX('Check giá'!$H$4:$H$203,MATCH($C82,'Check giá'!$A$4:$A$203,0)),""))</f>
        <v/>
      </c>
      <c r="H82" s="38" t="str">
        <f aca="false">IF($C82="","",IFERROR(INDEX('Check giá'!$J$4:$J$203,MATCH($C82,'Check giá'!$A$4:$A$203,0)),""))</f>
        <v/>
      </c>
      <c r="I82" s="32"/>
      <c r="J82" s="37" t="str">
        <f aca="false">IF($I82="","",IFERROR(INDEX('Nhà cung cấp'!$B$4:$B$203,MATCH($I82,'Nhà cung cấp'!$A$4:$A$203,0)),""))</f>
        <v/>
      </c>
      <c r="K82" s="34"/>
      <c r="L82" s="38" t="str">
        <f aca="false">IF($A82="","",IFERROR($G82*$K82,""))</f>
        <v/>
      </c>
      <c r="M82" s="34"/>
      <c r="N82" s="38" t="str">
        <f aca="false">IF($I82="","",IFERROR(INDEX('Nhà cung cấp'!$G$4:$G$203,MATCH($I82,'Nhà cung cấp'!$A$4:$A$203,0)),""))</f>
        <v/>
      </c>
      <c r="O82" s="33"/>
      <c r="P82" s="38" t="str">
        <f aca="false">IF($C82="","",IFERROR(_xlfn.MINIFS($L$4:$L$203,$C$4:$C$203,$C82,$L$4:$L$203,"&gt;0"),""))</f>
        <v/>
      </c>
      <c r="Q82" s="38" t="str">
        <f aca="false">IF($A82="","",IFERROR($L82-$P82,""))</f>
        <v/>
      </c>
      <c r="R82" s="38" t="str">
        <f aca="false">IF($A82="","",IFERROR($L82-$H82,""))</f>
        <v/>
      </c>
      <c r="S82" s="39" t="str">
        <f aca="false">IF($A82="","",IFERROR($R82/$H82,""))</f>
        <v/>
      </c>
      <c r="T82" s="32"/>
      <c r="U82" s="37" t="str">
        <f aca="false">IF($C82="","",IFERROR(INDEX(PR!$A$4:$A$203,MATCH($C82,PR!$C$4:$C$203,0)),""))</f>
        <v/>
      </c>
      <c r="V82" s="32"/>
    </row>
    <row r="83" customFormat="false" ht="15" hidden="false" customHeight="false" outlineLevel="0" collapsed="false">
      <c r="A83" s="32"/>
      <c r="B83" s="33"/>
      <c r="C83" s="32"/>
      <c r="D83" s="37" t="str">
        <f aca="false">IF($C83="","",IFERROR(INDEX('Check giá'!$C$4:$C$203,MATCH($C83,'Check giá'!$A$4:$A$203,0)),""))</f>
        <v/>
      </c>
      <c r="E83" s="37" t="str">
        <f aca="false">IF($C83="","",IFERROR(INDEX('Check giá'!$D$4:$D$203,MATCH($C83,'Check giá'!$A$4:$A$203,0)),""))</f>
        <v/>
      </c>
      <c r="F83" s="37" t="str">
        <f aca="false">IF($C83="","",IFERROR(INDEX('Check giá'!$F$4:$F$203,MATCH($C83,'Check giá'!$A$4:$A$203,0)),""))</f>
        <v/>
      </c>
      <c r="G83" s="38" t="str">
        <f aca="false">IF($C83="","",IFERROR(INDEX('Check giá'!$H$4:$H$203,MATCH($C83,'Check giá'!$A$4:$A$203,0)),""))</f>
        <v/>
      </c>
      <c r="H83" s="38" t="str">
        <f aca="false">IF($C83="","",IFERROR(INDEX('Check giá'!$J$4:$J$203,MATCH($C83,'Check giá'!$A$4:$A$203,0)),""))</f>
        <v/>
      </c>
      <c r="I83" s="32"/>
      <c r="J83" s="37" t="str">
        <f aca="false">IF($I83="","",IFERROR(INDEX('Nhà cung cấp'!$B$4:$B$203,MATCH($I83,'Nhà cung cấp'!$A$4:$A$203,0)),""))</f>
        <v/>
      </c>
      <c r="K83" s="34"/>
      <c r="L83" s="38" t="str">
        <f aca="false">IF($A83="","",IFERROR($G83*$K83,""))</f>
        <v/>
      </c>
      <c r="M83" s="34"/>
      <c r="N83" s="38" t="str">
        <f aca="false">IF($I83="","",IFERROR(INDEX('Nhà cung cấp'!$G$4:$G$203,MATCH($I83,'Nhà cung cấp'!$A$4:$A$203,0)),""))</f>
        <v/>
      </c>
      <c r="O83" s="33"/>
      <c r="P83" s="38" t="str">
        <f aca="false">IF($C83="","",IFERROR(_xlfn.MINIFS($L$4:$L$203,$C$4:$C$203,$C83,$L$4:$L$203,"&gt;0"),""))</f>
        <v/>
      </c>
      <c r="Q83" s="38" t="str">
        <f aca="false">IF($A83="","",IFERROR($L83-$P83,""))</f>
        <v/>
      </c>
      <c r="R83" s="38" t="str">
        <f aca="false">IF($A83="","",IFERROR($L83-$H83,""))</f>
        <v/>
      </c>
      <c r="S83" s="39" t="str">
        <f aca="false">IF($A83="","",IFERROR($R83/$H83,""))</f>
        <v/>
      </c>
      <c r="T83" s="32"/>
      <c r="U83" s="37" t="str">
        <f aca="false">IF($C83="","",IFERROR(INDEX(PR!$A$4:$A$203,MATCH($C83,PR!$C$4:$C$203,0)),""))</f>
        <v/>
      </c>
      <c r="V83" s="32"/>
    </row>
    <row r="84" customFormat="false" ht="15" hidden="false" customHeight="false" outlineLevel="0" collapsed="false">
      <c r="A84" s="32"/>
      <c r="B84" s="33"/>
      <c r="C84" s="32"/>
      <c r="D84" s="37" t="str">
        <f aca="false">IF($C84="","",IFERROR(INDEX('Check giá'!$C$4:$C$203,MATCH($C84,'Check giá'!$A$4:$A$203,0)),""))</f>
        <v/>
      </c>
      <c r="E84" s="37" t="str">
        <f aca="false">IF($C84="","",IFERROR(INDEX('Check giá'!$D$4:$D$203,MATCH($C84,'Check giá'!$A$4:$A$203,0)),""))</f>
        <v/>
      </c>
      <c r="F84" s="37" t="str">
        <f aca="false">IF($C84="","",IFERROR(INDEX('Check giá'!$F$4:$F$203,MATCH($C84,'Check giá'!$A$4:$A$203,0)),""))</f>
        <v/>
      </c>
      <c r="G84" s="38" t="str">
        <f aca="false">IF($C84="","",IFERROR(INDEX('Check giá'!$H$4:$H$203,MATCH($C84,'Check giá'!$A$4:$A$203,0)),""))</f>
        <v/>
      </c>
      <c r="H84" s="38" t="str">
        <f aca="false">IF($C84="","",IFERROR(INDEX('Check giá'!$J$4:$J$203,MATCH($C84,'Check giá'!$A$4:$A$203,0)),""))</f>
        <v/>
      </c>
      <c r="I84" s="32"/>
      <c r="J84" s="37" t="str">
        <f aca="false">IF($I84="","",IFERROR(INDEX('Nhà cung cấp'!$B$4:$B$203,MATCH($I84,'Nhà cung cấp'!$A$4:$A$203,0)),""))</f>
        <v/>
      </c>
      <c r="K84" s="34"/>
      <c r="L84" s="38" t="str">
        <f aca="false">IF($A84="","",IFERROR($G84*$K84,""))</f>
        <v/>
      </c>
      <c r="M84" s="34"/>
      <c r="N84" s="38" t="str">
        <f aca="false">IF($I84="","",IFERROR(INDEX('Nhà cung cấp'!$G$4:$G$203,MATCH($I84,'Nhà cung cấp'!$A$4:$A$203,0)),""))</f>
        <v/>
      </c>
      <c r="O84" s="33"/>
      <c r="P84" s="38" t="str">
        <f aca="false">IF($C84="","",IFERROR(_xlfn.MINIFS($L$4:$L$203,$C$4:$C$203,$C84,$L$4:$L$203,"&gt;0"),""))</f>
        <v/>
      </c>
      <c r="Q84" s="38" t="str">
        <f aca="false">IF($A84="","",IFERROR($L84-$P84,""))</f>
        <v/>
      </c>
      <c r="R84" s="38" t="str">
        <f aca="false">IF($A84="","",IFERROR($L84-$H84,""))</f>
        <v/>
      </c>
      <c r="S84" s="39" t="str">
        <f aca="false">IF($A84="","",IFERROR($R84/$H84,""))</f>
        <v/>
      </c>
      <c r="T84" s="32"/>
      <c r="U84" s="37" t="str">
        <f aca="false">IF($C84="","",IFERROR(INDEX(PR!$A$4:$A$203,MATCH($C84,PR!$C$4:$C$203,0)),""))</f>
        <v/>
      </c>
      <c r="V84" s="32"/>
    </row>
    <row r="85" customFormat="false" ht="15" hidden="false" customHeight="false" outlineLevel="0" collapsed="false">
      <c r="A85" s="32"/>
      <c r="B85" s="33"/>
      <c r="C85" s="32"/>
      <c r="D85" s="37" t="str">
        <f aca="false">IF($C85="","",IFERROR(INDEX('Check giá'!$C$4:$C$203,MATCH($C85,'Check giá'!$A$4:$A$203,0)),""))</f>
        <v/>
      </c>
      <c r="E85" s="37" t="str">
        <f aca="false">IF($C85="","",IFERROR(INDEX('Check giá'!$D$4:$D$203,MATCH($C85,'Check giá'!$A$4:$A$203,0)),""))</f>
        <v/>
      </c>
      <c r="F85" s="37" t="str">
        <f aca="false">IF($C85="","",IFERROR(INDEX('Check giá'!$F$4:$F$203,MATCH($C85,'Check giá'!$A$4:$A$203,0)),""))</f>
        <v/>
      </c>
      <c r="G85" s="38" t="str">
        <f aca="false">IF($C85="","",IFERROR(INDEX('Check giá'!$H$4:$H$203,MATCH($C85,'Check giá'!$A$4:$A$203,0)),""))</f>
        <v/>
      </c>
      <c r="H85" s="38" t="str">
        <f aca="false">IF($C85="","",IFERROR(INDEX('Check giá'!$J$4:$J$203,MATCH($C85,'Check giá'!$A$4:$A$203,0)),""))</f>
        <v/>
      </c>
      <c r="I85" s="32"/>
      <c r="J85" s="37" t="str">
        <f aca="false">IF($I85="","",IFERROR(INDEX('Nhà cung cấp'!$B$4:$B$203,MATCH($I85,'Nhà cung cấp'!$A$4:$A$203,0)),""))</f>
        <v/>
      </c>
      <c r="K85" s="34"/>
      <c r="L85" s="38" t="str">
        <f aca="false">IF($A85="","",IFERROR($G85*$K85,""))</f>
        <v/>
      </c>
      <c r="M85" s="34"/>
      <c r="N85" s="38" t="str">
        <f aca="false">IF($I85="","",IFERROR(INDEX('Nhà cung cấp'!$G$4:$G$203,MATCH($I85,'Nhà cung cấp'!$A$4:$A$203,0)),""))</f>
        <v/>
      </c>
      <c r="O85" s="33"/>
      <c r="P85" s="38" t="str">
        <f aca="false">IF($C85="","",IFERROR(_xlfn.MINIFS($L$4:$L$203,$C$4:$C$203,$C85,$L$4:$L$203,"&gt;0"),""))</f>
        <v/>
      </c>
      <c r="Q85" s="38" t="str">
        <f aca="false">IF($A85="","",IFERROR($L85-$P85,""))</f>
        <v/>
      </c>
      <c r="R85" s="38" t="str">
        <f aca="false">IF($A85="","",IFERROR($L85-$H85,""))</f>
        <v/>
      </c>
      <c r="S85" s="39" t="str">
        <f aca="false">IF($A85="","",IFERROR($R85/$H85,""))</f>
        <v/>
      </c>
      <c r="T85" s="32"/>
      <c r="U85" s="37" t="str">
        <f aca="false">IF($C85="","",IFERROR(INDEX(PR!$A$4:$A$203,MATCH($C85,PR!$C$4:$C$203,0)),""))</f>
        <v/>
      </c>
      <c r="V85" s="32"/>
    </row>
    <row r="86" customFormat="false" ht="15" hidden="false" customHeight="false" outlineLevel="0" collapsed="false">
      <c r="A86" s="32"/>
      <c r="B86" s="33"/>
      <c r="C86" s="32"/>
      <c r="D86" s="37" t="str">
        <f aca="false">IF($C86="","",IFERROR(INDEX('Check giá'!$C$4:$C$203,MATCH($C86,'Check giá'!$A$4:$A$203,0)),""))</f>
        <v/>
      </c>
      <c r="E86" s="37" t="str">
        <f aca="false">IF($C86="","",IFERROR(INDEX('Check giá'!$D$4:$D$203,MATCH($C86,'Check giá'!$A$4:$A$203,0)),""))</f>
        <v/>
      </c>
      <c r="F86" s="37" t="str">
        <f aca="false">IF($C86="","",IFERROR(INDEX('Check giá'!$F$4:$F$203,MATCH($C86,'Check giá'!$A$4:$A$203,0)),""))</f>
        <v/>
      </c>
      <c r="G86" s="38" t="str">
        <f aca="false">IF($C86="","",IFERROR(INDEX('Check giá'!$H$4:$H$203,MATCH($C86,'Check giá'!$A$4:$A$203,0)),""))</f>
        <v/>
      </c>
      <c r="H86" s="38" t="str">
        <f aca="false">IF($C86="","",IFERROR(INDEX('Check giá'!$J$4:$J$203,MATCH($C86,'Check giá'!$A$4:$A$203,0)),""))</f>
        <v/>
      </c>
      <c r="I86" s="32"/>
      <c r="J86" s="37" t="str">
        <f aca="false">IF($I86="","",IFERROR(INDEX('Nhà cung cấp'!$B$4:$B$203,MATCH($I86,'Nhà cung cấp'!$A$4:$A$203,0)),""))</f>
        <v/>
      </c>
      <c r="K86" s="34"/>
      <c r="L86" s="38" t="str">
        <f aca="false">IF($A86="","",IFERROR($G86*$K86,""))</f>
        <v/>
      </c>
      <c r="M86" s="34"/>
      <c r="N86" s="38" t="str">
        <f aca="false">IF($I86="","",IFERROR(INDEX('Nhà cung cấp'!$G$4:$G$203,MATCH($I86,'Nhà cung cấp'!$A$4:$A$203,0)),""))</f>
        <v/>
      </c>
      <c r="O86" s="33"/>
      <c r="P86" s="38" t="str">
        <f aca="false">IF($C86="","",IFERROR(_xlfn.MINIFS($L$4:$L$203,$C$4:$C$203,$C86,$L$4:$L$203,"&gt;0"),""))</f>
        <v/>
      </c>
      <c r="Q86" s="38" t="str">
        <f aca="false">IF($A86="","",IFERROR($L86-$P86,""))</f>
        <v/>
      </c>
      <c r="R86" s="38" t="str">
        <f aca="false">IF($A86="","",IFERROR($L86-$H86,""))</f>
        <v/>
      </c>
      <c r="S86" s="39" t="str">
        <f aca="false">IF($A86="","",IFERROR($R86/$H86,""))</f>
        <v/>
      </c>
      <c r="T86" s="32"/>
      <c r="U86" s="37" t="str">
        <f aca="false">IF($C86="","",IFERROR(INDEX(PR!$A$4:$A$203,MATCH($C86,PR!$C$4:$C$203,0)),""))</f>
        <v/>
      </c>
      <c r="V86" s="32"/>
    </row>
    <row r="87" customFormat="false" ht="15" hidden="false" customHeight="false" outlineLevel="0" collapsed="false">
      <c r="A87" s="32"/>
      <c r="B87" s="33"/>
      <c r="C87" s="32"/>
      <c r="D87" s="37" t="str">
        <f aca="false">IF($C87="","",IFERROR(INDEX('Check giá'!$C$4:$C$203,MATCH($C87,'Check giá'!$A$4:$A$203,0)),""))</f>
        <v/>
      </c>
      <c r="E87" s="37" t="str">
        <f aca="false">IF($C87="","",IFERROR(INDEX('Check giá'!$D$4:$D$203,MATCH($C87,'Check giá'!$A$4:$A$203,0)),""))</f>
        <v/>
      </c>
      <c r="F87" s="37" t="str">
        <f aca="false">IF($C87="","",IFERROR(INDEX('Check giá'!$F$4:$F$203,MATCH($C87,'Check giá'!$A$4:$A$203,0)),""))</f>
        <v/>
      </c>
      <c r="G87" s="38" t="str">
        <f aca="false">IF($C87="","",IFERROR(INDEX('Check giá'!$H$4:$H$203,MATCH($C87,'Check giá'!$A$4:$A$203,0)),""))</f>
        <v/>
      </c>
      <c r="H87" s="38" t="str">
        <f aca="false">IF($C87="","",IFERROR(INDEX('Check giá'!$J$4:$J$203,MATCH($C87,'Check giá'!$A$4:$A$203,0)),""))</f>
        <v/>
      </c>
      <c r="I87" s="32"/>
      <c r="J87" s="37" t="str">
        <f aca="false">IF($I87="","",IFERROR(INDEX('Nhà cung cấp'!$B$4:$B$203,MATCH($I87,'Nhà cung cấp'!$A$4:$A$203,0)),""))</f>
        <v/>
      </c>
      <c r="K87" s="34"/>
      <c r="L87" s="38" t="str">
        <f aca="false">IF($A87="","",IFERROR($G87*$K87,""))</f>
        <v/>
      </c>
      <c r="M87" s="34"/>
      <c r="N87" s="38" t="str">
        <f aca="false">IF($I87="","",IFERROR(INDEX('Nhà cung cấp'!$G$4:$G$203,MATCH($I87,'Nhà cung cấp'!$A$4:$A$203,0)),""))</f>
        <v/>
      </c>
      <c r="O87" s="33"/>
      <c r="P87" s="38" t="str">
        <f aca="false">IF($C87="","",IFERROR(_xlfn.MINIFS($L$4:$L$203,$C$4:$C$203,$C87,$L$4:$L$203,"&gt;0"),""))</f>
        <v/>
      </c>
      <c r="Q87" s="38" t="str">
        <f aca="false">IF($A87="","",IFERROR($L87-$P87,""))</f>
        <v/>
      </c>
      <c r="R87" s="38" t="str">
        <f aca="false">IF($A87="","",IFERROR($L87-$H87,""))</f>
        <v/>
      </c>
      <c r="S87" s="39" t="str">
        <f aca="false">IF($A87="","",IFERROR($R87/$H87,""))</f>
        <v/>
      </c>
      <c r="T87" s="32"/>
      <c r="U87" s="37" t="str">
        <f aca="false">IF($C87="","",IFERROR(INDEX(PR!$A$4:$A$203,MATCH($C87,PR!$C$4:$C$203,0)),""))</f>
        <v/>
      </c>
      <c r="V87" s="32"/>
    </row>
    <row r="88" customFormat="false" ht="15" hidden="false" customHeight="false" outlineLevel="0" collapsed="false">
      <c r="A88" s="32"/>
      <c r="B88" s="33"/>
      <c r="C88" s="32"/>
      <c r="D88" s="37" t="str">
        <f aca="false">IF($C88="","",IFERROR(INDEX('Check giá'!$C$4:$C$203,MATCH($C88,'Check giá'!$A$4:$A$203,0)),""))</f>
        <v/>
      </c>
      <c r="E88" s="37" t="str">
        <f aca="false">IF($C88="","",IFERROR(INDEX('Check giá'!$D$4:$D$203,MATCH($C88,'Check giá'!$A$4:$A$203,0)),""))</f>
        <v/>
      </c>
      <c r="F88" s="37" t="str">
        <f aca="false">IF($C88="","",IFERROR(INDEX('Check giá'!$F$4:$F$203,MATCH($C88,'Check giá'!$A$4:$A$203,0)),""))</f>
        <v/>
      </c>
      <c r="G88" s="38" t="str">
        <f aca="false">IF($C88="","",IFERROR(INDEX('Check giá'!$H$4:$H$203,MATCH($C88,'Check giá'!$A$4:$A$203,0)),""))</f>
        <v/>
      </c>
      <c r="H88" s="38" t="str">
        <f aca="false">IF($C88="","",IFERROR(INDEX('Check giá'!$J$4:$J$203,MATCH($C88,'Check giá'!$A$4:$A$203,0)),""))</f>
        <v/>
      </c>
      <c r="I88" s="32"/>
      <c r="J88" s="37" t="str">
        <f aca="false">IF($I88="","",IFERROR(INDEX('Nhà cung cấp'!$B$4:$B$203,MATCH($I88,'Nhà cung cấp'!$A$4:$A$203,0)),""))</f>
        <v/>
      </c>
      <c r="K88" s="34"/>
      <c r="L88" s="38" t="str">
        <f aca="false">IF($A88="","",IFERROR($G88*$K88,""))</f>
        <v/>
      </c>
      <c r="M88" s="34"/>
      <c r="N88" s="38" t="str">
        <f aca="false">IF($I88="","",IFERROR(INDEX('Nhà cung cấp'!$G$4:$G$203,MATCH($I88,'Nhà cung cấp'!$A$4:$A$203,0)),""))</f>
        <v/>
      </c>
      <c r="O88" s="33"/>
      <c r="P88" s="38" t="str">
        <f aca="false">IF($C88="","",IFERROR(_xlfn.MINIFS($L$4:$L$203,$C$4:$C$203,$C88,$L$4:$L$203,"&gt;0"),""))</f>
        <v/>
      </c>
      <c r="Q88" s="38" t="str">
        <f aca="false">IF($A88="","",IFERROR($L88-$P88,""))</f>
        <v/>
      </c>
      <c r="R88" s="38" t="str">
        <f aca="false">IF($A88="","",IFERROR($L88-$H88,""))</f>
        <v/>
      </c>
      <c r="S88" s="39" t="str">
        <f aca="false">IF($A88="","",IFERROR($R88/$H88,""))</f>
        <v/>
      </c>
      <c r="T88" s="32"/>
      <c r="U88" s="37" t="str">
        <f aca="false">IF($C88="","",IFERROR(INDEX(PR!$A$4:$A$203,MATCH($C88,PR!$C$4:$C$203,0)),""))</f>
        <v/>
      </c>
      <c r="V88" s="32"/>
    </row>
    <row r="89" customFormat="false" ht="15" hidden="false" customHeight="false" outlineLevel="0" collapsed="false">
      <c r="A89" s="32"/>
      <c r="B89" s="33"/>
      <c r="C89" s="32"/>
      <c r="D89" s="37" t="str">
        <f aca="false">IF($C89="","",IFERROR(INDEX('Check giá'!$C$4:$C$203,MATCH($C89,'Check giá'!$A$4:$A$203,0)),""))</f>
        <v/>
      </c>
      <c r="E89" s="37" t="str">
        <f aca="false">IF($C89="","",IFERROR(INDEX('Check giá'!$D$4:$D$203,MATCH($C89,'Check giá'!$A$4:$A$203,0)),""))</f>
        <v/>
      </c>
      <c r="F89" s="37" t="str">
        <f aca="false">IF($C89="","",IFERROR(INDEX('Check giá'!$F$4:$F$203,MATCH($C89,'Check giá'!$A$4:$A$203,0)),""))</f>
        <v/>
      </c>
      <c r="G89" s="38" t="str">
        <f aca="false">IF($C89="","",IFERROR(INDEX('Check giá'!$H$4:$H$203,MATCH($C89,'Check giá'!$A$4:$A$203,0)),""))</f>
        <v/>
      </c>
      <c r="H89" s="38" t="str">
        <f aca="false">IF($C89="","",IFERROR(INDEX('Check giá'!$J$4:$J$203,MATCH($C89,'Check giá'!$A$4:$A$203,0)),""))</f>
        <v/>
      </c>
      <c r="I89" s="32"/>
      <c r="J89" s="37" t="str">
        <f aca="false">IF($I89="","",IFERROR(INDEX('Nhà cung cấp'!$B$4:$B$203,MATCH($I89,'Nhà cung cấp'!$A$4:$A$203,0)),""))</f>
        <v/>
      </c>
      <c r="K89" s="34"/>
      <c r="L89" s="38" t="str">
        <f aca="false">IF($A89="","",IFERROR($G89*$K89,""))</f>
        <v/>
      </c>
      <c r="M89" s="34"/>
      <c r="N89" s="38" t="str">
        <f aca="false">IF($I89="","",IFERROR(INDEX('Nhà cung cấp'!$G$4:$G$203,MATCH($I89,'Nhà cung cấp'!$A$4:$A$203,0)),""))</f>
        <v/>
      </c>
      <c r="O89" s="33"/>
      <c r="P89" s="38" t="str">
        <f aca="false">IF($C89="","",IFERROR(_xlfn.MINIFS($L$4:$L$203,$C$4:$C$203,$C89,$L$4:$L$203,"&gt;0"),""))</f>
        <v/>
      </c>
      <c r="Q89" s="38" t="str">
        <f aca="false">IF($A89="","",IFERROR($L89-$P89,""))</f>
        <v/>
      </c>
      <c r="R89" s="38" t="str">
        <f aca="false">IF($A89="","",IFERROR($L89-$H89,""))</f>
        <v/>
      </c>
      <c r="S89" s="39" t="str">
        <f aca="false">IF($A89="","",IFERROR($R89/$H89,""))</f>
        <v/>
      </c>
      <c r="T89" s="32"/>
      <c r="U89" s="37" t="str">
        <f aca="false">IF($C89="","",IFERROR(INDEX(PR!$A$4:$A$203,MATCH($C89,PR!$C$4:$C$203,0)),""))</f>
        <v/>
      </c>
      <c r="V89" s="32"/>
    </row>
    <row r="90" customFormat="false" ht="15" hidden="false" customHeight="false" outlineLevel="0" collapsed="false">
      <c r="A90" s="32"/>
      <c r="B90" s="33"/>
      <c r="C90" s="32"/>
      <c r="D90" s="37" t="str">
        <f aca="false">IF($C90="","",IFERROR(INDEX('Check giá'!$C$4:$C$203,MATCH($C90,'Check giá'!$A$4:$A$203,0)),""))</f>
        <v/>
      </c>
      <c r="E90" s="37" t="str">
        <f aca="false">IF($C90="","",IFERROR(INDEX('Check giá'!$D$4:$D$203,MATCH($C90,'Check giá'!$A$4:$A$203,0)),""))</f>
        <v/>
      </c>
      <c r="F90" s="37" t="str">
        <f aca="false">IF($C90="","",IFERROR(INDEX('Check giá'!$F$4:$F$203,MATCH($C90,'Check giá'!$A$4:$A$203,0)),""))</f>
        <v/>
      </c>
      <c r="G90" s="38" t="str">
        <f aca="false">IF($C90="","",IFERROR(INDEX('Check giá'!$H$4:$H$203,MATCH($C90,'Check giá'!$A$4:$A$203,0)),""))</f>
        <v/>
      </c>
      <c r="H90" s="38" t="str">
        <f aca="false">IF($C90="","",IFERROR(INDEX('Check giá'!$J$4:$J$203,MATCH($C90,'Check giá'!$A$4:$A$203,0)),""))</f>
        <v/>
      </c>
      <c r="I90" s="32"/>
      <c r="J90" s="37" t="str">
        <f aca="false">IF($I90="","",IFERROR(INDEX('Nhà cung cấp'!$B$4:$B$203,MATCH($I90,'Nhà cung cấp'!$A$4:$A$203,0)),""))</f>
        <v/>
      </c>
      <c r="K90" s="34"/>
      <c r="L90" s="38" t="str">
        <f aca="false">IF($A90="","",IFERROR($G90*$K90,""))</f>
        <v/>
      </c>
      <c r="M90" s="34"/>
      <c r="N90" s="38" t="str">
        <f aca="false">IF($I90="","",IFERROR(INDEX('Nhà cung cấp'!$G$4:$G$203,MATCH($I90,'Nhà cung cấp'!$A$4:$A$203,0)),""))</f>
        <v/>
      </c>
      <c r="O90" s="33"/>
      <c r="P90" s="38" t="str">
        <f aca="false">IF($C90="","",IFERROR(_xlfn.MINIFS($L$4:$L$203,$C$4:$C$203,$C90,$L$4:$L$203,"&gt;0"),""))</f>
        <v/>
      </c>
      <c r="Q90" s="38" t="str">
        <f aca="false">IF($A90="","",IFERROR($L90-$P90,""))</f>
        <v/>
      </c>
      <c r="R90" s="38" t="str">
        <f aca="false">IF($A90="","",IFERROR($L90-$H90,""))</f>
        <v/>
      </c>
      <c r="S90" s="39" t="str">
        <f aca="false">IF($A90="","",IFERROR($R90/$H90,""))</f>
        <v/>
      </c>
      <c r="T90" s="32"/>
      <c r="U90" s="37" t="str">
        <f aca="false">IF($C90="","",IFERROR(INDEX(PR!$A$4:$A$203,MATCH($C90,PR!$C$4:$C$203,0)),""))</f>
        <v/>
      </c>
      <c r="V90" s="32"/>
    </row>
    <row r="91" customFormat="false" ht="15" hidden="false" customHeight="false" outlineLevel="0" collapsed="false">
      <c r="A91" s="32"/>
      <c r="B91" s="33"/>
      <c r="C91" s="32"/>
      <c r="D91" s="37" t="str">
        <f aca="false">IF($C91="","",IFERROR(INDEX('Check giá'!$C$4:$C$203,MATCH($C91,'Check giá'!$A$4:$A$203,0)),""))</f>
        <v/>
      </c>
      <c r="E91" s="37" t="str">
        <f aca="false">IF($C91="","",IFERROR(INDEX('Check giá'!$D$4:$D$203,MATCH($C91,'Check giá'!$A$4:$A$203,0)),""))</f>
        <v/>
      </c>
      <c r="F91" s="37" t="str">
        <f aca="false">IF($C91="","",IFERROR(INDEX('Check giá'!$F$4:$F$203,MATCH($C91,'Check giá'!$A$4:$A$203,0)),""))</f>
        <v/>
      </c>
      <c r="G91" s="38" t="str">
        <f aca="false">IF($C91="","",IFERROR(INDEX('Check giá'!$H$4:$H$203,MATCH($C91,'Check giá'!$A$4:$A$203,0)),""))</f>
        <v/>
      </c>
      <c r="H91" s="38" t="str">
        <f aca="false">IF($C91="","",IFERROR(INDEX('Check giá'!$J$4:$J$203,MATCH($C91,'Check giá'!$A$4:$A$203,0)),""))</f>
        <v/>
      </c>
      <c r="I91" s="32"/>
      <c r="J91" s="37" t="str">
        <f aca="false">IF($I91="","",IFERROR(INDEX('Nhà cung cấp'!$B$4:$B$203,MATCH($I91,'Nhà cung cấp'!$A$4:$A$203,0)),""))</f>
        <v/>
      </c>
      <c r="K91" s="34"/>
      <c r="L91" s="38" t="str">
        <f aca="false">IF($A91="","",IFERROR($G91*$K91,""))</f>
        <v/>
      </c>
      <c r="M91" s="34"/>
      <c r="N91" s="38" t="str">
        <f aca="false">IF($I91="","",IFERROR(INDEX('Nhà cung cấp'!$G$4:$G$203,MATCH($I91,'Nhà cung cấp'!$A$4:$A$203,0)),""))</f>
        <v/>
      </c>
      <c r="O91" s="33"/>
      <c r="P91" s="38" t="str">
        <f aca="false">IF($C91="","",IFERROR(_xlfn.MINIFS($L$4:$L$203,$C$4:$C$203,$C91,$L$4:$L$203,"&gt;0"),""))</f>
        <v/>
      </c>
      <c r="Q91" s="38" t="str">
        <f aca="false">IF($A91="","",IFERROR($L91-$P91,""))</f>
        <v/>
      </c>
      <c r="R91" s="38" t="str">
        <f aca="false">IF($A91="","",IFERROR($L91-$H91,""))</f>
        <v/>
      </c>
      <c r="S91" s="39" t="str">
        <f aca="false">IF($A91="","",IFERROR($R91/$H91,""))</f>
        <v/>
      </c>
      <c r="T91" s="32"/>
      <c r="U91" s="37" t="str">
        <f aca="false">IF($C91="","",IFERROR(INDEX(PR!$A$4:$A$203,MATCH($C91,PR!$C$4:$C$203,0)),""))</f>
        <v/>
      </c>
      <c r="V91" s="32"/>
    </row>
    <row r="92" customFormat="false" ht="15" hidden="false" customHeight="false" outlineLevel="0" collapsed="false">
      <c r="A92" s="32"/>
      <c r="B92" s="33"/>
      <c r="C92" s="32"/>
      <c r="D92" s="37" t="str">
        <f aca="false">IF($C92="","",IFERROR(INDEX('Check giá'!$C$4:$C$203,MATCH($C92,'Check giá'!$A$4:$A$203,0)),""))</f>
        <v/>
      </c>
      <c r="E92" s="37" t="str">
        <f aca="false">IF($C92="","",IFERROR(INDEX('Check giá'!$D$4:$D$203,MATCH($C92,'Check giá'!$A$4:$A$203,0)),""))</f>
        <v/>
      </c>
      <c r="F92" s="37" t="str">
        <f aca="false">IF($C92="","",IFERROR(INDEX('Check giá'!$F$4:$F$203,MATCH($C92,'Check giá'!$A$4:$A$203,0)),""))</f>
        <v/>
      </c>
      <c r="G92" s="38" t="str">
        <f aca="false">IF($C92="","",IFERROR(INDEX('Check giá'!$H$4:$H$203,MATCH($C92,'Check giá'!$A$4:$A$203,0)),""))</f>
        <v/>
      </c>
      <c r="H92" s="38" t="str">
        <f aca="false">IF($C92="","",IFERROR(INDEX('Check giá'!$J$4:$J$203,MATCH($C92,'Check giá'!$A$4:$A$203,0)),""))</f>
        <v/>
      </c>
      <c r="I92" s="32"/>
      <c r="J92" s="37" t="str">
        <f aca="false">IF($I92="","",IFERROR(INDEX('Nhà cung cấp'!$B$4:$B$203,MATCH($I92,'Nhà cung cấp'!$A$4:$A$203,0)),""))</f>
        <v/>
      </c>
      <c r="K92" s="34"/>
      <c r="L92" s="38" t="str">
        <f aca="false">IF($A92="","",IFERROR($G92*$K92,""))</f>
        <v/>
      </c>
      <c r="M92" s="34"/>
      <c r="N92" s="38" t="str">
        <f aca="false">IF($I92="","",IFERROR(INDEX('Nhà cung cấp'!$G$4:$G$203,MATCH($I92,'Nhà cung cấp'!$A$4:$A$203,0)),""))</f>
        <v/>
      </c>
      <c r="O92" s="33"/>
      <c r="P92" s="38" t="str">
        <f aca="false">IF($C92="","",IFERROR(_xlfn.MINIFS($L$4:$L$203,$C$4:$C$203,$C92,$L$4:$L$203,"&gt;0"),""))</f>
        <v/>
      </c>
      <c r="Q92" s="38" t="str">
        <f aca="false">IF($A92="","",IFERROR($L92-$P92,""))</f>
        <v/>
      </c>
      <c r="R92" s="38" t="str">
        <f aca="false">IF($A92="","",IFERROR($L92-$H92,""))</f>
        <v/>
      </c>
      <c r="S92" s="39" t="str">
        <f aca="false">IF($A92="","",IFERROR($R92/$H92,""))</f>
        <v/>
      </c>
      <c r="T92" s="32"/>
      <c r="U92" s="37" t="str">
        <f aca="false">IF($C92="","",IFERROR(INDEX(PR!$A$4:$A$203,MATCH($C92,PR!$C$4:$C$203,0)),""))</f>
        <v/>
      </c>
      <c r="V92" s="32"/>
    </row>
    <row r="93" customFormat="false" ht="15" hidden="false" customHeight="false" outlineLevel="0" collapsed="false">
      <c r="A93" s="32"/>
      <c r="B93" s="33"/>
      <c r="C93" s="32"/>
      <c r="D93" s="37" t="str">
        <f aca="false">IF($C93="","",IFERROR(INDEX('Check giá'!$C$4:$C$203,MATCH($C93,'Check giá'!$A$4:$A$203,0)),""))</f>
        <v/>
      </c>
      <c r="E93" s="37" t="str">
        <f aca="false">IF($C93="","",IFERROR(INDEX('Check giá'!$D$4:$D$203,MATCH($C93,'Check giá'!$A$4:$A$203,0)),""))</f>
        <v/>
      </c>
      <c r="F93" s="37" t="str">
        <f aca="false">IF($C93="","",IFERROR(INDEX('Check giá'!$F$4:$F$203,MATCH($C93,'Check giá'!$A$4:$A$203,0)),""))</f>
        <v/>
      </c>
      <c r="G93" s="38" t="str">
        <f aca="false">IF($C93="","",IFERROR(INDEX('Check giá'!$H$4:$H$203,MATCH($C93,'Check giá'!$A$4:$A$203,0)),""))</f>
        <v/>
      </c>
      <c r="H93" s="38" t="str">
        <f aca="false">IF($C93="","",IFERROR(INDEX('Check giá'!$J$4:$J$203,MATCH($C93,'Check giá'!$A$4:$A$203,0)),""))</f>
        <v/>
      </c>
      <c r="I93" s="32"/>
      <c r="J93" s="37" t="str">
        <f aca="false">IF($I93="","",IFERROR(INDEX('Nhà cung cấp'!$B$4:$B$203,MATCH($I93,'Nhà cung cấp'!$A$4:$A$203,0)),""))</f>
        <v/>
      </c>
      <c r="K93" s="34"/>
      <c r="L93" s="38" t="str">
        <f aca="false">IF($A93="","",IFERROR($G93*$K93,""))</f>
        <v/>
      </c>
      <c r="M93" s="34"/>
      <c r="N93" s="38" t="str">
        <f aca="false">IF($I93="","",IFERROR(INDEX('Nhà cung cấp'!$G$4:$G$203,MATCH($I93,'Nhà cung cấp'!$A$4:$A$203,0)),""))</f>
        <v/>
      </c>
      <c r="O93" s="33"/>
      <c r="P93" s="38" t="str">
        <f aca="false">IF($C93="","",IFERROR(_xlfn.MINIFS($L$4:$L$203,$C$4:$C$203,$C93,$L$4:$L$203,"&gt;0"),""))</f>
        <v/>
      </c>
      <c r="Q93" s="38" t="str">
        <f aca="false">IF($A93="","",IFERROR($L93-$P93,""))</f>
        <v/>
      </c>
      <c r="R93" s="38" t="str">
        <f aca="false">IF($A93="","",IFERROR($L93-$H93,""))</f>
        <v/>
      </c>
      <c r="S93" s="39" t="str">
        <f aca="false">IF($A93="","",IFERROR($R93/$H93,""))</f>
        <v/>
      </c>
      <c r="T93" s="32"/>
      <c r="U93" s="37" t="str">
        <f aca="false">IF($C93="","",IFERROR(INDEX(PR!$A$4:$A$203,MATCH($C93,PR!$C$4:$C$203,0)),""))</f>
        <v/>
      </c>
      <c r="V93" s="32"/>
    </row>
    <row r="94" customFormat="false" ht="15" hidden="false" customHeight="false" outlineLevel="0" collapsed="false">
      <c r="A94" s="32"/>
      <c r="B94" s="33"/>
      <c r="C94" s="32"/>
      <c r="D94" s="37" t="str">
        <f aca="false">IF($C94="","",IFERROR(INDEX('Check giá'!$C$4:$C$203,MATCH($C94,'Check giá'!$A$4:$A$203,0)),""))</f>
        <v/>
      </c>
      <c r="E94" s="37" t="str">
        <f aca="false">IF($C94="","",IFERROR(INDEX('Check giá'!$D$4:$D$203,MATCH($C94,'Check giá'!$A$4:$A$203,0)),""))</f>
        <v/>
      </c>
      <c r="F94" s="37" t="str">
        <f aca="false">IF($C94="","",IFERROR(INDEX('Check giá'!$F$4:$F$203,MATCH($C94,'Check giá'!$A$4:$A$203,0)),""))</f>
        <v/>
      </c>
      <c r="G94" s="38" t="str">
        <f aca="false">IF($C94="","",IFERROR(INDEX('Check giá'!$H$4:$H$203,MATCH($C94,'Check giá'!$A$4:$A$203,0)),""))</f>
        <v/>
      </c>
      <c r="H94" s="38" t="str">
        <f aca="false">IF($C94="","",IFERROR(INDEX('Check giá'!$J$4:$J$203,MATCH($C94,'Check giá'!$A$4:$A$203,0)),""))</f>
        <v/>
      </c>
      <c r="I94" s="32"/>
      <c r="J94" s="37" t="str">
        <f aca="false">IF($I94="","",IFERROR(INDEX('Nhà cung cấp'!$B$4:$B$203,MATCH($I94,'Nhà cung cấp'!$A$4:$A$203,0)),""))</f>
        <v/>
      </c>
      <c r="K94" s="34"/>
      <c r="L94" s="38" t="str">
        <f aca="false">IF($A94="","",IFERROR($G94*$K94,""))</f>
        <v/>
      </c>
      <c r="M94" s="34"/>
      <c r="N94" s="38" t="str">
        <f aca="false">IF($I94="","",IFERROR(INDEX('Nhà cung cấp'!$G$4:$G$203,MATCH($I94,'Nhà cung cấp'!$A$4:$A$203,0)),""))</f>
        <v/>
      </c>
      <c r="O94" s="33"/>
      <c r="P94" s="38" t="str">
        <f aca="false">IF($C94="","",IFERROR(_xlfn.MINIFS($L$4:$L$203,$C$4:$C$203,$C94,$L$4:$L$203,"&gt;0"),""))</f>
        <v/>
      </c>
      <c r="Q94" s="38" t="str">
        <f aca="false">IF($A94="","",IFERROR($L94-$P94,""))</f>
        <v/>
      </c>
      <c r="R94" s="38" t="str">
        <f aca="false">IF($A94="","",IFERROR($L94-$H94,""))</f>
        <v/>
      </c>
      <c r="S94" s="39" t="str">
        <f aca="false">IF($A94="","",IFERROR($R94/$H94,""))</f>
        <v/>
      </c>
      <c r="T94" s="32"/>
      <c r="U94" s="37" t="str">
        <f aca="false">IF($C94="","",IFERROR(INDEX(PR!$A$4:$A$203,MATCH($C94,PR!$C$4:$C$203,0)),""))</f>
        <v/>
      </c>
      <c r="V94" s="32"/>
    </row>
    <row r="95" customFormat="false" ht="15" hidden="false" customHeight="false" outlineLevel="0" collapsed="false">
      <c r="A95" s="32"/>
      <c r="B95" s="33"/>
      <c r="C95" s="32"/>
      <c r="D95" s="37" t="str">
        <f aca="false">IF($C95="","",IFERROR(INDEX('Check giá'!$C$4:$C$203,MATCH($C95,'Check giá'!$A$4:$A$203,0)),""))</f>
        <v/>
      </c>
      <c r="E95" s="37" t="str">
        <f aca="false">IF($C95="","",IFERROR(INDEX('Check giá'!$D$4:$D$203,MATCH($C95,'Check giá'!$A$4:$A$203,0)),""))</f>
        <v/>
      </c>
      <c r="F95" s="37" t="str">
        <f aca="false">IF($C95="","",IFERROR(INDEX('Check giá'!$F$4:$F$203,MATCH($C95,'Check giá'!$A$4:$A$203,0)),""))</f>
        <v/>
      </c>
      <c r="G95" s="38" t="str">
        <f aca="false">IF($C95="","",IFERROR(INDEX('Check giá'!$H$4:$H$203,MATCH($C95,'Check giá'!$A$4:$A$203,0)),""))</f>
        <v/>
      </c>
      <c r="H95" s="38" t="str">
        <f aca="false">IF($C95="","",IFERROR(INDEX('Check giá'!$J$4:$J$203,MATCH($C95,'Check giá'!$A$4:$A$203,0)),""))</f>
        <v/>
      </c>
      <c r="I95" s="32"/>
      <c r="J95" s="37" t="str">
        <f aca="false">IF($I95="","",IFERROR(INDEX('Nhà cung cấp'!$B$4:$B$203,MATCH($I95,'Nhà cung cấp'!$A$4:$A$203,0)),""))</f>
        <v/>
      </c>
      <c r="K95" s="34"/>
      <c r="L95" s="38" t="str">
        <f aca="false">IF($A95="","",IFERROR($G95*$K95,""))</f>
        <v/>
      </c>
      <c r="M95" s="34"/>
      <c r="N95" s="38" t="str">
        <f aca="false">IF($I95="","",IFERROR(INDEX('Nhà cung cấp'!$G$4:$G$203,MATCH($I95,'Nhà cung cấp'!$A$4:$A$203,0)),""))</f>
        <v/>
      </c>
      <c r="O95" s="33"/>
      <c r="P95" s="38" t="str">
        <f aca="false">IF($C95="","",IFERROR(_xlfn.MINIFS($L$4:$L$203,$C$4:$C$203,$C95,$L$4:$L$203,"&gt;0"),""))</f>
        <v/>
      </c>
      <c r="Q95" s="38" t="str">
        <f aca="false">IF($A95="","",IFERROR($L95-$P95,""))</f>
        <v/>
      </c>
      <c r="R95" s="38" t="str">
        <f aca="false">IF($A95="","",IFERROR($L95-$H95,""))</f>
        <v/>
      </c>
      <c r="S95" s="39" t="str">
        <f aca="false">IF($A95="","",IFERROR($R95/$H95,""))</f>
        <v/>
      </c>
      <c r="T95" s="32"/>
      <c r="U95" s="37" t="str">
        <f aca="false">IF($C95="","",IFERROR(INDEX(PR!$A$4:$A$203,MATCH($C95,PR!$C$4:$C$203,0)),""))</f>
        <v/>
      </c>
      <c r="V95" s="32"/>
    </row>
    <row r="96" customFormat="false" ht="15" hidden="false" customHeight="false" outlineLevel="0" collapsed="false">
      <c r="A96" s="32"/>
      <c r="B96" s="33"/>
      <c r="C96" s="32"/>
      <c r="D96" s="37" t="str">
        <f aca="false">IF($C96="","",IFERROR(INDEX('Check giá'!$C$4:$C$203,MATCH($C96,'Check giá'!$A$4:$A$203,0)),""))</f>
        <v/>
      </c>
      <c r="E96" s="37" t="str">
        <f aca="false">IF($C96="","",IFERROR(INDEX('Check giá'!$D$4:$D$203,MATCH($C96,'Check giá'!$A$4:$A$203,0)),""))</f>
        <v/>
      </c>
      <c r="F96" s="37" t="str">
        <f aca="false">IF($C96="","",IFERROR(INDEX('Check giá'!$F$4:$F$203,MATCH($C96,'Check giá'!$A$4:$A$203,0)),""))</f>
        <v/>
      </c>
      <c r="G96" s="38" t="str">
        <f aca="false">IF($C96="","",IFERROR(INDEX('Check giá'!$H$4:$H$203,MATCH($C96,'Check giá'!$A$4:$A$203,0)),""))</f>
        <v/>
      </c>
      <c r="H96" s="38" t="str">
        <f aca="false">IF($C96="","",IFERROR(INDEX('Check giá'!$J$4:$J$203,MATCH($C96,'Check giá'!$A$4:$A$203,0)),""))</f>
        <v/>
      </c>
      <c r="I96" s="32"/>
      <c r="J96" s="37" t="str">
        <f aca="false">IF($I96="","",IFERROR(INDEX('Nhà cung cấp'!$B$4:$B$203,MATCH($I96,'Nhà cung cấp'!$A$4:$A$203,0)),""))</f>
        <v/>
      </c>
      <c r="K96" s="34"/>
      <c r="L96" s="38" t="str">
        <f aca="false">IF($A96="","",IFERROR($G96*$K96,""))</f>
        <v/>
      </c>
      <c r="M96" s="34"/>
      <c r="N96" s="38" t="str">
        <f aca="false">IF($I96="","",IFERROR(INDEX('Nhà cung cấp'!$G$4:$G$203,MATCH($I96,'Nhà cung cấp'!$A$4:$A$203,0)),""))</f>
        <v/>
      </c>
      <c r="O96" s="33"/>
      <c r="P96" s="38" t="str">
        <f aca="false">IF($C96="","",IFERROR(_xlfn.MINIFS($L$4:$L$203,$C$4:$C$203,$C96,$L$4:$L$203,"&gt;0"),""))</f>
        <v/>
      </c>
      <c r="Q96" s="38" t="str">
        <f aca="false">IF($A96="","",IFERROR($L96-$P96,""))</f>
        <v/>
      </c>
      <c r="R96" s="38" t="str">
        <f aca="false">IF($A96="","",IFERROR($L96-$H96,""))</f>
        <v/>
      </c>
      <c r="S96" s="39" t="str">
        <f aca="false">IF($A96="","",IFERROR($R96/$H96,""))</f>
        <v/>
      </c>
      <c r="T96" s="32"/>
      <c r="U96" s="37" t="str">
        <f aca="false">IF($C96="","",IFERROR(INDEX(PR!$A$4:$A$203,MATCH($C96,PR!$C$4:$C$203,0)),""))</f>
        <v/>
      </c>
      <c r="V96" s="32"/>
    </row>
    <row r="97" customFormat="false" ht="15" hidden="false" customHeight="false" outlineLevel="0" collapsed="false">
      <c r="A97" s="32"/>
      <c r="B97" s="33"/>
      <c r="C97" s="32"/>
      <c r="D97" s="37" t="str">
        <f aca="false">IF($C97="","",IFERROR(INDEX('Check giá'!$C$4:$C$203,MATCH($C97,'Check giá'!$A$4:$A$203,0)),""))</f>
        <v/>
      </c>
      <c r="E97" s="37" t="str">
        <f aca="false">IF($C97="","",IFERROR(INDEX('Check giá'!$D$4:$D$203,MATCH($C97,'Check giá'!$A$4:$A$203,0)),""))</f>
        <v/>
      </c>
      <c r="F97" s="37" t="str">
        <f aca="false">IF($C97="","",IFERROR(INDEX('Check giá'!$F$4:$F$203,MATCH($C97,'Check giá'!$A$4:$A$203,0)),""))</f>
        <v/>
      </c>
      <c r="G97" s="38" t="str">
        <f aca="false">IF($C97="","",IFERROR(INDEX('Check giá'!$H$4:$H$203,MATCH($C97,'Check giá'!$A$4:$A$203,0)),""))</f>
        <v/>
      </c>
      <c r="H97" s="38" t="str">
        <f aca="false">IF($C97="","",IFERROR(INDEX('Check giá'!$J$4:$J$203,MATCH($C97,'Check giá'!$A$4:$A$203,0)),""))</f>
        <v/>
      </c>
      <c r="I97" s="32"/>
      <c r="J97" s="37" t="str">
        <f aca="false">IF($I97="","",IFERROR(INDEX('Nhà cung cấp'!$B$4:$B$203,MATCH($I97,'Nhà cung cấp'!$A$4:$A$203,0)),""))</f>
        <v/>
      </c>
      <c r="K97" s="34"/>
      <c r="L97" s="38" t="str">
        <f aca="false">IF($A97="","",IFERROR($G97*$K97,""))</f>
        <v/>
      </c>
      <c r="M97" s="34"/>
      <c r="N97" s="38" t="str">
        <f aca="false">IF($I97="","",IFERROR(INDEX('Nhà cung cấp'!$G$4:$G$203,MATCH($I97,'Nhà cung cấp'!$A$4:$A$203,0)),""))</f>
        <v/>
      </c>
      <c r="O97" s="33"/>
      <c r="P97" s="38" t="str">
        <f aca="false">IF($C97="","",IFERROR(_xlfn.MINIFS($L$4:$L$203,$C$4:$C$203,$C97,$L$4:$L$203,"&gt;0"),""))</f>
        <v/>
      </c>
      <c r="Q97" s="38" t="str">
        <f aca="false">IF($A97="","",IFERROR($L97-$P97,""))</f>
        <v/>
      </c>
      <c r="R97" s="38" t="str">
        <f aca="false">IF($A97="","",IFERROR($L97-$H97,""))</f>
        <v/>
      </c>
      <c r="S97" s="39" t="str">
        <f aca="false">IF($A97="","",IFERROR($R97/$H97,""))</f>
        <v/>
      </c>
      <c r="T97" s="32"/>
      <c r="U97" s="37" t="str">
        <f aca="false">IF($C97="","",IFERROR(INDEX(PR!$A$4:$A$203,MATCH($C97,PR!$C$4:$C$203,0)),""))</f>
        <v/>
      </c>
      <c r="V97" s="32"/>
    </row>
    <row r="98" customFormat="false" ht="15" hidden="false" customHeight="false" outlineLevel="0" collapsed="false">
      <c r="A98" s="32"/>
      <c r="B98" s="33"/>
      <c r="C98" s="32"/>
      <c r="D98" s="37" t="str">
        <f aca="false">IF($C98="","",IFERROR(INDEX('Check giá'!$C$4:$C$203,MATCH($C98,'Check giá'!$A$4:$A$203,0)),""))</f>
        <v/>
      </c>
      <c r="E98" s="37" t="str">
        <f aca="false">IF($C98="","",IFERROR(INDEX('Check giá'!$D$4:$D$203,MATCH($C98,'Check giá'!$A$4:$A$203,0)),""))</f>
        <v/>
      </c>
      <c r="F98" s="37" t="str">
        <f aca="false">IF($C98="","",IFERROR(INDEX('Check giá'!$F$4:$F$203,MATCH($C98,'Check giá'!$A$4:$A$203,0)),""))</f>
        <v/>
      </c>
      <c r="G98" s="38" t="str">
        <f aca="false">IF($C98="","",IFERROR(INDEX('Check giá'!$H$4:$H$203,MATCH($C98,'Check giá'!$A$4:$A$203,0)),""))</f>
        <v/>
      </c>
      <c r="H98" s="38" t="str">
        <f aca="false">IF($C98="","",IFERROR(INDEX('Check giá'!$J$4:$J$203,MATCH($C98,'Check giá'!$A$4:$A$203,0)),""))</f>
        <v/>
      </c>
      <c r="I98" s="32"/>
      <c r="J98" s="37" t="str">
        <f aca="false">IF($I98="","",IFERROR(INDEX('Nhà cung cấp'!$B$4:$B$203,MATCH($I98,'Nhà cung cấp'!$A$4:$A$203,0)),""))</f>
        <v/>
      </c>
      <c r="K98" s="34"/>
      <c r="L98" s="38" t="str">
        <f aca="false">IF($A98="","",IFERROR($G98*$K98,""))</f>
        <v/>
      </c>
      <c r="M98" s="34"/>
      <c r="N98" s="38" t="str">
        <f aca="false">IF($I98="","",IFERROR(INDEX('Nhà cung cấp'!$G$4:$G$203,MATCH($I98,'Nhà cung cấp'!$A$4:$A$203,0)),""))</f>
        <v/>
      </c>
      <c r="O98" s="33"/>
      <c r="P98" s="38" t="str">
        <f aca="false">IF($C98="","",IFERROR(_xlfn.MINIFS($L$4:$L$203,$C$4:$C$203,$C98,$L$4:$L$203,"&gt;0"),""))</f>
        <v/>
      </c>
      <c r="Q98" s="38" t="str">
        <f aca="false">IF($A98="","",IFERROR($L98-$P98,""))</f>
        <v/>
      </c>
      <c r="R98" s="38" t="str">
        <f aca="false">IF($A98="","",IFERROR($L98-$H98,""))</f>
        <v/>
      </c>
      <c r="S98" s="39" t="str">
        <f aca="false">IF($A98="","",IFERROR($R98/$H98,""))</f>
        <v/>
      </c>
      <c r="T98" s="32"/>
      <c r="U98" s="37" t="str">
        <f aca="false">IF($C98="","",IFERROR(INDEX(PR!$A$4:$A$203,MATCH($C98,PR!$C$4:$C$203,0)),""))</f>
        <v/>
      </c>
      <c r="V98" s="32"/>
    </row>
    <row r="99" customFormat="false" ht="15" hidden="false" customHeight="false" outlineLevel="0" collapsed="false">
      <c r="A99" s="32"/>
      <c r="B99" s="33"/>
      <c r="C99" s="32"/>
      <c r="D99" s="37" t="str">
        <f aca="false">IF($C99="","",IFERROR(INDEX('Check giá'!$C$4:$C$203,MATCH($C99,'Check giá'!$A$4:$A$203,0)),""))</f>
        <v/>
      </c>
      <c r="E99" s="37" t="str">
        <f aca="false">IF($C99="","",IFERROR(INDEX('Check giá'!$D$4:$D$203,MATCH($C99,'Check giá'!$A$4:$A$203,0)),""))</f>
        <v/>
      </c>
      <c r="F99" s="37" t="str">
        <f aca="false">IF($C99="","",IFERROR(INDEX('Check giá'!$F$4:$F$203,MATCH($C99,'Check giá'!$A$4:$A$203,0)),""))</f>
        <v/>
      </c>
      <c r="G99" s="38" t="str">
        <f aca="false">IF($C99="","",IFERROR(INDEX('Check giá'!$H$4:$H$203,MATCH($C99,'Check giá'!$A$4:$A$203,0)),""))</f>
        <v/>
      </c>
      <c r="H99" s="38" t="str">
        <f aca="false">IF($C99="","",IFERROR(INDEX('Check giá'!$J$4:$J$203,MATCH($C99,'Check giá'!$A$4:$A$203,0)),""))</f>
        <v/>
      </c>
      <c r="I99" s="32"/>
      <c r="J99" s="37" t="str">
        <f aca="false">IF($I99="","",IFERROR(INDEX('Nhà cung cấp'!$B$4:$B$203,MATCH($I99,'Nhà cung cấp'!$A$4:$A$203,0)),""))</f>
        <v/>
      </c>
      <c r="K99" s="34"/>
      <c r="L99" s="38" t="str">
        <f aca="false">IF($A99="","",IFERROR($G99*$K99,""))</f>
        <v/>
      </c>
      <c r="M99" s="34"/>
      <c r="N99" s="38" t="str">
        <f aca="false">IF($I99="","",IFERROR(INDEX('Nhà cung cấp'!$G$4:$G$203,MATCH($I99,'Nhà cung cấp'!$A$4:$A$203,0)),""))</f>
        <v/>
      </c>
      <c r="O99" s="33"/>
      <c r="P99" s="38" t="str">
        <f aca="false">IF($C99="","",IFERROR(_xlfn.MINIFS($L$4:$L$203,$C$4:$C$203,$C99,$L$4:$L$203,"&gt;0"),""))</f>
        <v/>
      </c>
      <c r="Q99" s="38" t="str">
        <f aca="false">IF($A99="","",IFERROR($L99-$P99,""))</f>
        <v/>
      </c>
      <c r="R99" s="38" t="str">
        <f aca="false">IF($A99="","",IFERROR($L99-$H99,""))</f>
        <v/>
      </c>
      <c r="S99" s="39" t="str">
        <f aca="false">IF($A99="","",IFERROR($R99/$H99,""))</f>
        <v/>
      </c>
      <c r="T99" s="32"/>
      <c r="U99" s="37" t="str">
        <f aca="false">IF($C99="","",IFERROR(INDEX(PR!$A$4:$A$203,MATCH($C99,PR!$C$4:$C$203,0)),""))</f>
        <v/>
      </c>
      <c r="V99" s="32"/>
    </row>
    <row r="100" customFormat="false" ht="15" hidden="false" customHeight="false" outlineLevel="0" collapsed="false">
      <c r="A100" s="32"/>
      <c r="B100" s="33"/>
      <c r="C100" s="32"/>
      <c r="D100" s="37" t="str">
        <f aca="false">IF($C100="","",IFERROR(INDEX('Check giá'!$C$4:$C$203,MATCH($C100,'Check giá'!$A$4:$A$203,0)),""))</f>
        <v/>
      </c>
      <c r="E100" s="37" t="str">
        <f aca="false">IF($C100="","",IFERROR(INDEX('Check giá'!$D$4:$D$203,MATCH($C100,'Check giá'!$A$4:$A$203,0)),""))</f>
        <v/>
      </c>
      <c r="F100" s="37" t="str">
        <f aca="false">IF($C100="","",IFERROR(INDEX('Check giá'!$F$4:$F$203,MATCH($C100,'Check giá'!$A$4:$A$203,0)),""))</f>
        <v/>
      </c>
      <c r="G100" s="38" t="str">
        <f aca="false">IF($C100="","",IFERROR(INDEX('Check giá'!$H$4:$H$203,MATCH($C100,'Check giá'!$A$4:$A$203,0)),""))</f>
        <v/>
      </c>
      <c r="H100" s="38" t="str">
        <f aca="false">IF($C100="","",IFERROR(INDEX('Check giá'!$J$4:$J$203,MATCH($C100,'Check giá'!$A$4:$A$203,0)),""))</f>
        <v/>
      </c>
      <c r="I100" s="32"/>
      <c r="J100" s="37" t="str">
        <f aca="false">IF($I100="","",IFERROR(INDEX('Nhà cung cấp'!$B$4:$B$203,MATCH($I100,'Nhà cung cấp'!$A$4:$A$203,0)),""))</f>
        <v/>
      </c>
      <c r="K100" s="34"/>
      <c r="L100" s="38" t="str">
        <f aca="false">IF($A100="","",IFERROR($G100*$K100,""))</f>
        <v/>
      </c>
      <c r="M100" s="34"/>
      <c r="N100" s="38" t="str">
        <f aca="false">IF($I100="","",IFERROR(INDEX('Nhà cung cấp'!$G$4:$G$203,MATCH($I100,'Nhà cung cấp'!$A$4:$A$203,0)),""))</f>
        <v/>
      </c>
      <c r="O100" s="33"/>
      <c r="P100" s="38" t="str">
        <f aca="false">IF($C100="","",IFERROR(_xlfn.MINIFS($L$4:$L$203,$C$4:$C$203,$C100,$L$4:$L$203,"&gt;0"),""))</f>
        <v/>
      </c>
      <c r="Q100" s="38" t="str">
        <f aca="false">IF($A100="","",IFERROR($L100-$P100,""))</f>
        <v/>
      </c>
      <c r="R100" s="38" t="str">
        <f aca="false">IF($A100="","",IFERROR($L100-$H100,""))</f>
        <v/>
      </c>
      <c r="S100" s="39" t="str">
        <f aca="false">IF($A100="","",IFERROR($R100/$H100,""))</f>
        <v/>
      </c>
      <c r="T100" s="32"/>
      <c r="U100" s="37" t="str">
        <f aca="false">IF($C100="","",IFERROR(INDEX(PR!$A$4:$A$203,MATCH($C100,PR!$C$4:$C$203,0)),""))</f>
        <v/>
      </c>
      <c r="V100" s="32"/>
    </row>
    <row r="101" customFormat="false" ht="15" hidden="false" customHeight="false" outlineLevel="0" collapsed="false">
      <c r="A101" s="32"/>
      <c r="B101" s="33"/>
      <c r="C101" s="32"/>
      <c r="D101" s="37" t="str">
        <f aca="false">IF($C101="","",IFERROR(INDEX('Check giá'!$C$4:$C$203,MATCH($C101,'Check giá'!$A$4:$A$203,0)),""))</f>
        <v/>
      </c>
      <c r="E101" s="37" t="str">
        <f aca="false">IF($C101="","",IFERROR(INDEX('Check giá'!$D$4:$D$203,MATCH($C101,'Check giá'!$A$4:$A$203,0)),""))</f>
        <v/>
      </c>
      <c r="F101" s="37" t="str">
        <f aca="false">IF($C101="","",IFERROR(INDEX('Check giá'!$F$4:$F$203,MATCH($C101,'Check giá'!$A$4:$A$203,0)),""))</f>
        <v/>
      </c>
      <c r="G101" s="38" t="str">
        <f aca="false">IF($C101="","",IFERROR(INDEX('Check giá'!$H$4:$H$203,MATCH($C101,'Check giá'!$A$4:$A$203,0)),""))</f>
        <v/>
      </c>
      <c r="H101" s="38" t="str">
        <f aca="false">IF($C101="","",IFERROR(INDEX('Check giá'!$J$4:$J$203,MATCH($C101,'Check giá'!$A$4:$A$203,0)),""))</f>
        <v/>
      </c>
      <c r="I101" s="32"/>
      <c r="J101" s="37" t="str">
        <f aca="false">IF($I101="","",IFERROR(INDEX('Nhà cung cấp'!$B$4:$B$203,MATCH($I101,'Nhà cung cấp'!$A$4:$A$203,0)),""))</f>
        <v/>
      </c>
      <c r="K101" s="34"/>
      <c r="L101" s="38" t="str">
        <f aca="false">IF($A101="","",IFERROR($G101*$K101,""))</f>
        <v/>
      </c>
      <c r="M101" s="34"/>
      <c r="N101" s="38" t="str">
        <f aca="false">IF($I101="","",IFERROR(INDEX('Nhà cung cấp'!$G$4:$G$203,MATCH($I101,'Nhà cung cấp'!$A$4:$A$203,0)),""))</f>
        <v/>
      </c>
      <c r="O101" s="33"/>
      <c r="P101" s="38" t="str">
        <f aca="false">IF($C101="","",IFERROR(_xlfn.MINIFS($L$4:$L$203,$C$4:$C$203,$C101,$L$4:$L$203,"&gt;0"),""))</f>
        <v/>
      </c>
      <c r="Q101" s="38" t="str">
        <f aca="false">IF($A101="","",IFERROR($L101-$P101,""))</f>
        <v/>
      </c>
      <c r="R101" s="38" t="str">
        <f aca="false">IF($A101="","",IFERROR($L101-$H101,""))</f>
        <v/>
      </c>
      <c r="S101" s="39" t="str">
        <f aca="false">IF($A101="","",IFERROR($R101/$H101,""))</f>
        <v/>
      </c>
      <c r="T101" s="32"/>
      <c r="U101" s="37" t="str">
        <f aca="false">IF($C101="","",IFERROR(INDEX(PR!$A$4:$A$203,MATCH($C101,PR!$C$4:$C$203,0)),""))</f>
        <v/>
      </c>
      <c r="V101" s="32"/>
    </row>
    <row r="102" customFormat="false" ht="15" hidden="false" customHeight="false" outlineLevel="0" collapsed="false">
      <c r="A102" s="32"/>
      <c r="B102" s="33"/>
      <c r="C102" s="32"/>
      <c r="D102" s="37" t="str">
        <f aca="false">IF($C102="","",IFERROR(INDEX('Check giá'!$C$4:$C$203,MATCH($C102,'Check giá'!$A$4:$A$203,0)),""))</f>
        <v/>
      </c>
      <c r="E102" s="37" t="str">
        <f aca="false">IF($C102="","",IFERROR(INDEX('Check giá'!$D$4:$D$203,MATCH($C102,'Check giá'!$A$4:$A$203,0)),""))</f>
        <v/>
      </c>
      <c r="F102" s="37" t="str">
        <f aca="false">IF($C102="","",IFERROR(INDEX('Check giá'!$F$4:$F$203,MATCH($C102,'Check giá'!$A$4:$A$203,0)),""))</f>
        <v/>
      </c>
      <c r="G102" s="38" t="str">
        <f aca="false">IF($C102="","",IFERROR(INDEX('Check giá'!$H$4:$H$203,MATCH($C102,'Check giá'!$A$4:$A$203,0)),""))</f>
        <v/>
      </c>
      <c r="H102" s="38" t="str">
        <f aca="false">IF($C102="","",IFERROR(INDEX('Check giá'!$J$4:$J$203,MATCH($C102,'Check giá'!$A$4:$A$203,0)),""))</f>
        <v/>
      </c>
      <c r="I102" s="32"/>
      <c r="J102" s="37" t="str">
        <f aca="false">IF($I102="","",IFERROR(INDEX('Nhà cung cấp'!$B$4:$B$203,MATCH($I102,'Nhà cung cấp'!$A$4:$A$203,0)),""))</f>
        <v/>
      </c>
      <c r="K102" s="34"/>
      <c r="L102" s="38" t="str">
        <f aca="false">IF($A102="","",IFERROR($G102*$K102,""))</f>
        <v/>
      </c>
      <c r="M102" s="34"/>
      <c r="N102" s="38" t="str">
        <f aca="false">IF($I102="","",IFERROR(INDEX('Nhà cung cấp'!$G$4:$G$203,MATCH($I102,'Nhà cung cấp'!$A$4:$A$203,0)),""))</f>
        <v/>
      </c>
      <c r="O102" s="33"/>
      <c r="P102" s="38" t="str">
        <f aca="false">IF($C102="","",IFERROR(_xlfn.MINIFS($L$4:$L$203,$C$4:$C$203,$C102,$L$4:$L$203,"&gt;0"),""))</f>
        <v/>
      </c>
      <c r="Q102" s="38" t="str">
        <f aca="false">IF($A102="","",IFERROR($L102-$P102,""))</f>
        <v/>
      </c>
      <c r="R102" s="38" t="str">
        <f aca="false">IF($A102="","",IFERROR($L102-$H102,""))</f>
        <v/>
      </c>
      <c r="S102" s="39" t="str">
        <f aca="false">IF($A102="","",IFERROR($R102/$H102,""))</f>
        <v/>
      </c>
      <c r="T102" s="32"/>
      <c r="U102" s="37" t="str">
        <f aca="false">IF($C102="","",IFERROR(INDEX(PR!$A$4:$A$203,MATCH($C102,PR!$C$4:$C$203,0)),""))</f>
        <v/>
      </c>
      <c r="V102" s="32"/>
    </row>
    <row r="103" customFormat="false" ht="15" hidden="false" customHeight="false" outlineLevel="0" collapsed="false">
      <c r="A103" s="32"/>
      <c r="B103" s="33"/>
      <c r="C103" s="32"/>
      <c r="D103" s="37" t="str">
        <f aca="false">IF($C103="","",IFERROR(INDEX('Check giá'!$C$4:$C$203,MATCH($C103,'Check giá'!$A$4:$A$203,0)),""))</f>
        <v/>
      </c>
      <c r="E103" s="37" t="str">
        <f aca="false">IF($C103="","",IFERROR(INDEX('Check giá'!$D$4:$D$203,MATCH($C103,'Check giá'!$A$4:$A$203,0)),""))</f>
        <v/>
      </c>
      <c r="F103" s="37" t="str">
        <f aca="false">IF($C103="","",IFERROR(INDEX('Check giá'!$F$4:$F$203,MATCH($C103,'Check giá'!$A$4:$A$203,0)),""))</f>
        <v/>
      </c>
      <c r="G103" s="38" t="str">
        <f aca="false">IF($C103="","",IFERROR(INDEX('Check giá'!$H$4:$H$203,MATCH($C103,'Check giá'!$A$4:$A$203,0)),""))</f>
        <v/>
      </c>
      <c r="H103" s="38" t="str">
        <f aca="false">IF($C103="","",IFERROR(INDEX('Check giá'!$J$4:$J$203,MATCH($C103,'Check giá'!$A$4:$A$203,0)),""))</f>
        <v/>
      </c>
      <c r="I103" s="32"/>
      <c r="J103" s="37" t="str">
        <f aca="false">IF($I103="","",IFERROR(INDEX('Nhà cung cấp'!$B$4:$B$203,MATCH($I103,'Nhà cung cấp'!$A$4:$A$203,0)),""))</f>
        <v/>
      </c>
      <c r="K103" s="34"/>
      <c r="L103" s="38" t="str">
        <f aca="false">IF($A103="","",IFERROR($G103*$K103,""))</f>
        <v/>
      </c>
      <c r="M103" s="34"/>
      <c r="N103" s="38" t="str">
        <f aca="false">IF($I103="","",IFERROR(INDEX('Nhà cung cấp'!$G$4:$G$203,MATCH($I103,'Nhà cung cấp'!$A$4:$A$203,0)),""))</f>
        <v/>
      </c>
      <c r="O103" s="33"/>
      <c r="P103" s="38" t="str">
        <f aca="false">IF($C103="","",IFERROR(_xlfn.MINIFS($L$4:$L$203,$C$4:$C$203,$C103,$L$4:$L$203,"&gt;0"),""))</f>
        <v/>
      </c>
      <c r="Q103" s="38" t="str">
        <f aca="false">IF($A103="","",IFERROR($L103-$P103,""))</f>
        <v/>
      </c>
      <c r="R103" s="38" t="str">
        <f aca="false">IF($A103="","",IFERROR($L103-$H103,""))</f>
        <v/>
      </c>
      <c r="S103" s="39" t="str">
        <f aca="false">IF($A103="","",IFERROR($R103/$H103,""))</f>
        <v/>
      </c>
      <c r="T103" s="32"/>
      <c r="U103" s="37" t="str">
        <f aca="false">IF($C103="","",IFERROR(INDEX(PR!$A$4:$A$203,MATCH($C103,PR!$C$4:$C$203,0)),""))</f>
        <v/>
      </c>
      <c r="V103" s="32"/>
    </row>
    <row r="104" customFormat="false" ht="15" hidden="false" customHeight="false" outlineLevel="0" collapsed="false">
      <c r="A104" s="32"/>
      <c r="B104" s="33"/>
      <c r="C104" s="32"/>
      <c r="D104" s="37" t="str">
        <f aca="false">IF($C104="","",IFERROR(INDEX('Check giá'!$C$4:$C$203,MATCH($C104,'Check giá'!$A$4:$A$203,0)),""))</f>
        <v/>
      </c>
      <c r="E104" s="37" t="str">
        <f aca="false">IF($C104="","",IFERROR(INDEX('Check giá'!$D$4:$D$203,MATCH($C104,'Check giá'!$A$4:$A$203,0)),""))</f>
        <v/>
      </c>
      <c r="F104" s="37" t="str">
        <f aca="false">IF($C104="","",IFERROR(INDEX('Check giá'!$F$4:$F$203,MATCH($C104,'Check giá'!$A$4:$A$203,0)),""))</f>
        <v/>
      </c>
      <c r="G104" s="38" t="str">
        <f aca="false">IF($C104="","",IFERROR(INDEX('Check giá'!$H$4:$H$203,MATCH($C104,'Check giá'!$A$4:$A$203,0)),""))</f>
        <v/>
      </c>
      <c r="H104" s="38" t="str">
        <f aca="false">IF($C104="","",IFERROR(INDEX('Check giá'!$J$4:$J$203,MATCH($C104,'Check giá'!$A$4:$A$203,0)),""))</f>
        <v/>
      </c>
      <c r="I104" s="32"/>
      <c r="J104" s="37" t="str">
        <f aca="false">IF($I104="","",IFERROR(INDEX('Nhà cung cấp'!$B$4:$B$203,MATCH($I104,'Nhà cung cấp'!$A$4:$A$203,0)),""))</f>
        <v/>
      </c>
      <c r="K104" s="34"/>
      <c r="L104" s="38" t="str">
        <f aca="false">IF($A104="","",IFERROR($G104*$K104,""))</f>
        <v/>
      </c>
      <c r="M104" s="34"/>
      <c r="N104" s="38" t="str">
        <f aca="false">IF($I104="","",IFERROR(INDEX('Nhà cung cấp'!$G$4:$G$203,MATCH($I104,'Nhà cung cấp'!$A$4:$A$203,0)),""))</f>
        <v/>
      </c>
      <c r="O104" s="33"/>
      <c r="P104" s="38" t="str">
        <f aca="false">IF($C104="","",IFERROR(_xlfn.MINIFS($L$4:$L$203,$C$4:$C$203,$C104,$L$4:$L$203,"&gt;0"),""))</f>
        <v/>
      </c>
      <c r="Q104" s="38" t="str">
        <f aca="false">IF($A104="","",IFERROR($L104-$P104,""))</f>
        <v/>
      </c>
      <c r="R104" s="38" t="str">
        <f aca="false">IF($A104="","",IFERROR($L104-$H104,""))</f>
        <v/>
      </c>
      <c r="S104" s="39" t="str">
        <f aca="false">IF($A104="","",IFERROR($R104/$H104,""))</f>
        <v/>
      </c>
      <c r="T104" s="32"/>
      <c r="U104" s="37" t="str">
        <f aca="false">IF($C104="","",IFERROR(INDEX(PR!$A$4:$A$203,MATCH($C104,PR!$C$4:$C$203,0)),""))</f>
        <v/>
      </c>
      <c r="V104" s="32"/>
    </row>
    <row r="105" customFormat="false" ht="15" hidden="false" customHeight="false" outlineLevel="0" collapsed="false">
      <c r="A105" s="32"/>
      <c r="B105" s="33"/>
      <c r="C105" s="32"/>
      <c r="D105" s="37" t="str">
        <f aca="false">IF($C105="","",IFERROR(INDEX('Check giá'!$C$4:$C$203,MATCH($C105,'Check giá'!$A$4:$A$203,0)),""))</f>
        <v/>
      </c>
      <c r="E105" s="37" t="str">
        <f aca="false">IF($C105="","",IFERROR(INDEX('Check giá'!$D$4:$D$203,MATCH($C105,'Check giá'!$A$4:$A$203,0)),""))</f>
        <v/>
      </c>
      <c r="F105" s="37" t="str">
        <f aca="false">IF($C105="","",IFERROR(INDEX('Check giá'!$F$4:$F$203,MATCH($C105,'Check giá'!$A$4:$A$203,0)),""))</f>
        <v/>
      </c>
      <c r="G105" s="38" t="str">
        <f aca="false">IF($C105="","",IFERROR(INDEX('Check giá'!$H$4:$H$203,MATCH($C105,'Check giá'!$A$4:$A$203,0)),""))</f>
        <v/>
      </c>
      <c r="H105" s="38" t="str">
        <f aca="false">IF($C105="","",IFERROR(INDEX('Check giá'!$J$4:$J$203,MATCH($C105,'Check giá'!$A$4:$A$203,0)),""))</f>
        <v/>
      </c>
      <c r="I105" s="32"/>
      <c r="J105" s="37" t="str">
        <f aca="false">IF($I105="","",IFERROR(INDEX('Nhà cung cấp'!$B$4:$B$203,MATCH($I105,'Nhà cung cấp'!$A$4:$A$203,0)),""))</f>
        <v/>
      </c>
      <c r="K105" s="34"/>
      <c r="L105" s="38" t="str">
        <f aca="false">IF($A105="","",IFERROR($G105*$K105,""))</f>
        <v/>
      </c>
      <c r="M105" s="34"/>
      <c r="N105" s="38" t="str">
        <f aca="false">IF($I105="","",IFERROR(INDEX('Nhà cung cấp'!$G$4:$G$203,MATCH($I105,'Nhà cung cấp'!$A$4:$A$203,0)),""))</f>
        <v/>
      </c>
      <c r="O105" s="33"/>
      <c r="P105" s="38" t="str">
        <f aca="false">IF($C105="","",IFERROR(_xlfn.MINIFS($L$4:$L$203,$C$4:$C$203,$C105,$L$4:$L$203,"&gt;0"),""))</f>
        <v/>
      </c>
      <c r="Q105" s="38" t="str">
        <f aca="false">IF($A105="","",IFERROR($L105-$P105,""))</f>
        <v/>
      </c>
      <c r="R105" s="38" t="str">
        <f aca="false">IF($A105="","",IFERROR($L105-$H105,""))</f>
        <v/>
      </c>
      <c r="S105" s="39" t="str">
        <f aca="false">IF($A105="","",IFERROR($R105/$H105,""))</f>
        <v/>
      </c>
      <c r="T105" s="32"/>
      <c r="U105" s="37" t="str">
        <f aca="false">IF($C105="","",IFERROR(INDEX(PR!$A$4:$A$203,MATCH($C105,PR!$C$4:$C$203,0)),""))</f>
        <v/>
      </c>
      <c r="V105" s="32"/>
    </row>
    <row r="106" customFormat="false" ht="15" hidden="false" customHeight="false" outlineLevel="0" collapsed="false">
      <c r="A106" s="32"/>
      <c r="B106" s="33"/>
      <c r="C106" s="32"/>
      <c r="D106" s="37" t="str">
        <f aca="false">IF($C106="","",IFERROR(INDEX('Check giá'!$C$4:$C$203,MATCH($C106,'Check giá'!$A$4:$A$203,0)),""))</f>
        <v/>
      </c>
      <c r="E106" s="37" t="str">
        <f aca="false">IF($C106="","",IFERROR(INDEX('Check giá'!$D$4:$D$203,MATCH($C106,'Check giá'!$A$4:$A$203,0)),""))</f>
        <v/>
      </c>
      <c r="F106" s="37" t="str">
        <f aca="false">IF($C106="","",IFERROR(INDEX('Check giá'!$F$4:$F$203,MATCH($C106,'Check giá'!$A$4:$A$203,0)),""))</f>
        <v/>
      </c>
      <c r="G106" s="38" t="str">
        <f aca="false">IF($C106="","",IFERROR(INDEX('Check giá'!$H$4:$H$203,MATCH($C106,'Check giá'!$A$4:$A$203,0)),""))</f>
        <v/>
      </c>
      <c r="H106" s="38" t="str">
        <f aca="false">IF($C106="","",IFERROR(INDEX('Check giá'!$J$4:$J$203,MATCH($C106,'Check giá'!$A$4:$A$203,0)),""))</f>
        <v/>
      </c>
      <c r="I106" s="32"/>
      <c r="J106" s="37" t="str">
        <f aca="false">IF($I106="","",IFERROR(INDEX('Nhà cung cấp'!$B$4:$B$203,MATCH($I106,'Nhà cung cấp'!$A$4:$A$203,0)),""))</f>
        <v/>
      </c>
      <c r="K106" s="34"/>
      <c r="L106" s="38" t="str">
        <f aca="false">IF($A106="","",IFERROR($G106*$K106,""))</f>
        <v/>
      </c>
      <c r="M106" s="34"/>
      <c r="N106" s="38" t="str">
        <f aca="false">IF($I106="","",IFERROR(INDEX('Nhà cung cấp'!$G$4:$G$203,MATCH($I106,'Nhà cung cấp'!$A$4:$A$203,0)),""))</f>
        <v/>
      </c>
      <c r="O106" s="33"/>
      <c r="P106" s="38" t="str">
        <f aca="false">IF($C106="","",IFERROR(_xlfn.MINIFS($L$4:$L$203,$C$4:$C$203,$C106,$L$4:$L$203,"&gt;0"),""))</f>
        <v/>
      </c>
      <c r="Q106" s="38" t="str">
        <f aca="false">IF($A106="","",IFERROR($L106-$P106,""))</f>
        <v/>
      </c>
      <c r="R106" s="38" t="str">
        <f aca="false">IF($A106="","",IFERROR($L106-$H106,""))</f>
        <v/>
      </c>
      <c r="S106" s="39" t="str">
        <f aca="false">IF($A106="","",IFERROR($R106/$H106,""))</f>
        <v/>
      </c>
      <c r="T106" s="32"/>
      <c r="U106" s="37" t="str">
        <f aca="false">IF($C106="","",IFERROR(INDEX(PR!$A$4:$A$203,MATCH($C106,PR!$C$4:$C$203,0)),""))</f>
        <v/>
      </c>
      <c r="V106" s="32"/>
    </row>
    <row r="107" customFormat="false" ht="15" hidden="false" customHeight="false" outlineLevel="0" collapsed="false">
      <c r="A107" s="32"/>
      <c r="B107" s="33"/>
      <c r="C107" s="32"/>
      <c r="D107" s="37" t="str">
        <f aca="false">IF($C107="","",IFERROR(INDEX('Check giá'!$C$4:$C$203,MATCH($C107,'Check giá'!$A$4:$A$203,0)),""))</f>
        <v/>
      </c>
      <c r="E107" s="37" t="str">
        <f aca="false">IF($C107="","",IFERROR(INDEX('Check giá'!$D$4:$D$203,MATCH($C107,'Check giá'!$A$4:$A$203,0)),""))</f>
        <v/>
      </c>
      <c r="F107" s="37" t="str">
        <f aca="false">IF($C107="","",IFERROR(INDEX('Check giá'!$F$4:$F$203,MATCH($C107,'Check giá'!$A$4:$A$203,0)),""))</f>
        <v/>
      </c>
      <c r="G107" s="38" t="str">
        <f aca="false">IF($C107="","",IFERROR(INDEX('Check giá'!$H$4:$H$203,MATCH($C107,'Check giá'!$A$4:$A$203,0)),""))</f>
        <v/>
      </c>
      <c r="H107" s="38" t="str">
        <f aca="false">IF($C107="","",IFERROR(INDEX('Check giá'!$J$4:$J$203,MATCH($C107,'Check giá'!$A$4:$A$203,0)),""))</f>
        <v/>
      </c>
      <c r="I107" s="32"/>
      <c r="J107" s="37" t="str">
        <f aca="false">IF($I107="","",IFERROR(INDEX('Nhà cung cấp'!$B$4:$B$203,MATCH($I107,'Nhà cung cấp'!$A$4:$A$203,0)),""))</f>
        <v/>
      </c>
      <c r="K107" s="34"/>
      <c r="L107" s="38" t="str">
        <f aca="false">IF($A107="","",IFERROR($G107*$K107,""))</f>
        <v/>
      </c>
      <c r="M107" s="34"/>
      <c r="N107" s="38" t="str">
        <f aca="false">IF($I107="","",IFERROR(INDEX('Nhà cung cấp'!$G$4:$G$203,MATCH($I107,'Nhà cung cấp'!$A$4:$A$203,0)),""))</f>
        <v/>
      </c>
      <c r="O107" s="33"/>
      <c r="P107" s="38" t="str">
        <f aca="false">IF($C107="","",IFERROR(_xlfn.MINIFS($L$4:$L$203,$C$4:$C$203,$C107,$L$4:$L$203,"&gt;0"),""))</f>
        <v/>
      </c>
      <c r="Q107" s="38" t="str">
        <f aca="false">IF($A107="","",IFERROR($L107-$P107,""))</f>
        <v/>
      </c>
      <c r="R107" s="38" t="str">
        <f aca="false">IF($A107="","",IFERROR($L107-$H107,""))</f>
        <v/>
      </c>
      <c r="S107" s="39" t="str">
        <f aca="false">IF($A107="","",IFERROR($R107/$H107,""))</f>
        <v/>
      </c>
      <c r="T107" s="32"/>
      <c r="U107" s="37" t="str">
        <f aca="false">IF($C107="","",IFERROR(INDEX(PR!$A$4:$A$203,MATCH($C107,PR!$C$4:$C$203,0)),""))</f>
        <v/>
      </c>
      <c r="V107" s="32"/>
    </row>
    <row r="108" customFormat="false" ht="15" hidden="false" customHeight="false" outlineLevel="0" collapsed="false">
      <c r="A108" s="32"/>
      <c r="B108" s="33"/>
      <c r="C108" s="32"/>
      <c r="D108" s="37" t="str">
        <f aca="false">IF($C108="","",IFERROR(INDEX('Check giá'!$C$4:$C$203,MATCH($C108,'Check giá'!$A$4:$A$203,0)),""))</f>
        <v/>
      </c>
      <c r="E108" s="37" t="str">
        <f aca="false">IF($C108="","",IFERROR(INDEX('Check giá'!$D$4:$D$203,MATCH($C108,'Check giá'!$A$4:$A$203,0)),""))</f>
        <v/>
      </c>
      <c r="F108" s="37" t="str">
        <f aca="false">IF($C108="","",IFERROR(INDEX('Check giá'!$F$4:$F$203,MATCH($C108,'Check giá'!$A$4:$A$203,0)),""))</f>
        <v/>
      </c>
      <c r="G108" s="38" t="str">
        <f aca="false">IF($C108="","",IFERROR(INDEX('Check giá'!$H$4:$H$203,MATCH($C108,'Check giá'!$A$4:$A$203,0)),""))</f>
        <v/>
      </c>
      <c r="H108" s="38" t="str">
        <f aca="false">IF($C108="","",IFERROR(INDEX('Check giá'!$J$4:$J$203,MATCH($C108,'Check giá'!$A$4:$A$203,0)),""))</f>
        <v/>
      </c>
      <c r="I108" s="32"/>
      <c r="J108" s="37" t="str">
        <f aca="false">IF($I108="","",IFERROR(INDEX('Nhà cung cấp'!$B$4:$B$203,MATCH($I108,'Nhà cung cấp'!$A$4:$A$203,0)),""))</f>
        <v/>
      </c>
      <c r="K108" s="34"/>
      <c r="L108" s="38" t="str">
        <f aca="false">IF($A108="","",IFERROR($G108*$K108,""))</f>
        <v/>
      </c>
      <c r="M108" s="34"/>
      <c r="N108" s="38" t="str">
        <f aca="false">IF($I108="","",IFERROR(INDEX('Nhà cung cấp'!$G$4:$G$203,MATCH($I108,'Nhà cung cấp'!$A$4:$A$203,0)),""))</f>
        <v/>
      </c>
      <c r="O108" s="33"/>
      <c r="P108" s="38" t="str">
        <f aca="false">IF($C108="","",IFERROR(_xlfn.MINIFS($L$4:$L$203,$C$4:$C$203,$C108,$L$4:$L$203,"&gt;0"),""))</f>
        <v/>
      </c>
      <c r="Q108" s="38" t="str">
        <f aca="false">IF($A108="","",IFERROR($L108-$P108,""))</f>
        <v/>
      </c>
      <c r="R108" s="38" t="str">
        <f aca="false">IF($A108="","",IFERROR($L108-$H108,""))</f>
        <v/>
      </c>
      <c r="S108" s="39" t="str">
        <f aca="false">IF($A108="","",IFERROR($R108/$H108,""))</f>
        <v/>
      </c>
      <c r="T108" s="32"/>
      <c r="U108" s="37" t="str">
        <f aca="false">IF($C108="","",IFERROR(INDEX(PR!$A$4:$A$203,MATCH($C108,PR!$C$4:$C$203,0)),""))</f>
        <v/>
      </c>
      <c r="V108" s="32"/>
    </row>
    <row r="109" customFormat="false" ht="15" hidden="false" customHeight="false" outlineLevel="0" collapsed="false">
      <c r="A109" s="32"/>
      <c r="B109" s="33"/>
      <c r="C109" s="32"/>
      <c r="D109" s="37" t="str">
        <f aca="false">IF($C109="","",IFERROR(INDEX('Check giá'!$C$4:$C$203,MATCH($C109,'Check giá'!$A$4:$A$203,0)),""))</f>
        <v/>
      </c>
      <c r="E109" s="37" t="str">
        <f aca="false">IF($C109="","",IFERROR(INDEX('Check giá'!$D$4:$D$203,MATCH($C109,'Check giá'!$A$4:$A$203,0)),""))</f>
        <v/>
      </c>
      <c r="F109" s="37" t="str">
        <f aca="false">IF($C109="","",IFERROR(INDEX('Check giá'!$F$4:$F$203,MATCH($C109,'Check giá'!$A$4:$A$203,0)),""))</f>
        <v/>
      </c>
      <c r="G109" s="38" t="str">
        <f aca="false">IF($C109="","",IFERROR(INDEX('Check giá'!$H$4:$H$203,MATCH($C109,'Check giá'!$A$4:$A$203,0)),""))</f>
        <v/>
      </c>
      <c r="H109" s="38" t="str">
        <f aca="false">IF($C109="","",IFERROR(INDEX('Check giá'!$J$4:$J$203,MATCH($C109,'Check giá'!$A$4:$A$203,0)),""))</f>
        <v/>
      </c>
      <c r="I109" s="32"/>
      <c r="J109" s="37" t="str">
        <f aca="false">IF($I109="","",IFERROR(INDEX('Nhà cung cấp'!$B$4:$B$203,MATCH($I109,'Nhà cung cấp'!$A$4:$A$203,0)),""))</f>
        <v/>
      </c>
      <c r="K109" s="34"/>
      <c r="L109" s="38" t="str">
        <f aca="false">IF($A109="","",IFERROR($G109*$K109,""))</f>
        <v/>
      </c>
      <c r="M109" s="34"/>
      <c r="N109" s="38" t="str">
        <f aca="false">IF($I109="","",IFERROR(INDEX('Nhà cung cấp'!$G$4:$G$203,MATCH($I109,'Nhà cung cấp'!$A$4:$A$203,0)),""))</f>
        <v/>
      </c>
      <c r="O109" s="33"/>
      <c r="P109" s="38" t="str">
        <f aca="false">IF($C109="","",IFERROR(_xlfn.MINIFS($L$4:$L$203,$C$4:$C$203,$C109,$L$4:$L$203,"&gt;0"),""))</f>
        <v/>
      </c>
      <c r="Q109" s="38" t="str">
        <f aca="false">IF($A109="","",IFERROR($L109-$P109,""))</f>
        <v/>
      </c>
      <c r="R109" s="38" t="str">
        <f aca="false">IF($A109="","",IFERROR($L109-$H109,""))</f>
        <v/>
      </c>
      <c r="S109" s="39" t="str">
        <f aca="false">IF($A109="","",IFERROR($R109/$H109,""))</f>
        <v/>
      </c>
      <c r="T109" s="32"/>
      <c r="U109" s="37" t="str">
        <f aca="false">IF($C109="","",IFERROR(INDEX(PR!$A$4:$A$203,MATCH($C109,PR!$C$4:$C$203,0)),""))</f>
        <v/>
      </c>
      <c r="V109" s="32"/>
    </row>
    <row r="110" customFormat="false" ht="15" hidden="false" customHeight="false" outlineLevel="0" collapsed="false">
      <c r="A110" s="32"/>
      <c r="B110" s="33"/>
      <c r="C110" s="32"/>
      <c r="D110" s="37" t="str">
        <f aca="false">IF($C110="","",IFERROR(INDEX('Check giá'!$C$4:$C$203,MATCH($C110,'Check giá'!$A$4:$A$203,0)),""))</f>
        <v/>
      </c>
      <c r="E110" s="37" t="str">
        <f aca="false">IF($C110="","",IFERROR(INDEX('Check giá'!$D$4:$D$203,MATCH($C110,'Check giá'!$A$4:$A$203,0)),""))</f>
        <v/>
      </c>
      <c r="F110" s="37" t="str">
        <f aca="false">IF($C110="","",IFERROR(INDEX('Check giá'!$F$4:$F$203,MATCH($C110,'Check giá'!$A$4:$A$203,0)),""))</f>
        <v/>
      </c>
      <c r="G110" s="38" t="str">
        <f aca="false">IF($C110="","",IFERROR(INDEX('Check giá'!$H$4:$H$203,MATCH($C110,'Check giá'!$A$4:$A$203,0)),""))</f>
        <v/>
      </c>
      <c r="H110" s="38" t="str">
        <f aca="false">IF($C110="","",IFERROR(INDEX('Check giá'!$J$4:$J$203,MATCH($C110,'Check giá'!$A$4:$A$203,0)),""))</f>
        <v/>
      </c>
      <c r="I110" s="32"/>
      <c r="J110" s="37" t="str">
        <f aca="false">IF($I110="","",IFERROR(INDEX('Nhà cung cấp'!$B$4:$B$203,MATCH($I110,'Nhà cung cấp'!$A$4:$A$203,0)),""))</f>
        <v/>
      </c>
      <c r="K110" s="34"/>
      <c r="L110" s="38" t="str">
        <f aca="false">IF($A110="","",IFERROR($G110*$K110,""))</f>
        <v/>
      </c>
      <c r="M110" s="34"/>
      <c r="N110" s="38" t="str">
        <f aca="false">IF($I110="","",IFERROR(INDEX('Nhà cung cấp'!$G$4:$G$203,MATCH($I110,'Nhà cung cấp'!$A$4:$A$203,0)),""))</f>
        <v/>
      </c>
      <c r="O110" s="33"/>
      <c r="P110" s="38" t="str">
        <f aca="false">IF($C110="","",IFERROR(_xlfn.MINIFS($L$4:$L$203,$C$4:$C$203,$C110,$L$4:$L$203,"&gt;0"),""))</f>
        <v/>
      </c>
      <c r="Q110" s="38" t="str">
        <f aca="false">IF($A110="","",IFERROR($L110-$P110,""))</f>
        <v/>
      </c>
      <c r="R110" s="38" t="str">
        <f aca="false">IF($A110="","",IFERROR($L110-$H110,""))</f>
        <v/>
      </c>
      <c r="S110" s="39" t="str">
        <f aca="false">IF($A110="","",IFERROR($R110/$H110,""))</f>
        <v/>
      </c>
      <c r="T110" s="32"/>
      <c r="U110" s="37" t="str">
        <f aca="false">IF($C110="","",IFERROR(INDEX(PR!$A$4:$A$203,MATCH($C110,PR!$C$4:$C$203,0)),""))</f>
        <v/>
      </c>
      <c r="V110" s="32"/>
    </row>
    <row r="111" customFormat="false" ht="15" hidden="false" customHeight="false" outlineLevel="0" collapsed="false">
      <c r="A111" s="32"/>
      <c r="B111" s="33"/>
      <c r="C111" s="32"/>
      <c r="D111" s="37" t="str">
        <f aca="false">IF($C111="","",IFERROR(INDEX('Check giá'!$C$4:$C$203,MATCH($C111,'Check giá'!$A$4:$A$203,0)),""))</f>
        <v/>
      </c>
      <c r="E111" s="37" t="str">
        <f aca="false">IF($C111="","",IFERROR(INDEX('Check giá'!$D$4:$D$203,MATCH($C111,'Check giá'!$A$4:$A$203,0)),""))</f>
        <v/>
      </c>
      <c r="F111" s="37" t="str">
        <f aca="false">IF($C111="","",IFERROR(INDEX('Check giá'!$F$4:$F$203,MATCH($C111,'Check giá'!$A$4:$A$203,0)),""))</f>
        <v/>
      </c>
      <c r="G111" s="38" t="str">
        <f aca="false">IF($C111="","",IFERROR(INDEX('Check giá'!$H$4:$H$203,MATCH($C111,'Check giá'!$A$4:$A$203,0)),""))</f>
        <v/>
      </c>
      <c r="H111" s="38" t="str">
        <f aca="false">IF($C111="","",IFERROR(INDEX('Check giá'!$J$4:$J$203,MATCH($C111,'Check giá'!$A$4:$A$203,0)),""))</f>
        <v/>
      </c>
      <c r="I111" s="32"/>
      <c r="J111" s="37" t="str">
        <f aca="false">IF($I111="","",IFERROR(INDEX('Nhà cung cấp'!$B$4:$B$203,MATCH($I111,'Nhà cung cấp'!$A$4:$A$203,0)),""))</f>
        <v/>
      </c>
      <c r="K111" s="34"/>
      <c r="L111" s="38" t="str">
        <f aca="false">IF($A111="","",IFERROR($G111*$K111,""))</f>
        <v/>
      </c>
      <c r="M111" s="34"/>
      <c r="N111" s="38" t="str">
        <f aca="false">IF($I111="","",IFERROR(INDEX('Nhà cung cấp'!$G$4:$G$203,MATCH($I111,'Nhà cung cấp'!$A$4:$A$203,0)),""))</f>
        <v/>
      </c>
      <c r="O111" s="33"/>
      <c r="P111" s="38" t="str">
        <f aca="false">IF($C111="","",IFERROR(_xlfn.MINIFS($L$4:$L$203,$C$4:$C$203,$C111,$L$4:$L$203,"&gt;0"),""))</f>
        <v/>
      </c>
      <c r="Q111" s="38" t="str">
        <f aca="false">IF($A111="","",IFERROR($L111-$P111,""))</f>
        <v/>
      </c>
      <c r="R111" s="38" t="str">
        <f aca="false">IF($A111="","",IFERROR($L111-$H111,""))</f>
        <v/>
      </c>
      <c r="S111" s="39" t="str">
        <f aca="false">IF($A111="","",IFERROR($R111/$H111,""))</f>
        <v/>
      </c>
      <c r="T111" s="32"/>
      <c r="U111" s="37" t="str">
        <f aca="false">IF($C111="","",IFERROR(INDEX(PR!$A$4:$A$203,MATCH($C111,PR!$C$4:$C$203,0)),""))</f>
        <v/>
      </c>
      <c r="V111" s="32"/>
    </row>
    <row r="112" customFormat="false" ht="15" hidden="false" customHeight="false" outlineLevel="0" collapsed="false">
      <c r="A112" s="32"/>
      <c r="B112" s="33"/>
      <c r="C112" s="32"/>
      <c r="D112" s="37" t="str">
        <f aca="false">IF($C112="","",IFERROR(INDEX('Check giá'!$C$4:$C$203,MATCH($C112,'Check giá'!$A$4:$A$203,0)),""))</f>
        <v/>
      </c>
      <c r="E112" s="37" t="str">
        <f aca="false">IF($C112="","",IFERROR(INDEX('Check giá'!$D$4:$D$203,MATCH($C112,'Check giá'!$A$4:$A$203,0)),""))</f>
        <v/>
      </c>
      <c r="F112" s="37" t="str">
        <f aca="false">IF($C112="","",IFERROR(INDEX('Check giá'!$F$4:$F$203,MATCH($C112,'Check giá'!$A$4:$A$203,0)),""))</f>
        <v/>
      </c>
      <c r="G112" s="38" t="str">
        <f aca="false">IF($C112="","",IFERROR(INDEX('Check giá'!$H$4:$H$203,MATCH($C112,'Check giá'!$A$4:$A$203,0)),""))</f>
        <v/>
      </c>
      <c r="H112" s="38" t="str">
        <f aca="false">IF($C112="","",IFERROR(INDEX('Check giá'!$J$4:$J$203,MATCH($C112,'Check giá'!$A$4:$A$203,0)),""))</f>
        <v/>
      </c>
      <c r="I112" s="32"/>
      <c r="J112" s="37" t="str">
        <f aca="false">IF($I112="","",IFERROR(INDEX('Nhà cung cấp'!$B$4:$B$203,MATCH($I112,'Nhà cung cấp'!$A$4:$A$203,0)),""))</f>
        <v/>
      </c>
      <c r="K112" s="34"/>
      <c r="L112" s="38" t="str">
        <f aca="false">IF($A112="","",IFERROR($G112*$K112,""))</f>
        <v/>
      </c>
      <c r="M112" s="34"/>
      <c r="N112" s="38" t="str">
        <f aca="false">IF($I112="","",IFERROR(INDEX('Nhà cung cấp'!$G$4:$G$203,MATCH($I112,'Nhà cung cấp'!$A$4:$A$203,0)),""))</f>
        <v/>
      </c>
      <c r="O112" s="33"/>
      <c r="P112" s="38" t="str">
        <f aca="false">IF($C112="","",IFERROR(_xlfn.MINIFS($L$4:$L$203,$C$4:$C$203,$C112,$L$4:$L$203,"&gt;0"),""))</f>
        <v/>
      </c>
      <c r="Q112" s="38" t="str">
        <f aca="false">IF($A112="","",IFERROR($L112-$P112,""))</f>
        <v/>
      </c>
      <c r="R112" s="38" t="str">
        <f aca="false">IF($A112="","",IFERROR($L112-$H112,""))</f>
        <v/>
      </c>
      <c r="S112" s="39" t="str">
        <f aca="false">IF($A112="","",IFERROR($R112/$H112,""))</f>
        <v/>
      </c>
      <c r="T112" s="32"/>
      <c r="U112" s="37" t="str">
        <f aca="false">IF($C112="","",IFERROR(INDEX(PR!$A$4:$A$203,MATCH($C112,PR!$C$4:$C$203,0)),""))</f>
        <v/>
      </c>
      <c r="V112" s="32"/>
    </row>
    <row r="113" customFormat="false" ht="15" hidden="false" customHeight="false" outlineLevel="0" collapsed="false">
      <c r="A113" s="32"/>
      <c r="B113" s="33"/>
      <c r="C113" s="32"/>
      <c r="D113" s="37" t="str">
        <f aca="false">IF($C113="","",IFERROR(INDEX('Check giá'!$C$4:$C$203,MATCH($C113,'Check giá'!$A$4:$A$203,0)),""))</f>
        <v/>
      </c>
      <c r="E113" s="37" t="str">
        <f aca="false">IF($C113="","",IFERROR(INDEX('Check giá'!$D$4:$D$203,MATCH($C113,'Check giá'!$A$4:$A$203,0)),""))</f>
        <v/>
      </c>
      <c r="F113" s="37" t="str">
        <f aca="false">IF($C113="","",IFERROR(INDEX('Check giá'!$F$4:$F$203,MATCH($C113,'Check giá'!$A$4:$A$203,0)),""))</f>
        <v/>
      </c>
      <c r="G113" s="38" t="str">
        <f aca="false">IF($C113="","",IFERROR(INDEX('Check giá'!$H$4:$H$203,MATCH($C113,'Check giá'!$A$4:$A$203,0)),""))</f>
        <v/>
      </c>
      <c r="H113" s="38" t="str">
        <f aca="false">IF($C113="","",IFERROR(INDEX('Check giá'!$J$4:$J$203,MATCH($C113,'Check giá'!$A$4:$A$203,0)),""))</f>
        <v/>
      </c>
      <c r="I113" s="32"/>
      <c r="J113" s="37" t="str">
        <f aca="false">IF($I113="","",IFERROR(INDEX('Nhà cung cấp'!$B$4:$B$203,MATCH($I113,'Nhà cung cấp'!$A$4:$A$203,0)),""))</f>
        <v/>
      </c>
      <c r="K113" s="34"/>
      <c r="L113" s="38" t="str">
        <f aca="false">IF($A113="","",IFERROR($G113*$K113,""))</f>
        <v/>
      </c>
      <c r="M113" s="34"/>
      <c r="N113" s="38" t="str">
        <f aca="false">IF($I113="","",IFERROR(INDEX('Nhà cung cấp'!$G$4:$G$203,MATCH($I113,'Nhà cung cấp'!$A$4:$A$203,0)),""))</f>
        <v/>
      </c>
      <c r="O113" s="33"/>
      <c r="P113" s="38" t="str">
        <f aca="false">IF($C113="","",IFERROR(_xlfn.MINIFS($L$4:$L$203,$C$4:$C$203,$C113,$L$4:$L$203,"&gt;0"),""))</f>
        <v/>
      </c>
      <c r="Q113" s="38" t="str">
        <f aca="false">IF($A113="","",IFERROR($L113-$P113,""))</f>
        <v/>
      </c>
      <c r="R113" s="38" t="str">
        <f aca="false">IF($A113="","",IFERROR($L113-$H113,""))</f>
        <v/>
      </c>
      <c r="S113" s="39" t="str">
        <f aca="false">IF($A113="","",IFERROR($R113/$H113,""))</f>
        <v/>
      </c>
      <c r="T113" s="32"/>
      <c r="U113" s="37" t="str">
        <f aca="false">IF($C113="","",IFERROR(INDEX(PR!$A$4:$A$203,MATCH($C113,PR!$C$4:$C$203,0)),""))</f>
        <v/>
      </c>
      <c r="V113" s="32"/>
    </row>
    <row r="114" customFormat="false" ht="15" hidden="false" customHeight="false" outlineLevel="0" collapsed="false">
      <c r="A114" s="32"/>
      <c r="B114" s="33"/>
      <c r="C114" s="32"/>
      <c r="D114" s="37" t="str">
        <f aca="false">IF($C114="","",IFERROR(INDEX('Check giá'!$C$4:$C$203,MATCH($C114,'Check giá'!$A$4:$A$203,0)),""))</f>
        <v/>
      </c>
      <c r="E114" s="37" t="str">
        <f aca="false">IF($C114="","",IFERROR(INDEX('Check giá'!$D$4:$D$203,MATCH($C114,'Check giá'!$A$4:$A$203,0)),""))</f>
        <v/>
      </c>
      <c r="F114" s="37" t="str">
        <f aca="false">IF($C114="","",IFERROR(INDEX('Check giá'!$F$4:$F$203,MATCH($C114,'Check giá'!$A$4:$A$203,0)),""))</f>
        <v/>
      </c>
      <c r="G114" s="38" t="str">
        <f aca="false">IF($C114="","",IFERROR(INDEX('Check giá'!$H$4:$H$203,MATCH($C114,'Check giá'!$A$4:$A$203,0)),""))</f>
        <v/>
      </c>
      <c r="H114" s="38" t="str">
        <f aca="false">IF($C114="","",IFERROR(INDEX('Check giá'!$J$4:$J$203,MATCH($C114,'Check giá'!$A$4:$A$203,0)),""))</f>
        <v/>
      </c>
      <c r="I114" s="32"/>
      <c r="J114" s="37" t="str">
        <f aca="false">IF($I114="","",IFERROR(INDEX('Nhà cung cấp'!$B$4:$B$203,MATCH($I114,'Nhà cung cấp'!$A$4:$A$203,0)),""))</f>
        <v/>
      </c>
      <c r="K114" s="34"/>
      <c r="L114" s="38" t="str">
        <f aca="false">IF($A114="","",IFERROR($G114*$K114,""))</f>
        <v/>
      </c>
      <c r="M114" s="34"/>
      <c r="N114" s="38" t="str">
        <f aca="false">IF($I114="","",IFERROR(INDEX('Nhà cung cấp'!$G$4:$G$203,MATCH($I114,'Nhà cung cấp'!$A$4:$A$203,0)),""))</f>
        <v/>
      </c>
      <c r="O114" s="33"/>
      <c r="P114" s="38" t="str">
        <f aca="false">IF($C114="","",IFERROR(_xlfn.MINIFS($L$4:$L$203,$C$4:$C$203,$C114,$L$4:$L$203,"&gt;0"),""))</f>
        <v/>
      </c>
      <c r="Q114" s="38" t="str">
        <f aca="false">IF($A114="","",IFERROR($L114-$P114,""))</f>
        <v/>
      </c>
      <c r="R114" s="38" t="str">
        <f aca="false">IF($A114="","",IFERROR($L114-$H114,""))</f>
        <v/>
      </c>
      <c r="S114" s="39" t="str">
        <f aca="false">IF($A114="","",IFERROR($R114/$H114,""))</f>
        <v/>
      </c>
      <c r="T114" s="32"/>
      <c r="U114" s="37" t="str">
        <f aca="false">IF($C114="","",IFERROR(INDEX(PR!$A$4:$A$203,MATCH($C114,PR!$C$4:$C$203,0)),""))</f>
        <v/>
      </c>
      <c r="V114" s="32"/>
    </row>
    <row r="115" customFormat="false" ht="15" hidden="false" customHeight="false" outlineLevel="0" collapsed="false">
      <c r="A115" s="32"/>
      <c r="B115" s="33"/>
      <c r="C115" s="32"/>
      <c r="D115" s="37" t="str">
        <f aca="false">IF($C115="","",IFERROR(INDEX('Check giá'!$C$4:$C$203,MATCH($C115,'Check giá'!$A$4:$A$203,0)),""))</f>
        <v/>
      </c>
      <c r="E115" s="37" t="str">
        <f aca="false">IF($C115="","",IFERROR(INDEX('Check giá'!$D$4:$D$203,MATCH($C115,'Check giá'!$A$4:$A$203,0)),""))</f>
        <v/>
      </c>
      <c r="F115" s="37" t="str">
        <f aca="false">IF($C115="","",IFERROR(INDEX('Check giá'!$F$4:$F$203,MATCH($C115,'Check giá'!$A$4:$A$203,0)),""))</f>
        <v/>
      </c>
      <c r="G115" s="38" t="str">
        <f aca="false">IF($C115="","",IFERROR(INDEX('Check giá'!$H$4:$H$203,MATCH($C115,'Check giá'!$A$4:$A$203,0)),""))</f>
        <v/>
      </c>
      <c r="H115" s="38" t="str">
        <f aca="false">IF($C115="","",IFERROR(INDEX('Check giá'!$J$4:$J$203,MATCH($C115,'Check giá'!$A$4:$A$203,0)),""))</f>
        <v/>
      </c>
      <c r="I115" s="32"/>
      <c r="J115" s="37" t="str">
        <f aca="false">IF($I115="","",IFERROR(INDEX('Nhà cung cấp'!$B$4:$B$203,MATCH($I115,'Nhà cung cấp'!$A$4:$A$203,0)),""))</f>
        <v/>
      </c>
      <c r="K115" s="34"/>
      <c r="L115" s="38" t="str">
        <f aca="false">IF($A115="","",IFERROR($G115*$K115,""))</f>
        <v/>
      </c>
      <c r="M115" s="34"/>
      <c r="N115" s="38" t="str">
        <f aca="false">IF($I115="","",IFERROR(INDEX('Nhà cung cấp'!$G$4:$G$203,MATCH($I115,'Nhà cung cấp'!$A$4:$A$203,0)),""))</f>
        <v/>
      </c>
      <c r="O115" s="33"/>
      <c r="P115" s="38" t="str">
        <f aca="false">IF($C115="","",IFERROR(_xlfn.MINIFS($L$4:$L$203,$C$4:$C$203,$C115,$L$4:$L$203,"&gt;0"),""))</f>
        <v/>
      </c>
      <c r="Q115" s="38" t="str">
        <f aca="false">IF($A115="","",IFERROR($L115-$P115,""))</f>
        <v/>
      </c>
      <c r="R115" s="38" t="str">
        <f aca="false">IF($A115="","",IFERROR($L115-$H115,""))</f>
        <v/>
      </c>
      <c r="S115" s="39" t="str">
        <f aca="false">IF($A115="","",IFERROR($R115/$H115,""))</f>
        <v/>
      </c>
      <c r="T115" s="32"/>
      <c r="U115" s="37" t="str">
        <f aca="false">IF($C115="","",IFERROR(INDEX(PR!$A$4:$A$203,MATCH($C115,PR!$C$4:$C$203,0)),""))</f>
        <v/>
      </c>
      <c r="V115" s="32"/>
    </row>
    <row r="116" customFormat="false" ht="15" hidden="false" customHeight="false" outlineLevel="0" collapsed="false">
      <c r="A116" s="32"/>
      <c r="B116" s="33"/>
      <c r="C116" s="32"/>
      <c r="D116" s="37" t="str">
        <f aca="false">IF($C116="","",IFERROR(INDEX('Check giá'!$C$4:$C$203,MATCH($C116,'Check giá'!$A$4:$A$203,0)),""))</f>
        <v/>
      </c>
      <c r="E116" s="37" t="str">
        <f aca="false">IF($C116="","",IFERROR(INDEX('Check giá'!$D$4:$D$203,MATCH($C116,'Check giá'!$A$4:$A$203,0)),""))</f>
        <v/>
      </c>
      <c r="F116" s="37" t="str">
        <f aca="false">IF($C116="","",IFERROR(INDEX('Check giá'!$F$4:$F$203,MATCH($C116,'Check giá'!$A$4:$A$203,0)),""))</f>
        <v/>
      </c>
      <c r="G116" s="38" t="str">
        <f aca="false">IF($C116="","",IFERROR(INDEX('Check giá'!$H$4:$H$203,MATCH($C116,'Check giá'!$A$4:$A$203,0)),""))</f>
        <v/>
      </c>
      <c r="H116" s="38" t="str">
        <f aca="false">IF($C116="","",IFERROR(INDEX('Check giá'!$J$4:$J$203,MATCH($C116,'Check giá'!$A$4:$A$203,0)),""))</f>
        <v/>
      </c>
      <c r="I116" s="32"/>
      <c r="J116" s="37" t="str">
        <f aca="false">IF($I116="","",IFERROR(INDEX('Nhà cung cấp'!$B$4:$B$203,MATCH($I116,'Nhà cung cấp'!$A$4:$A$203,0)),""))</f>
        <v/>
      </c>
      <c r="K116" s="34"/>
      <c r="L116" s="38" t="str">
        <f aca="false">IF($A116="","",IFERROR($G116*$K116,""))</f>
        <v/>
      </c>
      <c r="M116" s="34"/>
      <c r="N116" s="38" t="str">
        <f aca="false">IF($I116="","",IFERROR(INDEX('Nhà cung cấp'!$G$4:$G$203,MATCH($I116,'Nhà cung cấp'!$A$4:$A$203,0)),""))</f>
        <v/>
      </c>
      <c r="O116" s="33"/>
      <c r="P116" s="38" t="str">
        <f aca="false">IF($C116="","",IFERROR(_xlfn.MINIFS($L$4:$L$203,$C$4:$C$203,$C116,$L$4:$L$203,"&gt;0"),""))</f>
        <v/>
      </c>
      <c r="Q116" s="38" t="str">
        <f aca="false">IF($A116="","",IFERROR($L116-$P116,""))</f>
        <v/>
      </c>
      <c r="R116" s="38" t="str">
        <f aca="false">IF($A116="","",IFERROR($L116-$H116,""))</f>
        <v/>
      </c>
      <c r="S116" s="39" t="str">
        <f aca="false">IF($A116="","",IFERROR($R116/$H116,""))</f>
        <v/>
      </c>
      <c r="T116" s="32"/>
      <c r="U116" s="37" t="str">
        <f aca="false">IF($C116="","",IFERROR(INDEX(PR!$A$4:$A$203,MATCH($C116,PR!$C$4:$C$203,0)),""))</f>
        <v/>
      </c>
      <c r="V116" s="32"/>
    </row>
    <row r="117" customFormat="false" ht="15" hidden="false" customHeight="false" outlineLevel="0" collapsed="false">
      <c r="A117" s="32"/>
      <c r="B117" s="33"/>
      <c r="C117" s="32"/>
      <c r="D117" s="37" t="str">
        <f aca="false">IF($C117="","",IFERROR(INDEX('Check giá'!$C$4:$C$203,MATCH($C117,'Check giá'!$A$4:$A$203,0)),""))</f>
        <v/>
      </c>
      <c r="E117" s="37" t="str">
        <f aca="false">IF($C117="","",IFERROR(INDEX('Check giá'!$D$4:$D$203,MATCH($C117,'Check giá'!$A$4:$A$203,0)),""))</f>
        <v/>
      </c>
      <c r="F117" s="37" t="str">
        <f aca="false">IF($C117="","",IFERROR(INDEX('Check giá'!$F$4:$F$203,MATCH($C117,'Check giá'!$A$4:$A$203,0)),""))</f>
        <v/>
      </c>
      <c r="G117" s="38" t="str">
        <f aca="false">IF($C117="","",IFERROR(INDEX('Check giá'!$H$4:$H$203,MATCH($C117,'Check giá'!$A$4:$A$203,0)),""))</f>
        <v/>
      </c>
      <c r="H117" s="38" t="str">
        <f aca="false">IF($C117="","",IFERROR(INDEX('Check giá'!$J$4:$J$203,MATCH($C117,'Check giá'!$A$4:$A$203,0)),""))</f>
        <v/>
      </c>
      <c r="I117" s="32"/>
      <c r="J117" s="37" t="str">
        <f aca="false">IF($I117="","",IFERROR(INDEX('Nhà cung cấp'!$B$4:$B$203,MATCH($I117,'Nhà cung cấp'!$A$4:$A$203,0)),""))</f>
        <v/>
      </c>
      <c r="K117" s="34"/>
      <c r="L117" s="38" t="str">
        <f aca="false">IF($A117="","",IFERROR($G117*$K117,""))</f>
        <v/>
      </c>
      <c r="M117" s="34"/>
      <c r="N117" s="38" t="str">
        <f aca="false">IF($I117="","",IFERROR(INDEX('Nhà cung cấp'!$G$4:$G$203,MATCH($I117,'Nhà cung cấp'!$A$4:$A$203,0)),""))</f>
        <v/>
      </c>
      <c r="O117" s="33"/>
      <c r="P117" s="38" t="str">
        <f aca="false">IF($C117="","",IFERROR(_xlfn.MINIFS($L$4:$L$203,$C$4:$C$203,$C117,$L$4:$L$203,"&gt;0"),""))</f>
        <v/>
      </c>
      <c r="Q117" s="38" t="str">
        <f aca="false">IF($A117="","",IFERROR($L117-$P117,""))</f>
        <v/>
      </c>
      <c r="R117" s="38" t="str">
        <f aca="false">IF($A117="","",IFERROR($L117-$H117,""))</f>
        <v/>
      </c>
      <c r="S117" s="39" t="str">
        <f aca="false">IF($A117="","",IFERROR($R117/$H117,""))</f>
        <v/>
      </c>
      <c r="T117" s="32"/>
      <c r="U117" s="37" t="str">
        <f aca="false">IF($C117="","",IFERROR(INDEX(PR!$A$4:$A$203,MATCH($C117,PR!$C$4:$C$203,0)),""))</f>
        <v/>
      </c>
      <c r="V117" s="32"/>
    </row>
    <row r="118" customFormat="false" ht="15" hidden="false" customHeight="false" outlineLevel="0" collapsed="false">
      <c r="A118" s="32"/>
      <c r="B118" s="33"/>
      <c r="C118" s="32"/>
      <c r="D118" s="37" t="str">
        <f aca="false">IF($C118="","",IFERROR(INDEX('Check giá'!$C$4:$C$203,MATCH($C118,'Check giá'!$A$4:$A$203,0)),""))</f>
        <v/>
      </c>
      <c r="E118" s="37" t="str">
        <f aca="false">IF($C118="","",IFERROR(INDEX('Check giá'!$D$4:$D$203,MATCH($C118,'Check giá'!$A$4:$A$203,0)),""))</f>
        <v/>
      </c>
      <c r="F118" s="37" t="str">
        <f aca="false">IF($C118="","",IFERROR(INDEX('Check giá'!$F$4:$F$203,MATCH($C118,'Check giá'!$A$4:$A$203,0)),""))</f>
        <v/>
      </c>
      <c r="G118" s="38" t="str">
        <f aca="false">IF($C118="","",IFERROR(INDEX('Check giá'!$H$4:$H$203,MATCH($C118,'Check giá'!$A$4:$A$203,0)),""))</f>
        <v/>
      </c>
      <c r="H118" s="38" t="str">
        <f aca="false">IF($C118="","",IFERROR(INDEX('Check giá'!$J$4:$J$203,MATCH($C118,'Check giá'!$A$4:$A$203,0)),""))</f>
        <v/>
      </c>
      <c r="I118" s="32"/>
      <c r="J118" s="37" t="str">
        <f aca="false">IF($I118="","",IFERROR(INDEX('Nhà cung cấp'!$B$4:$B$203,MATCH($I118,'Nhà cung cấp'!$A$4:$A$203,0)),""))</f>
        <v/>
      </c>
      <c r="K118" s="34"/>
      <c r="L118" s="38" t="str">
        <f aca="false">IF($A118="","",IFERROR($G118*$K118,""))</f>
        <v/>
      </c>
      <c r="M118" s="34"/>
      <c r="N118" s="38" t="str">
        <f aca="false">IF($I118="","",IFERROR(INDEX('Nhà cung cấp'!$G$4:$G$203,MATCH($I118,'Nhà cung cấp'!$A$4:$A$203,0)),""))</f>
        <v/>
      </c>
      <c r="O118" s="33"/>
      <c r="P118" s="38" t="str">
        <f aca="false">IF($C118="","",IFERROR(_xlfn.MINIFS($L$4:$L$203,$C$4:$C$203,$C118,$L$4:$L$203,"&gt;0"),""))</f>
        <v/>
      </c>
      <c r="Q118" s="38" t="str">
        <f aca="false">IF($A118="","",IFERROR($L118-$P118,""))</f>
        <v/>
      </c>
      <c r="R118" s="38" t="str">
        <f aca="false">IF($A118="","",IFERROR($L118-$H118,""))</f>
        <v/>
      </c>
      <c r="S118" s="39" t="str">
        <f aca="false">IF($A118="","",IFERROR($R118/$H118,""))</f>
        <v/>
      </c>
      <c r="T118" s="32"/>
      <c r="U118" s="37" t="str">
        <f aca="false">IF($C118="","",IFERROR(INDEX(PR!$A$4:$A$203,MATCH($C118,PR!$C$4:$C$203,0)),""))</f>
        <v/>
      </c>
      <c r="V118" s="32"/>
    </row>
    <row r="119" customFormat="false" ht="15" hidden="false" customHeight="false" outlineLevel="0" collapsed="false">
      <c r="A119" s="32"/>
      <c r="B119" s="33"/>
      <c r="C119" s="32"/>
      <c r="D119" s="37" t="str">
        <f aca="false">IF($C119="","",IFERROR(INDEX('Check giá'!$C$4:$C$203,MATCH($C119,'Check giá'!$A$4:$A$203,0)),""))</f>
        <v/>
      </c>
      <c r="E119" s="37" t="str">
        <f aca="false">IF($C119="","",IFERROR(INDEX('Check giá'!$D$4:$D$203,MATCH($C119,'Check giá'!$A$4:$A$203,0)),""))</f>
        <v/>
      </c>
      <c r="F119" s="37" t="str">
        <f aca="false">IF($C119="","",IFERROR(INDEX('Check giá'!$F$4:$F$203,MATCH($C119,'Check giá'!$A$4:$A$203,0)),""))</f>
        <v/>
      </c>
      <c r="G119" s="38" t="str">
        <f aca="false">IF($C119="","",IFERROR(INDEX('Check giá'!$H$4:$H$203,MATCH($C119,'Check giá'!$A$4:$A$203,0)),""))</f>
        <v/>
      </c>
      <c r="H119" s="38" t="str">
        <f aca="false">IF($C119="","",IFERROR(INDEX('Check giá'!$J$4:$J$203,MATCH($C119,'Check giá'!$A$4:$A$203,0)),""))</f>
        <v/>
      </c>
      <c r="I119" s="32"/>
      <c r="J119" s="37" t="str">
        <f aca="false">IF($I119="","",IFERROR(INDEX('Nhà cung cấp'!$B$4:$B$203,MATCH($I119,'Nhà cung cấp'!$A$4:$A$203,0)),""))</f>
        <v/>
      </c>
      <c r="K119" s="34"/>
      <c r="L119" s="38" t="str">
        <f aca="false">IF($A119="","",IFERROR($G119*$K119,""))</f>
        <v/>
      </c>
      <c r="M119" s="34"/>
      <c r="N119" s="38" t="str">
        <f aca="false">IF($I119="","",IFERROR(INDEX('Nhà cung cấp'!$G$4:$G$203,MATCH($I119,'Nhà cung cấp'!$A$4:$A$203,0)),""))</f>
        <v/>
      </c>
      <c r="O119" s="33"/>
      <c r="P119" s="38" t="str">
        <f aca="false">IF($C119="","",IFERROR(_xlfn.MINIFS($L$4:$L$203,$C$4:$C$203,$C119,$L$4:$L$203,"&gt;0"),""))</f>
        <v/>
      </c>
      <c r="Q119" s="38" t="str">
        <f aca="false">IF($A119="","",IFERROR($L119-$P119,""))</f>
        <v/>
      </c>
      <c r="R119" s="38" t="str">
        <f aca="false">IF($A119="","",IFERROR($L119-$H119,""))</f>
        <v/>
      </c>
      <c r="S119" s="39" t="str">
        <f aca="false">IF($A119="","",IFERROR($R119/$H119,""))</f>
        <v/>
      </c>
      <c r="T119" s="32"/>
      <c r="U119" s="37" t="str">
        <f aca="false">IF($C119="","",IFERROR(INDEX(PR!$A$4:$A$203,MATCH($C119,PR!$C$4:$C$203,0)),""))</f>
        <v/>
      </c>
      <c r="V119" s="32"/>
    </row>
    <row r="120" customFormat="false" ht="15" hidden="false" customHeight="false" outlineLevel="0" collapsed="false">
      <c r="A120" s="32"/>
      <c r="B120" s="33"/>
      <c r="C120" s="32"/>
      <c r="D120" s="37" t="str">
        <f aca="false">IF($C120="","",IFERROR(INDEX('Check giá'!$C$4:$C$203,MATCH($C120,'Check giá'!$A$4:$A$203,0)),""))</f>
        <v/>
      </c>
      <c r="E120" s="37" t="str">
        <f aca="false">IF($C120="","",IFERROR(INDEX('Check giá'!$D$4:$D$203,MATCH($C120,'Check giá'!$A$4:$A$203,0)),""))</f>
        <v/>
      </c>
      <c r="F120" s="37" t="str">
        <f aca="false">IF($C120="","",IFERROR(INDEX('Check giá'!$F$4:$F$203,MATCH($C120,'Check giá'!$A$4:$A$203,0)),""))</f>
        <v/>
      </c>
      <c r="G120" s="38" t="str">
        <f aca="false">IF($C120="","",IFERROR(INDEX('Check giá'!$H$4:$H$203,MATCH($C120,'Check giá'!$A$4:$A$203,0)),""))</f>
        <v/>
      </c>
      <c r="H120" s="38" t="str">
        <f aca="false">IF($C120="","",IFERROR(INDEX('Check giá'!$J$4:$J$203,MATCH($C120,'Check giá'!$A$4:$A$203,0)),""))</f>
        <v/>
      </c>
      <c r="I120" s="32"/>
      <c r="J120" s="37" t="str">
        <f aca="false">IF($I120="","",IFERROR(INDEX('Nhà cung cấp'!$B$4:$B$203,MATCH($I120,'Nhà cung cấp'!$A$4:$A$203,0)),""))</f>
        <v/>
      </c>
      <c r="K120" s="34"/>
      <c r="L120" s="38" t="str">
        <f aca="false">IF($A120="","",IFERROR($G120*$K120,""))</f>
        <v/>
      </c>
      <c r="M120" s="34"/>
      <c r="N120" s="38" t="str">
        <f aca="false">IF($I120="","",IFERROR(INDEX('Nhà cung cấp'!$G$4:$G$203,MATCH($I120,'Nhà cung cấp'!$A$4:$A$203,0)),""))</f>
        <v/>
      </c>
      <c r="O120" s="33"/>
      <c r="P120" s="38" t="str">
        <f aca="false">IF($C120="","",IFERROR(_xlfn.MINIFS($L$4:$L$203,$C$4:$C$203,$C120,$L$4:$L$203,"&gt;0"),""))</f>
        <v/>
      </c>
      <c r="Q120" s="38" t="str">
        <f aca="false">IF($A120="","",IFERROR($L120-$P120,""))</f>
        <v/>
      </c>
      <c r="R120" s="38" t="str">
        <f aca="false">IF($A120="","",IFERROR($L120-$H120,""))</f>
        <v/>
      </c>
      <c r="S120" s="39" t="str">
        <f aca="false">IF($A120="","",IFERROR($R120/$H120,""))</f>
        <v/>
      </c>
      <c r="T120" s="32"/>
      <c r="U120" s="37" t="str">
        <f aca="false">IF($C120="","",IFERROR(INDEX(PR!$A$4:$A$203,MATCH($C120,PR!$C$4:$C$203,0)),""))</f>
        <v/>
      </c>
      <c r="V120" s="32"/>
    </row>
    <row r="121" customFormat="false" ht="15" hidden="false" customHeight="false" outlineLevel="0" collapsed="false">
      <c r="A121" s="32"/>
      <c r="B121" s="33"/>
      <c r="C121" s="32"/>
      <c r="D121" s="37" t="str">
        <f aca="false">IF($C121="","",IFERROR(INDEX('Check giá'!$C$4:$C$203,MATCH($C121,'Check giá'!$A$4:$A$203,0)),""))</f>
        <v/>
      </c>
      <c r="E121" s="37" t="str">
        <f aca="false">IF($C121="","",IFERROR(INDEX('Check giá'!$D$4:$D$203,MATCH($C121,'Check giá'!$A$4:$A$203,0)),""))</f>
        <v/>
      </c>
      <c r="F121" s="37" t="str">
        <f aca="false">IF($C121="","",IFERROR(INDEX('Check giá'!$F$4:$F$203,MATCH($C121,'Check giá'!$A$4:$A$203,0)),""))</f>
        <v/>
      </c>
      <c r="G121" s="38" t="str">
        <f aca="false">IF($C121="","",IFERROR(INDEX('Check giá'!$H$4:$H$203,MATCH($C121,'Check giá'!$A$4:$A$203,0)),""))</f>
        <v/>
      </c>
      <c r="H121" s="38" t="str">
        <f aca="false">IF($C121="","",IFERROR(INDEX('Check giá'!$J$4:$J$203,MATCH($C121,'Check giá'!$A$4:$A$203,0)),""))</f>
        <v/>
      </c>
      <c r="I121" s="32"/>
      <c r="J121" s="37" t="str">
        <f aca="false">IF($I121="","",IFERROR(INDEX('Nhà cung cấp'!$B$4:$B$203,MATCH($I121,'Nhà cung cấp'!$A$4:$A$203,0)),""))</f>
        <v/>
      </c>
      <c r="K121" s="34"/>
      <c r="L121" s="38" t="str">
        <f aca="false">IF($A121="","",IFERROR($G121*$K121,""))</f>
        <v/>
      </c>
      <c r="M121" s="34"/>
      <c r="N121" s="38" t="str">
        <f aca="false">IF($I121="","",IFERROR(INDEX('Nhà cung cấp'!$G$4:$G$203,MATCH($I121,'Nhà cung cấp'!$A$4:$A$203,0)),""))</f>
        <v/>
      </c>
      <c r="O121" s="33"/>
      <c r="P121" s="38" t="str">
        <f aca="false">IF($C121="","",IFERROR(_xlfn.MINIFS($L$4:$L$203,$C$4:$C$203,$C121,$L$4:$L$203,"&gt;0"),""))</f>
        <v/>
      </c>
      <c r="Q121" s="38" t="str">
        <f aca="false">IF($A121="","",IFERROR($L121-$P121,""))</f>
        <v/>
      </c>
      <c r="R121" s="38" t="str">
        <f aca="false">IF($A121="","",IFERROR($L121-$H121,""))</f>
        <v/>
      </c>
      <c r="S121" s="39" t="str">
        <f aca="false">IF($A121="","",IFERROR($R121/$H121,""))</f>
        <v/>
      </c>
      <c r="T121" s="32"/>
      <c r="U121" s="37" t="str">
        <f aca="false">IF($C121="","",IFERROR(INDEX(PR!$A$4:$A$203,MATCH($C121,PR!$C$4:$C$203,0)),""))</f>
        <v/>
      </c>
      <c r="V121" s="32"/>
    </row>
    <row r="122" customFormat="false" ht="15" hidden="false" customHeight="false" outlineLevel="0" collapsed="false">
      <c r="A122" s="32"/>
      <c r="B122" s="33"/>
      <c r="C122" s="32"/>
      <c r="D122" s="37" t="str">
        <f aca="false">IF($C122="","",IFERROR(INDEX('Check giá'!$C$4:$C$203,MATCH($C122,'Check giá'!$A$4:$A$203,0)),""))</f>
        <v/>
      </c>
      <c r="E122" s="37" t="str">
        <f aca="false">IF($C122="","",IFERROR(INDEX('Check giá'!$D$4:$D$203,MATCH($C122,'Check giá'!$A$4:$A$203,0)),""))</f>
        <v/>
      </c>
      <c r="F122" s="37" t="str">
        <f aca="false">IF($C122="","",IFERROR(INDEX('Check giá'!$F$4:$F$203,MATCH($C122,'Check giá'!$A$4:$A$203,0)),""))</f>
        <v/>
      </c>
      <c r="G122" s="38" t="str">
        <f aca="false">IF($C122="","",IFERROR(INDEX('Check giá'!$H$4:$H$203,MATCH($C122,'Check giá'!$A$4:$A$203,0)),""))</f>
        <v/>
      </c>
      <c r="H122" s="38" t="str">
        <f aca="false">IF($C122="","",IFERROR(INDEX('Check giá'!$J$4:$J$203,MATCH($C122,'Check giá'!$A$4:$A$203,0)),""))</f>
        <v/>
      </c>
      <c r="I122" s="32"/>
      <c r="J122" s="37" t="str">
        <f aca="false">IF($I122="","",IFERROR(INDEX('Nhà cung cấp'!$B$4:$B$203,MATCH($I122,'Nhà cung cấp'!$A$4:$A$203,0)),""))</f>
        <v/>
      </c>
      <c r="K122" s="34"/>
      <c r="L122" s="38" t="str">
        <f aca="false">IF($A122="","",IFERROR($G122*$K122,""))</f>
        <v/>
      </c>
      <c r="M122" s="34"/>
      <c r="N122" s="38" t="str">
        <f aca="false">IF($I122="","",IFERROR(INDEX('Nhà cung cấp'!$G$4:$G$203,MATCH($I122,'Nhà cung cấp'!$A$4:$A$203,0)),""))</f>
        <v/>
      </c>
      <c r="O122" s="33"/>
      <c r="P122" s="38" t="str">
        <f aca="false">IF($C122="","",IFERROR(_xlfn.MINIFS($L$4:$L$203,$C$4:$C$203,$C122,$L$4:$L$203,"&gt;0"),""))</f>
        <v/>
      </c>
      <c r="Q122" s="38" t="str">
        <f aca="false">IF($A122="","",IFERROR($L122-$P122,""))</f>
        <v/>
      </c>
      <c r="R122" s="38" t="str">
        <f aca="false">IF($A122="","",IFERROR($L122-$H122,""))</f>
        <v/>
      </c>
      <c r="S122" s="39" t="str">
        <f aca="false">IF($A122="","",IFERROR($R122/$H122,""))</f>
        <v/>
      </c>
      <c r="T122" s="32"/>
      <c r="U122" s="37" t="str">
        <f aca="false">IF($C122="","",IFERROR(INDEX(PR!$A$4:$A$203,MATCH($C122,PR!$C$4:$C$203,0)),""))</f>
        <v/>
      </c>
      <c r="V122" s="32"/>
    </row>
    <row r="123" customFormat="false" ht="15" hidden="false" customHeight="false" outlineLevel="0" collapsed="false">
      <c r="A123" s="32"/>
      <c r="B123" s="33"/>
      <c r="C123" s="32"/>
      <c r="D123" s="37" t="str">
        <f aca="false">IF($C123="","",IFERROR(INDEX('Check giá'!$C$4:$C$203,MATCH($C123,'Check giá'!$A$4:$A$203,0)),""))</f>
        <v/>
      </c>
      <c r="E123" s="37" t="str">
        <f aca="false">IF($C123="","",IFERROR(INDEX('Check giá'!$D$4:$D$203,MATCH($C123,'Check giá'!$A$4:$A$203,0)),""))</f>
        <v/>
      </c>
      <c r="F123" s="37" t="str">
        <f aca="false">IF($C123="","",IFERROR(INDEX('Check giá'!$F$4:$F$203,MATCH($C123,'Check giá'!$A$4:$A$203,0)),""))</f>
        <v/>
      </c>
      <c r="G123" s="38" t="str">
        <f aca="false">IF($C123="","",IFERROR(INDEX('Check giá'!$H$4:$H$203,MATCH($C123,'Check giá'!$A$4:$A$203,0)),""))</f>
        <v/>
      </c>
      <c r="H123" s="38" t="str">
        <f aca="false">IF($C123="","",IFERROR(INDEX('Check giá'!$J$4:$J$203,MATCH($C123,'Check giá'!$A$4:$A$203,0)),""))</f>
        <v/>
      </c>
      <c r="I123" s="32"/>
      <c r="J123" s="37" t="str">
        <f aca="false">IF($I123="","",IFERROR(INDEX('Nhà cung cấp'!$B$4:$B$203,MATCH($I123,'Nhà cung cấp'!$A$4:$A$203,0)),""))</f>
        <v/>
      </c>
      <c r="K123" s="34"/>
      <c r="L123" s="38" t="str">
        <f aca="false">IF($A123="","",IFERROR($G123*$K123,""))</f>
        <v/>
      </c>
      <c r="M123" s="34"/>
      <c r="N123" s="38" t="str">
        <f aca="false">IF($I123="","",IFERROR(INDEX('Nhà cung cấp'!$G$4:$G$203,MATCH($I123,'Nhà cung cấp'!$A$4:$A$203,0)),""))</f>
        <v/>
      </c>
      <c r="O123" s="33"/>
      <c r="P123" s="38" t="str">
        <f aca="false">IF($C123="","",IFERROR(_xlfn.MINIFS($L$4:$L$203,$C$4:$C$203,$C123,$L$4:$L$203,"&gt;0"),""))</f>
        <v/>
      </c>
      <c r="Q123" s="38" t="str">
        <f aca="false">IF($A123="","",IFERROR($L123-$P123,""))</f>
        <v/>
      </c>
      <c r="R123" s="38" t="str">
        <f aca="false">IF($A123="","",IFERROR($L123-$H123,""))</f>
        <v/>
      </c>
      <c r="S123" s="39" t="str">
        <f aca="false">IF($A123="","",IFERROR($R123/$H123,""))</f>
        <v/>
      </c>
      <c r="T123" s="32"/>
      <c r="U123" s="37" t="str">
        <f aca="false">IF($C123="","",IFERROR(INDEX(PR!$A$4:$A$203,MATCH($C123,PR!$C$4:$C$203,0)),""))</f>
        <v/>
      </c>
      <c r="V123" s="32"/>
    </row>
    <row r="124" customFormat="false" ht="15" hidden="false" customHeight="false" outlineLevel="0" collapsed="false">
      <c r="A124" s="32"/>
      <c r="B124" s="33"/>
      <c r="C124" s="32"/>
      <c r="D124" s="37" t="str">
        <f aca="false">IF($C124="","",IFERROR(INDEX('Check giá'!$C$4:$C$203,MATCH($C124,'Check giá'!$A$4:$A$203,0)),""))</f>
        <v/>
      </c>
      <c r="E124" s="37" t="str">
        <f aca="false">IF($C124="","",IFERROR(INDEX('Check giá'!$D$4:$D$203,MATCH($C124,'Check giá'!$A$4:$A$203,0)),""))</f>
        <v/>
      </c>
      <c r="F124" s="37" t="str">
        <f aca="false">IF($C124="","",IFERROR(INDEX('Check giá'!$F$4:$F$203,MATCH($C124,'Check giá'!$A$4:$A$203,0)),""))</f>
        <v/>
      </c>
      <c r="G124" s="38" t="str">
        <f aca="false">IF($C124="","",IFERROR(INDEX('Check giá'!$H$4:$H$203,MATCH($C124,'Check giá'!$A$4:$A$203,0)),""))</f>
        <v/>
      </c>
      <c r="H124" s="38" t="str">
        <f aca="false">IF($C124="","",IFERROR(INDEX('Check giá'!$J$4:$J$203,MATCH($C124,'Check giá'!$A$4:$A$203,0)),""))</f>
        <v/>
      </c>
      <c r="I124" s="32"/>
      <c r="J124" s="37" t="str">
        <f aca="false">IF($I124="","",IFERROR(INDEX('Nhà cung cấp'!$B$4:$B$203,MATCH($I124,'Nhà cung cấp'!$A$4:$A$203,0)),""))</f>
        <v/>
      </c>
      <c r="K124" s="34"/>
      <c r="L124" s="38" t="str">
        <f aca="false">IF($A124="","",IFERROR($G124*$K124,""))</f>
        <v/>
      </c>
      <c r="M124" s="34"/>
      <c r="N124" s="38" t="str">
        <f aca="false">IF($I124="","",IFERROR(INDEX('Nhà cung cấp'!$G$4:$G$203,MATCH($I124,'Nhà cung cấp'!$A$4:$A$203,0)),""))</f>
        <v/>
      </c>
      <c r="O124" s="33"/>
      <c r="P124" s="38" t="str">
        <f aca="false">IF($C124="","",IFERROR(_xlfn.MINIFS($L$4:$L$203,$C$4:$C$203,$C124,$L$4:$L$203,"&gt;0"),""))</f>
        <v/>
      </c>
      <c r="Q124" s="38" t="str">
        <f aca="false">IF($A124="","",IFERROR($L124-$P124,""))</f>
        <v/>
      </c>
      <c r="R124" s="38" t="str">
        <f aca="false">IF($A124="","",IFERROR($L124-$H124,""))</f>
        <v/>
      </c>
      <c r="S124" s="39" t="str">
        <f aca="false">IF($A124="","",IFERROR($R124/$H124,""))</f>
        <v/>
      </c>
      <c r="T124" s="32"/>
      <c r="U124" s="37" t="str">
        <f aca="false">IF($C124="","",IFERROR(INDEX(PR!$A$4:$A$203,MATCH($C124,PR!$C$4:$C$203,0)),""))</f>
        <v/>
      </c>
      <c r="V124" s="32"/>
    </row>
    <row r="125" customFormat="false" ht="15" hidden="false" customHeight="false" outlineLevel="0" collapsed="false">
      <c r="A125" s="32"/>
      <c r="B125" s="33"/>
      <c r="C125" s="32"/>
      <c r="D125" s="37" t="str">
        <f aca="false">IF($C125="","",IFERROR(INDEX('Check giá'!$C$4:$C$203,MATCH($C125,'Check giá'!$A$4:$A$203,0)),""))</f>
        <v/>
      </c>
      <c r="E125" s="37" t="str">
        <f aca="false">IF($C125="","",IFERROR(INDEX('Check giá'!$D$4:$D$203,MATCH($C125,'Check giá'!$A$4:$A$203,0)),""))</f>
        <v/>
      </c>
      <c r="F125" s="37" t="str">
        <f aca="false">IF($C125="","",IFERROR(INDEX('Check giá'!$F$4:$F$203,MATCH($C125,'Check giá'!$A$4:$A$203,0)),""))</f>
        <v/>
      </c>
      <c r="G125" s="38" t="str">
        <f aca="false">IF($C125="","",IFERROR(INDEX('Check giá'!$H$4:$H$203,MATCH($C125,'Check giá'!$A$4:$A$203,0)),""))</f>
        <v/>
      </c>
      <c r="H125" s="38" t="str">
        <f aca="false">IF($C125="","",IFERROR(INDEX('Check giá'!$J$4:$J$203,MATCH($C125,'Check giá'!$A$4:$A$203,0)),""))</f>
        <v/>
      </c>
      <c r="I125" s="32"/>
      <c r="J125" s="37" t="str">
        <f aca="false">IF($I125="","",IFERROR(INDEX('Nhà cung cấp'!$B$4:$B$203,MATCH($I125,'Nhà cung cấp'!$A$4:$A$203,0)),""))</f>
        <v/>
      </c>
      <c r="K125" s="34"/>
      <c r="L125" s="38" t="str">
        <f aca="false">IF($A125="","",IFERROR($G125*$K125,""))</f>
        <v/>
      </c>
      <c r="M125" s="34"/>
      <c r="N125" s="38" t="str">
        <f aca="false">IF($I125="","",IFERROR(INDEX('Nhà cung cấp'!$G$4:$G$203,MATCH($I125,'Nhà cung cấp'!$A$4:$A$203,0)),""))</f>
        <v/>
      </c>
      <c r="O125" s="33"/>
      <c r="P125" s="38" t="str">
        <f aca="false">IF($C125="","",IFERROR(_xlfn.MINIFS($L$4:$L$203,$C$4:$C$203,$C125,$L$4:$L$203,"&gt;0"),""))</f>
        <v/>
      </c>
      <c r="Q125" s="38" t="str">
        <f aca="false">IF($A125="","",IFERROR($L125-$P125,""))</f>
        <v/>
      </c>
      <c r="R125" s="38" t="str">
        <f aca="false">IF($A125="","",IFERROR($L125-$H125,""))</f>
        <v/>
      </c>
      <c r="S125" s="39" t="str">
        <f aca="false">IF($A125="","",IFERROR($R125/$H125,""))</f>
        <v/>
      </c>
      <c r="T125" s="32"/>
      <c r="U125" s="37" t="str">
        <f aca="false">IF($C125="","",IFERROR(INDEX(PR!$A$4:$A$203,MATCH($C125,PR!$C$4:$C$203,0)),""))</f>
        <v/>
      </c>
      <c r="V125" s="32"/>
    </row>
    <row r="126" customFormat="false" ht="15" hidden="false" customHeight="false" outlineLevel="0" collapsed="false">
      <c r="A126" s="32"/>
      <c r="B126" s="33"/>
      <c r="C126" s="32"/>
      <c r="D126" s="37" t="str">
        <f aca="false">IF($C126="","",IFERROR(INDEX('Check giá'!$C$4:$C$203,MATCH($C126,'Check giá'!$A$4:$A$203,0)),""))</f>
        <v/>
      </c>
      <c r="E126" s="37" t="str">
        <f aca="false">IF($C126="","",IFERROR(INDEX('Check giá'!$D$4:$D$203,MATCH($C126,'Check giá'!$A$4:$A$203,0)),""))</f>
        <v/>
      </c>
      <c r="F126" s="37" t="str">
        <f aca="false">IF($C126="","",IFERROR(INDEX('Check giá'!$F$4:$F$203,MATCH($C126,'Check giá'!$A$4:$A$203,0)),""))</f>
        <v/>
      </c>
      <c r="G126" s="38" t="str">
        <f aca="false">IF($C126="","",IFERROR(INDEX('Check giá'!$H$4:$H$203,MATCH($C126,'Check giá'!$A$4:$A$203,0)),""))</f>
        <v/>
      </c>
      <c r="H126" s="38" t="str">
        <f aca="false">IF($C126="","",IFERROR(INDEX('Check giá'!$J$4:$J$203,MATCH($C126,'Check giá'!$A$4:$A$203,0)),""))</f>
        <v/>
      </c>
      <c r="I126" s="32"/>
      <c r="J126" s="37" t="str">
        <f aca="false">IF($I126="","",IFERROR(INDEX('Nhà cung cấp'!$B$4:$B$203,MATCH($I126,'Nhà cung cấp'!$A$4:$A$203,0)),""))</f>
        <v/>
      </c>
      <c r="K126" s="34"/>
      <c r="L126" s="38" t="str">
        <f aca="false">IF($A126="","",IFERROR($G126*$K126,""))</f>
        <v/>
      </c>
      <c r="M126" s="34"/>
      <c r="N126" s="38" t="str">
        <f aca="false">IF($I126="","",IFERROR(INDEX('Nhà cung cấp'!$G$4:$G$203,MATCH($I126,'Nhà cung cấp'!$A$4:$A$203,0)),""))</f>
        <v/>
      </c>
      <c r="O126" s="33"/>
      <c r="P126" s="38" t="str">
        <f aca="false">IF($C126="","",IFERROR(_xlfn.MINIFS($L$4:$L$203,$C$4:$C$203,$C126,$L$4:$L$203,"&gt;0"),""))</f>
        <v/>
      </c>
      <c r="Q126" s="38" t="str">
        <f aca="false">IF($A126="","",IFERROR($L126-$P126,""))</f>
        <v/>
      </c>
      <c r="R126" s="38" t="str">
        <f aca="false">IF($A126="","",IFERROR($L126-$H126,""))</f>
        <v/>
      </c>
      <c r="S126" s="39" t="str">
        <f aca="false">IF($A126="","",IFERROR($R126/$H126,""))</f>
        <v/>
      </c>
      <c r="T126" s="32"/>
      <c r="U126" s="37" t="str">
        <f aca="false">IF($C126="","",IFERROR(INDEX(PR!$A$4:$A$203,MATCH($C126,PR!$C$4:$C$203,0)),""))</f>
        <v/>
      </c>
      <c r="V126" s="32"/>
    </row>
    <row r="127" customFormat="false" ht="15" hidden="false" customHeight="false" outlineLevel="0" collapsed="false">
      <c r="A127" s="32"/>
      <c r="B127" s="33"/>
      <c r="C127" s="32"/>
      <c r="D127" s="37" t="str">
        <f aca="false">IF($C127="","",IFERROR(INDEX('Check giá'!$C$4:$C$203,MATCH($C127,'Check giá'!$A$4:$A$203,0)),""))</f>
        <v/>
      </c>
      <c r="E127" s="37" t="str">
        <f aca="false">IF($C127="","",IFERROR(INDEX('Check giá'!$D$4:$D$203,MATCH($C127,'Check giá'!$A$4:$A$203,0)),""))</f>
        <v/>
      </c>
      <c r="F127" s="37" t="str">
        <f aca="false">IF($C127="","",IFERROR(INDEX('Check giá'!$F$4:$F$203,MATCH($C127,'Check giá'!$A$4:$A$203,0)),""))</f>
        <v/>
      </c>
      <c r="G127" s="38" t="str">
        <f aca="false">IF($C127="","",IFERROR(INDEX('Check giá'!$H$4:$H$203,MATCH($C127,'Check giá'!$A$4:$A$203,0)),""))</f>
        <v/>
      </c>
      <c r="H127" s="38" t="str">
        <f aca="false">IF($C127="","",IFERROR(INDEX('Check giá'!$J$4:$J$203,MATCH($C127,'Check giá'!$A$4:$A$203,0)),""))</f>
        <v/>
      </c>
      <c r="I127" s="32"/>
      <c r="J127" s="37" t="str">
        <f aca="false">IF($I127="","",IFERROR(INDEX('Nhà cung cấp'!$B$4:$B$203,MATCH($I127,'Nhà cung cấp'!$A$4:$A$203,0)),""))</f>
        <v/>
      </c>
      <c r="K127" s="34"/>
      <c r="L127" s="38" t="str">
        <f aca="false">IF($A127="","",IFERROR($G127*$K127,""))</f>
        <v/>
      </c>
      <c r="M127" s="34"/>
      <c r="N127" s="38" t="str">
        <f aca="false">IF($I127="","",IFERROR(INDEX('Nhà cung cấp'!$G$4:$G$203,MATCH($I127,'Nhà cung cấp'!$A$4:$A$203,0)),""))</f>
        <v/>
      </c>
      <c r="O127" s="33"/>
      <c r="P127" s="38" t="str">
        <f aca="false">IF($C127="","",IFERROR(_xlfn.MINIFS($L$4:$L$203,$C$4:$C$203,$C127,$L$4:$L$203,"&gt;0"),""))</f>
        <v/>
      </c>
      <c r="Q127" s="38" t="str">
        <f aca="false">IF($A127="","",IFERROR($L127-$P127,""))</f>
        <v/>
      </c>
      <c r="R127" s="38" t="str">
        <f aca="false">IF($A127="","",IFERROR($L127-$H127,""))</f>
        <v/>
      </c>
      <c r="S127" s="39" t="str">
        <f aca="false">IF($A127="","",IFERROR($R127/$H127,""))</f>
        <v/>
      </c>
      <c r="T127" s="32"/>
      <c r="U127" s="37" t="str">
        <f aca="false">IF($C127="","",IFERROR(INDEX(PR!$A$4:$A$203,MATCH($C127,PR!$C$4:$C$203,0)),""))</f>
        <v/>
      </c>
      <c r="V127" s="32"/>
    </row>
    <row r="128" customFormat="false" ht="15" hidden="false" customHeight="false" outlineLevel="0" collapsed="false">
      <c r="A128" s="32"/>
      <c r="B128" s="33"/>
      <c r="C128" s="32"/>
      <c r="D128" s="37" t="str">
        <f aca="false">IF($C128="","",IFERROR(INDEX('Check giá'!$C$4:$C$203,MATCH($C128,'Check giá'!$A$4:$A$203,0)),""))</f>
        <v/>
      </c>
      <c r="E128" s="37" t="str">
        <f aca="false">IF($C128="","",IFERROR(INDEX('Check giá'!$D$4:$D$203,MATCH($C128,'Check giá'!$A$4:$A$203,0)),""))</f>
        <v/>
      </c>
      <c r="F128" s="37" t="str">
        <f aca="false">IF($C128="","",IFERROR(INDEX('Check giá'!$F$4:$F$203,MATCH($C128,'Check giá'!$A$4:$A$203,0)),""))</f>
        <v/>
      </c>
      <c r="G128" s="38" t="str">
        <f aca="false">IF($C128="","",IFERROR(INDEX('Check giá'!$H$4:$H$203,MATCH($C128,'Check giá'!$A$4:$A$203,0)),""))</f>
        <v/>
      </c>
      <c r="H128" s="38" t="str">
        <f aca="false">IF($C128="","",IFERROR(INDEX('Check giá'!$J$4:$J$203,MATCH($C128,'Check giá'!$A$4:$A$203,0)),""))</f>
        <v/>
      </c>
      <c r="I128" s="32"/>
      <c r="J128" s="37" t="str">
        <f aca="false">IF($I128="","",IFERROR(INDEX('Nhà cung cấp'!$B$4:$B$203,MATCH($I128,'Nhà cung cấp'!$A$4:$A$203,0)),""))</f>
        <v/>
      </c>
      <c r="K128" s="34"/>
      <c r="L128" s="38" t="str">
        <f aca="false">IF($A128="","",IFERROR($G128*$K128,""))</f>
        <v/>
      </c>
      <c r="M128" s="34"/>
      <c r="N128" s="38" t="str">
        <f aca="false">IF($I128="","",IFERROR(INDEX('Nhà cung cấp'!$G$4:$G$203,MATCH($I128,'Nhà cung cấp'!$A$4:$A$203,0)),""))</f>
        <v/>
      </c>
      <c r="O128" s="33"/>
      <c r="P128" s="38" t="str">
        <f aca="false">IF($C128="","",IFERROR(_xlfn.MINIFS($L$4:$L$203,$C$4:$C$203,$C128,$L$4:$L$203,"&gt;0"),""))</f>
        <v/>
      </c>
      <c r="Q128" s="38" t="str">
        <f aca="false">IF($A128="","",IFERROR($L128-$P128,""))</f>
        <v/>
      </c>
      <c r="R128" s="38" t="str">
        <f aca="false">IF($A128="","",IFERROR($L128-$H128,""))</f>
        <v/>
      </c>
      <c r="S128" s="39" t="str">
        <f aca="false">IF($A128="","",IFERROR($R128/$H128,""))</f>
        <v/>
      </c>
      <c r="T128" s="32"/>
      <c r="U128" s="37" t="str">
        <f aca="false">IF($C128="","",IFERROR(INDEX(PR!$A$4:$A$203,MATCH($C128,PR!$C$4:$C$203,0)),""))</f>
        <v/>
      </c>
      <c r="V128" s="32"/>
    </row>
    <row r="129" customFormat="false" ht="15" hidden="false" customHeight="false" outlineLevel="0" collapsed="false">
      <c r="A129" s="32"/>
      <c r="B129" s="33"/>
      <c r="C129" s="32"/>
      <c r="D129" s="37" t="str">
        <f aca="false">IF($C129="","",IFERROR(INDEX('Check giá'!$C$4:$C$203,MATCH($C129,'Check giá'!$A$4:$A$203,0)),""))</f>
        <v/>
      </c>
      <c r="E129" s="37" t="str">
        <f aca="false">IF($C129="","",IFERROR(INDEX('Check giá'!$D$4:$D$203,MATCH($C129,'Check giá'!$A$4:$A$203,0)),""))</f>
        <v/>
      </c>
      <c r="F129" s="37" t="str">
        <f aca="false">IF($C129="","",IFERROR(INDEX('Check giá'!$F$4:$F$203,MATCH($C129,'Check giá'!$A$4:$A$203,0)),""))</f>
        <v/>
      </c>
      <c r="G129" s="38" t="str">
        <f aca="false">IF($C129="","",IFERROR(INDEX('Check giá'!$H$4:$H$203,MATCH($C129,'Check giá'!$A$4:$A$203,0)),""))</f>
        <v/>
      </c>
      <c r="H129" s="38" t="str">
        <f aca="false">IF($C129="","",IFERROR(INDEX('Check giá'!$J$4:$J$203,MATCH($C129,'Check giá'!$A$4:$A$203,0)),""))</f>
        <v/>
      </c>
      <c r="I129" s="32"/>
      <c r="J129" s="37" t="str">
        <f aca="false">IF($I129="","",IFERROR(INDEX('Nhà cung cấp'!$B$4:$B$203,MATCH($I129,'Nhà cung cấp'!$A$4:$A$203,0)),""))</f>
        <v/>
      </c>
      <c r="K129" s="34"/>
      <c r="L129" s="38" t="str">
        <f aca="false">IF($A129="","",IFERROR($G129*$K129,""))</f>
        <v/>
      </c>
      <c r="M129" s="34"/>
      <c r="N129" s="38" t="str">
        <f aca="false">IF($I129="","",IFERROR(INDEX('Nhà cung cấp'!$G$4:$G$203,MATCH($I129,'Nhà cung cấp'!$A$4:$A$203,0)),""))</f>
        <v/>
      </c>
      <c r="O129" s="33"/>
      <c r="P129" s="38" t="str">
        <f aca="false">IF($C129="","",IFERROR(_xlfn.MINIFS($L$4:$L$203,$C$4:$C$203,$C129,$L$4:$L$203,"&gt;0"),""))</f>
        <v/>
      </c>
      <c r="Q129" s="38" t="str">
        <f aca="false">IF($A129="","",IFERROR($L129-$P129,""))</f>
        <v/>
      </c>
      <c r="R129" s="38" t="str">
        <f aca="false">IF($A129="","",IFERROR($L129-$H129,""))</f>
        <v/>
      </c>
      <c r="S129" s="39" t="str">
        <f aca="false">IF($A129="","",IFERROR($R129/$H129,""))</f>
        <v/>
      </c>
      <c r="T129" s="32"/>
      <c r="U129" s="37" t="str">
        <f aca="false">IF($C129="","",IFERROR(INDEX(PR!$A$4:$A$203,MATCH($C129,PR!$C$4:$C$203,0)),""))</f>
        <v/>
      </c>
      <c r="V129" s="32"/>
    </row>
    <row r="130" customFormat="false" ht="15" hidden="false" customHeight="false" outlineLevel="0" collapsed="false">
      <c r="A130" s="32"/>
      <c r="B130" s="33"/>
      <c r="C130" s="32"/>
      <c r="D130" s="37" t="str">
        <f aca="false">IF($C130="","",IFERROR(INDEX('Check giá'!$C$4:$C$203,MATCH($C130,'Check giá'!$A$4:$A$203,0)),""))</f>
        <v/>
      </c>
      <c r="E130" s="37" t="str">
        <f aca="false">IF($C130="","",IFERROR(INDEX('Check giá'!$D$4:$D$203,MATCH($C130,'Check giá'!$A$4:$A$203,0)),""))</f>
        <v/>
      </c>
      <c r="F130" s="37" t="str">
        <f aca="false">IF($C130="","",IFERROR(INDEX('Check giá'!$F$4:$F$203,MATCH($C130,'Check giá'!$A$4:$A$203,0)),""))</f>
        <v/>
      </c>
      <c r="G130" s="38" t="str">
        <f aca="false">IF($C130="","",IFERROR(INDEX('Check giá'!$H$4:$H$203,MATCH($C130,'Check giá'!$A$4:$A$203,0)),""))</f>
        <v/>
      </c>
      <c r="H130" s="38" t="str">
        <f aca="false">IF($C130="","",IFERROR(INDEX('Check giá'!$J$4:$J$203,MATCH($C130,'Check giá'!$A$4:$A$203,0)),""))</f>
        <v/>
      </c>
      <c r="I130" s="32"/>
      <c r="J130" s="37" t="str">
        <f aca="false">IF($I130="","",IFERROR(INDEX('Nhà cung cấp'!$B$4:$B$203,MATCH($I130,'Nhà cung cấp'!$A$4:$A$203,0)),""))</f>
        <v/>
      </c>
      <c r="K130" s="34"/>
      <c r="L130" s="38" t="str">
        <f aca="false">IF($A130="","",IFERROR($G130*$K130,""))</f>
        <v/>
      </c>
      <c r="M130" s="34"/>
      <c r="N130" s="38" t="str">
        <f aca="false">IF($I130="","",IFERROR(INDEX('Nhà cung cấp'!$G$4:$G$203,MATCH($I130,'Nhà cung cấp'!$A$4:$A$203,0)),""))</f>
        <v/>
      </c>
      <c r="O130" s="33"/>
      <c r="P130" s="38" t="str">
        <f aca="false">IF($C130="","",IFERROR(_xlfn.MINIFS($L$4:$L$203,$C$4:$C$203,$C130,$L$4:$L$203,"&gt;0"),""))</f>
        <v/>
      </c>
      <c r="Q130" s="38" t="str">
        <f aca="false">IF($A130="","",IFERROR($L130-$P130,""))</f>
        <v/>
      </c>
      <c r="R130" s="38" t="str">
        <f aca="false">IF($A130="","",IFERROR($L130-$H130,""))</f>
        <v/>
      </c>
      <c r="S130" s="39" t="str">
        <f aca="false">IF($A130="","",IFERROR($R130/$H130,""))</f>
        <v/>
      </c>
      <c r="T130" s="32"/>
      <c r="U130" s="37" t="str">
        <f aca="false">IF($C130="","",IFERROR(INDEX(PR!$A$4:$A$203,MATCH($C130,PR!$C$4:$C$203,0)),""))</f>
        <v/>
      </c>
      <c r="V130" s="32"/>
    </row>
    <row r="131" customFormat="false" ht="15" hidden="false" customHeight="false" outlineLevel="0" collapsed="false">
      <c r="A131" s="32"/>
      <c r="B131" s="33"/>
      <c r="C131" s="32"/>
      <c r="D131" s="37" t="str">
        <f aca="false">IF($C131="","",IFERROR(INDEX('Check giá'!$C$4:$C$203,MATCH($C131,'Check giá'!$A$4:$A$203,0)),""))</f>
        <v/>
      </c>
      <c r="E131" s="37" t="str">
        <f aca="false">IF($C131="","",IFERROR(INDEX('Check giá'!$D$4:$D$203,MATCH($C131,'Check giá'!$A$4:$A$203,0)),""))</f>
        <v/>
      </c>
      <c r="F131" s="37" t="str">
        <f aca="false">IF($C131="","",IFERROR(INDEX('Check giá'!$F$4:$F$203,MATCH($C131,'Check giá'!$A$4:$A$203,0)),""))</f>
        <v/>
      </c>
      <c r="G131" s="38" t="str">
        <f aca="false">IF($C131="","",IFERROR(INDEX('Check giá'!$H$4:$H$203,MATCH($C131,'Check giá'!$A$4:$A$203,0)),""))</f>
        <v/>
      </c>
      <c r="H131" s="38" t="str">
        <f aca="false">IF($C131="","",IFERROR(INDEX('Check giá'!$J$4:$J$203,MATCH($C131,'Check giá'!$A$4:$A$203,0)),""))</f>
        <v/>
      </c>
      <c r="I131" s="32"/>
      <c r="J131" s="37" t="str">
        <f aca="false">IF($I131="","",IFERROR(INDEX('Nhà cung cấp'!$B$4:$B$203,MATCH($I131,'Nhà cung cấp'!$A$4:$A$203,0)),""))</f>
        <v/>
      </c>
      <c r="K131" s="34"/>
      <c r="L131" s="38" t="str">
        <f aca="false">IF($A131="","",IFERROR($G131*$K131,""))</f>
        <v/>
      </c>
      <c r="M131" s="34"/>
      <c r="N131" s="38" t="str">
        <f aca="false">IF($I131="","",IFERROR(INDEX('Nhà cung cấp'!$G$4:$G$203,MATCH($I131,'Nhà cung cấp'!$A$4:$A$203,0)),""))</f>
        <v/>
      </c>
      <c r="O131" s="33"/>
      <c r="P131" s="38" t="str">
        <f aca="false">IF($C131="","",IFERROR(_xlfn.MINIFS($L$4:$L$203,$C$4:$C$203,$C131,$L$4:$L$203,"&gt;0"),""))</f>
        <v/>
      </c>
      <c r="Q131" s="38" t="str">
        <f aca="false">IF($A131="","",IFERROR($L131-$P131,""))</f>
        <v/>
      </c>
      <c r="R131" s="38" t="str">
        <f aca="false">IF($A131="","",IFERROR($L131-$H131,""))</f>
        <v/>
      </c>
      <c r="S131" s="39" t="str">
        <f aca="false">IF($A131="","",IFERROR($R131/$H131,""))</f>
        <v/>
      </c>
      <c r="T131" s="32"/>
      <c r="U131" s="37" t="str">
        <f aca="false">IF($C131="","",IFERROR(INDEX(PR!$A$4:$A$203,MATCH($C131,PR!$C$4:$C$203,0)),""))</f>
        <v/>
      </c>
      <c r="V131" s="32"/>
    </row>
    <row r="132" customFormat="false" ht="15" hidden="false" customHeight="false" outlineLevel="0" collapsed="false">
      <c r="A132" s="32"/>
      <c r="B132" s="33"/>
      <c r="C132" s="32"/>
      <c r="D132" s="37" t="str">
        <f aca="false">IF($C132="","",IFERROR(INDEX('Check giá'!$C$4:$C$203,MATCH($C132,'Check giá'!$A$4:$A$203,0)),""))</f>
        <v/>
      </c>
      <c r="E132" s="37" t="str">
        <f aca="false">IF($C132="","",IFERROR(INDEX('Check giá'!$D$4:$D$203,MATCH($C132,'Check giá'!$A$4:$A$203,0)),""))</f>
        <v/>
      </c>
      <c r="F132" s="37" t="str">
        <f aca="false">IF($C132="","",IFERROR(INDEX('Check giá'!$F$4:$F$203,MATCH($C132,'Check giá'!$A$4:$A$203,0)),""))</f>
        <v/>
      </c>
      <c r="G132" s="38" t="str">
        <f aca="false">IF($C132="","",IFERROR(INDEX('Check giá'!$H$4:$H$203,MATCH($C132,'Check giá'!$A$4:$A$203,0)),""))</f>
        <v/>
      </c>
      <c r="H132" s="38" t="str">
        <f aca="false">IF($C132="","",IFERROR(INDEX('Check giá'!$J$4:$J$203,MATCH($C132,'Check giá'!$A$4:$A$203,0)),""))</f>
        <v/>
      </c>
      <c r="I132" s="32"/>
      <c r="J132" s="37" t="str">
        <f aca="false">IF($I132="","",IFERROR(INDEX('Nhà cung cấp'!$B$4:$B$203,MATCH($I132,'Nhà cung cấp'!$A$4:$A$203,0)),""))</f>
        <v/>
      </c>
      <c r="K132" s="34"/>
      <c r="L132" s="38" t="str">
        <f aca="false">IF($A132="","",IFERROR($G132*$K132,""))</f>
        <v/>
      </c>
      <c r="M132" s="34"/>
      <c r="N132" s="38" t="str">
        <f aca="false">IF($I132="","",IFERROR(INDEX('Nhà cung cấp'!$G$4:$G$203,MATCH($I132,'Nhà cung cấp'!$A$4:$A$203,0)),""))</f>
        <v/>
      </c>
      <c r="O132" s="33"/>
      <c r="P132" s="38" t="str">
        <f aca="false">IF($C132="","",IFERROR(_xlfn.MINIFS($L$4:$L$203,$C$4:$C$203,$C132,$L$4:$L$203,"&gt;0"),""))</f>
        <v/>
      </c>
      <c r="Q132" s="38" t="str">
        <f aca="false">IF($A132="","",IFERROR($L132-$P132,""))</f>
        <v/>
      </c>
      <c r="R132" s="38" t="str">
        <f aca="false">IF($A132="","",IFERROR($L132-$H132,""))</f>
        <v/>
      </c>
      <c r="S132" s="39" t="str">
        <f aca="false">IF($A132="","",IFERROR($R132/$H132,""))</f>
        <v/>
      </c>
      <c r="T132" s="32"/>
      <c r="U132" s="37" t="str">
        <f aca="false">IF($C132="","",IFERROR(INDEX(PR!$A$4:$A$203,MATCH($C132,PR!$C$4:$C$203,0)),""))</f>
        <v/>
      </c>
      <c r="V132" s="32"/>
    </row>
    <row r="133" customFormat="false" ht="15" hidden="false" customHeight="false" outlineLevel="0" collapsed="false">
      <c r="A133" s="32"/>
      <c r="B133" s="33"/>
      <c r="C133" s="32"/>
      <c r="D133" s="37" t="str">
        <f aca="false">IF($C133="","",IFERROR(INDEX('Check giá'!$C$4:$C$203,MATCH($C133,'Check giá'!$A$4:$A$203,0)),""))</f>
        <v/>
      </c>
      <c r="E133" s="37" t="str">
        <f aca="false">IF($C133="","",IFERROR(INDEX('Check giá'!$D$4:$D$203,MATCH($C133,'Check giá'!$A$4:$A$203,0)),""))</f>
        <v/>
      </c>
      <c r="F133" s="37" t="str">
        <f aca="false">IF($C133="","",IFERROR(INDEX('Check giá'!$F$4:$F$203,MATCH($C133,'Check giá'!$A$4:$A$203,0)),""))</f>
        <v/>
      </c>
      <c r="G133" s="38" t="str">
        <f aca="false">IF($C133="","",IFERROR(INDEX('Check giá'!$H$4:$H$203,MATCH($C133,'Check giá'!$A$4:$A$203,0)),""))</f>
        <v/>
      </c>
      <c r="H133" s="38" t="str">
        <f aca="false">IF($C133="","",IFERROR(INDEX('Check giá'!$J$4:$J$203,MATCH($C133,'Check giá'!$A$4:$A$203,0)),""))</f>
        <v/>
      </c>
      <c r="I133" s="32"/>
      <c r="J133" s="37" t="str">
        <f aca="false">IF($I133="","",IFERROR(INDEX('Nhà cung cấp'!$B$4:$B$203,MATCH($I133,'Nhà cung cấp'!$A$4:$A$203,0)),""))</f>
        <v/>
      </c>
      <c r="K133" s="34"/>
      <c r="L133" s="38" t="str">
        <f aca="false">IF($A133="","",IFERROR($G133*$K133,""))</f>
        <v/>
      </c>
      <c r="M133" s="34"/>
      <c r="N133" s="38" t="str">
        <f aca="false">IF($I133="","",IFERROR(INDEX('Nhà cung cấp'!$G$4:$G$203,MATCH($I133,'Nhà cung cấp'!$A$4:$A$203,0)),""))</f>
        <v/>
      </c>
      <c r="O133" s="33"/>
      <c r="P133" s="38" t="str">
        <f aca="false">IF($C133="","",IFERROR(_xlfn.MINIFS($L$4:$L$203,$C$4:$C$203,$C133,$L$4:$L$203,"&gt;0"),""))</f>
        <v/>
      </c>
      <c r="Q133" s="38" t="str">
        <f aca="false">IF($A133="","",IFERROR($L133-$P133,""))</f>
        <v/>
      </c>
      <c r="R133" s="38" t="str">
        <f aca="false">IF($A133="","",IFERROR($L133-$H133,""))</f>
        <v/>
      </c>
      <c r="S133" s="39" t="str">
        <f aca="false">IF($A133="","",IFERROR($R133/$H133,""))</f>
        <v/>
      </c>
      <c r="T133" s="32"/>
      <c r="U133" s="37" t="str">
        <f aca="false">IF($C133="","",IFERROR(INDEX(PR!$A$4:$A$203,MATCH($C133,PR!$C$4:$C$203,0)),""))</f>
        <v/>
      </c>
      <c r="V133" s="32"/>
    </row>
    <row r="134" customFormat="false" ht="15" hidden="false" customHeight="false" outlineLevel="0" collapsed="false">
      <c r="A134" s="32"/>
      <c r="B134" s="33"/>
      <c r="C134" s="32"/>
      <c r="D134" s="37" t="str">
        <f aca="false">IF($C134="","",IFERROR(INDEX('Check giá'!$C$4:$C$203,MATCH($C134,'Check giá'!$A$4:$A$203,0)),""))</f>
        <v/>
      </c>
      <c r="E134" s="37" t="str">
        <f aca="false">IF($C134="","",IFERROR(INDEX('Check giá'!$D$4:$D$203,MATCH($C134,'Check giá'!$A$4:$A$203,0)),""))</f>
        <v/>
      </c>
      <c r="F134" s="37" t="str">
        <f aca="false">IF($C134="","",IFERROR(INDEX('Check giá'!$F$4:$F$203,MATCH($C134,'Check giá'!$A$4:$A$203,0)),""))</f>
        <v/>
      </c>
      <c r="G134" s="38" t="str">
        <f aca="false">IF($C134="","",IFERROR(INDEX('Check giá'!$H$4:$H$203,MATCH($C134,'Check giá'!$A$4:$A$203,0)),""))</f>
        <v/>
      </c>
      <c r="H134" s="38" t="str">
        <f aca="false">IF($C134="","",IFERROR(INDEX('Check giá'!$J$4:$J$203,MATCH($C134,'Check giá'!$A$4:$A$203,0)),""))</f>
        <v/>
      </c>
      <c r="I134" s="32"/>
      <c r="J134" s="37" t="str">
        <f aca="false">IF($I134="","",IFERROR(INDEX('Nhà cung cấp'!$B$4:$B$203,MATCH($I134,'Nhà cung cấp'!$A$4:$A$203,0)),""))</f>
        <v/>
      </c>
      <c r="K134" s="34"/>
      <c r="L134" s="38" t="str">
        <f aca="false">IF($A134="","",IFERROR($G134*$K134,""))</f>
        <v/>
      </c>
      <c r="M134" s="34"/>
      <c r="N134" s="38" t="str">
        <f aca="false">IF($I134="","",IFERROR(INDEX('Nhà cung cấp'!$G$4:$G$203,MATCH($I134,'Nhà cung cấp'!$A$4:$A$203,0)),""))</f>
        <v/>
      </c>
      <c r="O134" s="33"/>
      <c r="P134" s="38" t="str">
        <f aca="false">IF($C134="","",IFERROR(_xlfn.MINIFS($L$4:$L$203,$C$4:$C$203,$C134,$L$4:$L$203,"&gt;0"),""))</f>
        <v/>
      </c>
      <c r="Q134" s="38" t="str">
        <f aca="false">IF($A134="","",IFERROR($L134-$P134,""))</f>
        <v/>
      </c>
      <c r="R134" s="38" t="str">
        <f aca="false">IF($A134="","",IFERROR($L134-$H134,""))</f>
        <v/>
      </c>
      <c r="S134" s="39" t="str">
        <f aca="false">IF($A134="","",IFERROR($R134/$H134,""))</f>
        <v/>
      </c>
      <c r="T134" s="32"/>
      <c r="U134" s="37" t="str">
        <f aca="false">IF($C134="","",IFERROR(INDEX(PR!$A$4:$A$203,MATCH($C134,PR!$C$4:$C$203,0)),""))</f>
        <v/>
      </c>
      <c r="V134" s="32"/>
    </row>
    <row r="135" customFormat="false" ht="15" hidden="false" customHeight="false" outlineLevel="0" collapsed="false">
      <c r="A135" s="32"/>
      <c r="B135" s="33"/>
      <c r="C135" s="32"/>
      <c r="D135" s="37" t="str">
        <f aca="false">IF($C135="","",IFERROR(INDEX('Check giá'!$C$4:$C$203,MATCH($C135,'Check giá'!$A$4:$A$203,0)),""))</f>
        <v/>
      </c>
      <c r="E135" s="37" t="str">
        <f aca="false">IF($C135="","",IFERROR(INDEX('Check giá'!$D$4:$D$203,MATCH($C135,'Check giá'!$A$4:$A$203,0)),""))</f>
        <v/>
      </c>
      <c r="F135" s="37" t="str">
        <f aca="false">IF($C135="","",IFERROR(INDEX('Check giá'!$F$4:$F$203,MATCH($C135,'Check giá'!$A$4:$A$203,0)),""))</f>
        <v/>
      </c>
      <c r="G135" s="38" t="str">
        <f aca="false">IF($C135="","",IFERROR(INDEX('Check giá'!$H$4:$H$203,MATCH($C135,'Check giá'!$A$4:$A$203,0)),""))</f>
        <v/>
      </c>
      <c r="H135" s="38" t="str">
        <f aca="false">IF($C135="","",IFERROR(INDEX('Check giá'!$J$4:$J$203,MATCH($C135,'Check giá'!$A$4:$A$203,0)),""))</f>
        <v/>
      </c>
      <c r="I135" s="32"/>
      <c r="J135" s="37" t="str">
        <f aca="false">IF($I135="","",IFERROR(INDEX('Nhà cung cấp'!$B$4:$B$203,MATCH($I135,'Nhà cung cấp'!$A$4:$A$203,0)),""))</f>
        <v/>
      </c>
      <c r="K135" s="34"/>
      <c r="L135" s="38" t="str">
        <f aca="false">IF($A135="","",IFERROR($G135*$K135,""))</f>
        <v/>
      </c>
      <c r="M135" s="34"/>
      <c r="N135" s="38" t="str">
        <f aca="false">IF($I135="","",IFERROR(INDEX('Nhà cung cấp'!$G$4:$G$203,MATCH($I135,'Nhà cung cấp'!$A$4:$A$203,0)),""))</f>
        <v/>
      </c>
      <c r="O135" s="33"/>
      <c r="P135" s="38" t="str">
        <f aca="false">IF($C135="","",IFERROR(_xlfn.MINIFS($L$4:$L$203,$C$4:$C$203,$C135,$L$4:$L$203,"&gt;0"),""))</f>
        <v/>
      </c>
      <c r="Q135" s="38" t="str">
        <f aca="false">IF($A135="","",IFERROR($L135-$P135,""))</f>
        <v/>
      </c>
      <c r="R135" s="38" t="str">
        <f aca="false">IF($A135="","",IFERROR($L135-$H135,""))</f>
        <v/>
      </c>
      <c r="S135" s="39" t="str">
        <f aca="false">IF($A135="","",IFERROR($R135/$H135,""))</f>
        <v/>
      </c>
      <c r="T135" s="32"/>
      <c r="U135" s="37" t="str">
        <f aca="false">IF($C135="","",IFERROR(INDEX(PR!$A$4:$A$203,MATCH($C135,PR!$C$4:$C$203,0)),""))</f>
        <v/>
      </c>
      <c r="V135" s="32"/>
    </row>
    <row r="136" customFormat="false" ht="15" hidden="false" customHeight="false" outlineLevel="0" collapsed="false">
      <c r="A136" s="32"/>
      <c r="B136" s="33"/>
      <c r="C136" s="32"/>
      <c r="D136" s="37" t="str">
        <f aca="false">IF($C136="","",IFERROR(INDEX('Check giá'!$C$4:$C$203,MATCH($C136,'Check giá'!$A$4:$A$203,0)),""))</f>
        <v/>
      </c>
      <c r="E136" s="37" t="str">
        <f aca="false">IF($C136="","",IFERROR(INDEX('Check giá'!$D$4:$D$203,MATCH($C136,'Check giá'!$A$4:$A$203,0)),""))</f>
        <v/>
      </c>
      <c r="F136" s="37" t="str">
        <f aca="false">IF($C136="","",IFERROR(INDEX('Check giá'!$F$4:$F$203,MATCH($C136,'Check giá'!$A$4:$A$203,0)),""))</f>
        <v/>
      </c>
      <c r="G136" s="38" t="str">
        <f aca="false">IF($C136="","",IFERROR(INDEX('Check giá'!$H$4:$H$203,MATCH($C136,'Check giá'!$A$4:$A$203,0)),""))</f>
        <v/>
      </c>
      <c r="H136" s="38" t="str">
        <f aca="false">IF($C136="","",IFERROR(INDEX('Check giá'!$J$4:$J$203,MATCH($C136,'Check giá'!$A$4:$A$203,0)),""))</f>
        <v/>
      </c>
      <c r="I136" s="32"/>
      <c r="J136" s="37" t="str">
        <f aca="false">IF($I136="","",IFERROR(INDEX('Nhà cung cấp'!$B$4:$B$203,MATCH($I136,'Nhà cung cấp'!$A$4:$A$203,0)),""))</f>
        <v/>
      </c>
      <c r="K136" s="34"/>
      <c r="L136" s="38" t="str">
        <f aca="false">IF($A136="","",IFERROR($G136*$K136,""))</f>
        <v/>
      </c>
      <c r="M136" s="34"/>
      <c r="N136" s="38" t="str">
        <f aca="false">IF($I136="","",IFERROR(INDEX('Nhà cung cấp'!$G$4:$G$203,MATCH($I136,'Nhà cung cấp'!$A$4:$A$203,0)),""))</f>
        <v/>
      </c>
      <c r="O136" s="33"/>
      <c r="P136" s="38" t="str">
        <f aca="false">IF($C136="","",IFERROR(_xlfn.MINIFS($L$4:$L$203,$C$4:$C$203,$C136,$L$4:$L$203,"&gt;0"),""))</f>
        <v/>
      </c>
      <c r="Q136" s="38" t="str">
        <f aca="false">IF($A136="","",IFERROR($L136-$P136,""))</f>
        <v/>
      </c>
      <c r="R136" s="38" t="str">
        <f aca="false">IF($A136="","",IFERROR($L136-$H136,""))</f>
        <v/>
      </c>
      <c r="S136" s="39" t="str">
        <f aca="false">IF($A136="","",IFERROR($R136/$H136,""))</f>
        <v/>
      </c>
      <c r="T136" s="32"/>
      <c r="U136" s="37" t="str">
        <f aca="false">IF($C136="","",IFERROR(INDEX(PR!$A$4:$A$203,MATCH($C136,PR!$C$4:$C$203,0)),""))</f>
        <v/>
      </c>
      <c r="V136" s="32"/>
    </row>
    <row r="137" customFormat="false" ht="15" hidden="false" customHeight="false" outlineLevel="0" collapsed="false">
      <c r="A137" s="32"/>
      <c r="B137" s="33"/>
      <c r="C137" s="32"/>
      <c r="D137" s="37" t="str">
        <f aca="false">IF($C137="","",IFERROR(INDEX('Check giá'!$C$4:$C$203,MATCH($C137,'Check giá'!$A$4:$A$203,0)),""))</f>
        <v/>
      </c>
      <c r="E137" s="37" t="str">
        <f aca="false">IF($C137="","",IFERROR(INDEX('Check giá'!$D$4:$D$203,MATCH($C137,'Check giá'!$A$4:$A$203,0)),""))</f>
        <v/>
      </c>
      <c r="F137" s="37" t="str">
        <f aca="false">IF($C137="","",IFERROR(INDEX('Check giá'!$F$4:$F$203,MATCH($C137,'Check giá'!$A$4:$A$203,0)),""))</f>
        <v/>
      </c>
      <c r="G137" s="38" t="str">
        <f aca="false">IF($C137="","",IFERROR(INDEX('Check giá'!$H$4:$H$203,MATCH($C137,'Check giá'!$A$4:$A$203,0)),""))</f>
        <v/>
      </c>
      <c r="H137" s="38" t="str">
        <f aca="false">IF($C137="","",IFERROR(INDEX('Check giá'!$J$4:$J$203,MATCH($C137,'Check giá'!$A$4:$A$203,0)),""))</f>
        <v/>
      </c>
      <c r="I137" s="32"/>
      <c r="J137" s="37" t="str">
        <f aca="false">IF($I137="","",IFERROR(INDEX('Nhà cung cấp'!$B$4:$B$203,MATCH($I137,'Nhà cung cấp'!$A$4:$A$203,0)),""))</f>
        <v/>
      </c>
      <c r="K137" s="34"/>
      <c r="L137" s="38" t="str">
        <f aca="false">IF($A137="","",IFERROR($G137*$K137,""))</f>
        <v/>
      </c>
      <c r="M137" s="34"/>
      <c r="N137" s="38" t="str">
        <f aca="false">IF($I137="","",IFERROR(INDEX('Nhà cung cấp'!$G$4:$G$203,MATCH($I137,'Nhà cung cấp'!$A$4:$A$203,0)),""))</f>
        <v/>
      </c>
      <c r="O137" s="33"/>
      <c r="P137" s="38" t="str">
        <f aca="false">IF($C137="","",IFERROR(_xlfn.MINIFS($L$4:$L$203,$C$4:$C$203,$C137,$L$4:$L$203,"&gt;0"),""))</f>
        <v/>
      </c>
      <c r="Q137" s="38" t="str">
        <f aca="false">IF($A137="","",IFERROR($L137-$P137,""))</f>
        <v/>
      </c>
      <c r="R137" s="38" t="str">
        <f aca="false">IF($A137="","",IFERROR($L137-$H137,""))</f>
        <v/>
      </c>
      <c r="S137" s="39" t="str">
        <f aca="false">IF($A137="","",IFERROR($R137/$H137,""))</f>
        <v/>
      </c>
      <c r="T137" s="32"/>
      <c r="U137" s="37" t="str">
        <f aca="false">IF($C137="","",IFERROR(INDEX(PR!$A$4:$A$203,MATCH($C137,PR!$C$4:$C$203,0)),""))</f>
        <v/>
      </c>
      <c r="V137" s="32"/>
    </row>
    <row r="138" customFormat="false" ht="15" hidden="false" customHeight="false" outlineLevel="0" collapsed="false">
      <c r="A138" s="32"/>
      <c r="B138" s="33"/>
      <c r="C138" s="32"/>
      <c r="D138" s="37" t="str">
        <f aca="false">IF($C138="","",IFERROR(INDEX('Check giá'!$C$4:$C$203,MATCH($C138,'Check giá'!$A$4:$A$203,0)),""))</f>
        <v/>
      </c>
      <c r="E138" s="37" t="str">
        <f aca="false">IF($C138="","",IFERROR(INDEX('Check giá'!$D$4:$D$203,MATCH($C138,'Check giá'!$A$4:$A$203,0)),""))</f>
        <v/>
      </c>
      <c r="F138" s="37" t="str">
        <f aca="false">IF($C138="","",IFERROR(INDEX('Check giá'!$F$4:$F$203,MATCH($C138,'Check giá'!$A$4:$A$203,0)),""))</f>
        <v/>
      </c>
      <c r="G138" s="38" t="str">
        <f aca="false">IF($C138="","",IFERROR(INDEX('Check giá'!$H$4:$H$203,MATCH($C138,'Check giá'!$A$4:$A$203,0)),""))</f>
        <v/>
      </c>
      <c r="H138" s="38" t="str">
        <f aca="false">IF($C138="","",IFERROR(INDEX('Check giá'!$J$4:$J$203,MATCH($C138,'Check giá'!$A$4:$A$203,0)),""))</f>
        <v/>
      </c>
      <c r="I138" s="32"/>
      <c r="J138" s="37" t="str">
        <f aca="false">IF($I138="","",IFERROR(INDEX('Nhà cung cấp'!$B$4:$B$203,MATCH($I138,'Nhà cung cấp'!$A$4:$A$203,0)),""))</f>
        <v/>
      </c>
      <c r="K138" s="34"/>
      <c r="L138" s="38" t="str">
        <f aca="false">IF($A138="","",IFERROR($G138*$K138,""))</f>
        <v/>
      </c>
      <c r="M138" s="34"/>
      <c r="N138" s="38" t="str">
        <f aca="false">IF($I138="","",IFERROR(INDEX('Nhà cung cấp'!$G$4:$G$203,MATCH($I138,'Nhà cung cấp'!$A$4:$A$203,0)),""))</f>
        <v/>
      </c>
      <c r="O138" s="33"/>
      <c r="P138" s="38" t="str">
        <f aca="false">IF($C138="","",IFERROR(_xlfn.MINIFS($L$4:$L$203,$C$4:$C$203,$C138,$L$4:$L$203,"&gt;0"),""))</f>
        <v/>
      </c>
      <c r="Q138" s="38" t="str">
        <f aca="false">IF($A138="","",IFERROR($L138-$P138,""))</f>
        <v/>
      </c>
      <c r="R138" s="38" t="str">
        <f aca="false">IF($A138="","",IFERROR($L138-$H138,""))</f>
        <v/>
      </c>
      <c r="S138" s="39" t="str">
        <f aca="false">IF($A138="","",IFERROR($R138/$H138,""))</f>
        <v/>
      </c>
      <c r="T138" s="32"/>
      <c r="U138" s="37" t="str">
        <f aca="false">IF($C138="","",IFERROR(INDEX(PR!$A$4:$A$203,MATCH($C138,PR!$C$4:$C$203,0)),""))</f>
        <v/>
      </c>
      <c r="V138" s="32"/>
    </row>
    <row r="139" customFormat="false" ht="15" hidden="false" customHeight="false" outlineLevel="0" collapsed="false">
      <c r="A139" s="32"/>
      <c r="B139" s="33"/>
      <c r="C139" s="32"/>
      <c r="D139" s="37" t="str">
        <f aca="false">IF($C139="","",IFERROR(INDEX('Check giá'!$C$4:$C$203,MATCH($C139,'Check giá'!$A$4:$A$203,0)),""))</f>
        <v/>
      </c>
      <c r="E139" s="37" t="str">
        <f aca="false">IF($C139="","",IFERROR(INDEX('Check giá'!$D$4:$D$203,MATCH($C139,'Check giá'!$A$4:$A$203,0)),""))</f>
        <v/>
      </c>
      <c r="F139" s="37" t="str">
        <f aca="false">IF($C139="","",IFERROR(INDEX('Check giá'!$F$4:$F$203,MATCH($C139,'Check giá'!$A$4:$A$203,0)),""))</f>
        <v/>
      </c>
      <c r="G139" s="38" t="str">
        <f aca="false">IF($C139="","",IFERROR(INDEX('Check giá'!$H$4:$H$203,MATCH($C139,'Check giá'!$A$4:$A$203,0)),""))</f>
        <v/>
      </c>
      <c r="H139" s="38" t="str">
        <f aca="false">IF($C139="","",IFERROR(INDEX('Check giá'!$J$4:$J$203,MATCH($C139,'Check giá'!$A$4:$A$203,0)),""))</f>
        <v/>
      </c>
      <c r="I139" s="32"/>
      <c r="J139" s="37" t="str">
        <f aca="false">IF($I139="","",IFERROR(INDEX('Nhà cung cấp'!$B$4:$B$203,MATCH($I139,'Nhà cung cấp'!$A$4:$A$203,0)),""))</f>
        <v/>
      </c>
      <c r="K139" s="34"/>
      <c r="L139" s="38" t="str">
        <f aca="false">IF($A139="","",IFERROR($G139*$K139,""))</f>
        <v/>
      </c>
      <c r="M139" s="34"/>
      <c r="N139" s="38" t="str">
        <f aca="false">IF($I139="","",IFERROR(INDEX('Nhà cung cấp'!$G$4:$G$203,MATCH($I139,'Nhà cung cấp'!$A$4:$A$203,0)),""))</f>
        <v/>
      </c>
      <c r="O139" s="33"/>
      <c r="P139" s="38" t="str">
        <f aca="false">IF($C139="","",IFERROR(_xlfn.MINIFS($L$4:$L$203,$C$4:$C$203,$C139,$L$4:$L$203,"&gt;0"),""))</f>
        <v/>
      </c>
      <c r="Q139" s="38" t="str">
        <f aca="false">IF($A139="","",IFERROR($L139-$P139,""))</f>
        <v/>
      </c>
      <c r="R139" s="38" t="str">
        <f aca="false">IF($A139="","",IFERROR($L139-$H139,""))</f>
        <v/>
      </c>
      <c r="S139" s="39" t="str">
        <f aca="false">IF($A139="","",IFERROR($R139/$H139,""))</f>
        <v/>
      </c>
      <c r="T139" s="32"/>
      <c r="U139" s="37" t="str">
        <f aca="false">IF($C139="","",IFERROR(INDEX(PR!$A$4:$A$203,MATCH($C139,PR!$C$4:$C$203,0)),""))</f>
        <v/>
      </c>
      <c r="V139" s="32"/>
    </row>
    <row r="140" customFormat="false" ht="15" hidden="false" customHeight="false" outlineLevel="0" collapsed="false">
      <c r="A140" s="32"/>
      <c r="B140" s="33"/>
      <c r="C140" s="32"/>
      <c r="D140" s="37" t="str">
        <f aca="false">IF($C140="","",IFERROR(INDEX('Check giá'!$C$4:$C$203,MATCH($C140,'Check giá'!$A$4:$A$203,0)),""))</f>
        <v/>
      </c>
      <c r="E140" s="37" t="str">
        <f aca="false">IF($C140="","",IFERROR(INDEX('Check giá'!$D$4:$D$203,MATCH($C140,'Check giá'!$A$4:$A$203,0)),""))</f>
        <v/>
      </c>
      <c r="F140" s="37" t="str">
        <f aca="false">IF($C140="","",IFERROR(INDEX('Check giá'!$F$4:$F$203,MATCH($C140,'Check giá'!$A$4:$A$203,0)),""))</f>
        <v/>
      </c>
      <c r="G140" s="38" t="str">
        <f aca="false">IF($C140="","",IFERROR(INDEX('Check giá'!$H$4:$H$203,MATCH($C140,'Check giá'!$A$4:$A$203,0)),""))</f>
        <v/>
      </c>
      <c r="H140" s="38" t="str">
        <f aca="false">IF($C140="","",IFERROR(INDEX('Check giá'!$J$4:$J$203,MATCH($C140,'Check giá'!$A$4:$A$203,0)),""))</f>
        <v/>
      </c>
      <c r="I140" s="32"/>
      <c r="J140" s="37" t="str">
        <f aca="false">IF($I140="","",IFERROR(INDEX('Nhà cung cấp'!$B$4:$B$203,MATCH($I140,'Nhà cung cấp'!$A$4:$A$203,0)),""))</f>
        <v/>
      </c>
      <c r="K140" s="34"/>
      <c r="L140" s="38" t="str">
        <f aca="false">IF($A140="","",IFERROR($G140*$K140,""))</f>
        <v/>
      </c>
      <c r="M140" s="34"/>
      <c r="N140" s="38" t="str">
        <f aca="false">IF($I140="","",IFERROR(INDEX('Nhà cung cấp'!$G$4:$G$203,MATCH($I140,'Nhà cung cấp'!$A$4:$A$203,0)),""))</f>
        <v/>
      </c>
      <c r="O140" s="33"/>
      <c r="P140" s="38" t="str">
        <f aca="false">IF($C140="","",IFERROR(_xlfn.MINIFS($L$4:$L$203,$C$4:$C$203,$C140,$L$4:$L$203,"&gt;0"),""))</f>
        <v/>
      </c>
      <c r="Q140" s="38" t="str">
        <f aca="false">IF($A140="","",IFERROR($L140-$P140,""))</f>
        <v/>
      </c>
      <c r="R140" s="38" t="str">
        <f aca="false">IF($A140="","",IFERROR($L140-$H140,""))</f>
        <v/>
      </c>
      <c r="S140" s="39" t="str">
        <f aca="false">IF($A140="","",IFERROR($R140/$H140,""))</f>
        <v/>
      </c>
      <c r="T140" s="32"/>
      <c r="U140" s="37" t="str">
        <f aca="false">IF($C140="","",IFERROR(INDEX(PR!$A$4:$A$203,MATCH($C140,PR!$C$4:$C$203,0)),""))</f>
        <v/>
      </c>
      <c r="V140" s="32"/>
    </row>
    <row r="141" customFormat="false" ht="15" hidden="false" customHeight="false" outlineLevel="0" collapsed="false">
      <c r="A141" s="32"/>
      <c r="B141" s="33"/>
      <c r="C141" s="32"/>
      <c r="D141" s="37" t="str">
        <f aca="false">IF($C141="","",IFERROR(INDEX('Check giá'!$C$4:$C$203,MATCH($C141,'Check giá'!$A$4:$A$203,0)),""))</f>
        <v/>
      </c>
      <c r="E141" s="37" t="str">
        <f aca="false">IF($C141="","",IFERROR(INDEX('Check giá'!$D$4:$D$203,MATCH($C141,'Check giá'!$A$4:$A$203,0)),""))</f>
        <v/>
      </c>
      <c r="F141" s="37" t="str">
        <f aca="false">IF($C141="","",IFERROR(INDEX('Check giá'!$F$4:$F$203,MATCH($C141,'Check giá'!$A$4:$A$203,0)),""))</f>
        <v/>
      </c>
      <c r="G141" s="38" t="str">
        <f aca="false">IF($C141="","",IFERROR(INDEX('Check giá'!$H$4:$H$203,MATCH($C141,'Check giá'!$A$4:$A$203,0)),""))</f>
        <v/>
      </c>
      <c r="H141" s="38" t="str">
        <f aca="false">IF($C141="","",IFERROR(INDEX('Check giá'!$J$4:$J$203,MATCH($C141,'Check giá'!$A$4:$A$203,0)),""))</f>
        <v/>
      </c>
      <c r="I141" s="32"/>
      <c r="J141" s="37" t="str">
        <f aca="false">IF($I141="","",IFERROR(INDEX('Nhà cung cấp'!$B$4:$B$203,MATCH($I141,'Nhà cung cấp'!$A$4:$A$203,0)),""))</f>
        <v/>
      </c>
      <c r="K141" s="34"/>
      <c r="L141" s="38" t="str">
        <f aca="false">IF($A141="","",IFERROR($G141*$K141,""))</f>
        <v/>
      </c>
      <c r="M141" s="34"/>
      <c r="N141" s="38" t="str">
        <f aca="false">IF($I141="","",IFERROR(INDEX('Nhà cung cấp'!$G$4:$G$203,MATCH($I141,'Nhà cung cấp'!$A$4:$A$203,0)),""))</f>
        <v/>
      </c>
      <c r="O141" s="33"/>
      <c r="P141" s="38" t="str">
        <f aca="false">IF($C141="","",IFERROR(_xlfn.MINIFS($L$4:$L$203,$C$4:$C$203,$C141,$L$4:$L$203,"&gt;0"),""))</f>
        <v/>
      </c>
      <c r="Q141" s="38" t="str">
        <f aca="false">IF($A141="","",IFERROR($L141-$P141,""))</f>
        <v/>
      </c>
      <c r="R141" s="38" t="str">
        <f aca="false">IF($A141="","",IFERROR($L141-$H141,""))</f>
        <v/>
      </c>
      <c r="S141" s="39" t="str">
        <f aca="false">IF($A141="","",IFERROR($R141/$H141,""))</f>
        <v/>
      </c>
      <c r="T141" s="32"/>
      <c r="U141" s="37" t="str">
        <f aca="false">IF($C141="","",IFERROR(INDEX(PR!$A$4:$A$203,MATCH($C141,PR!$C$4:$C$203,0)),""))</f>
        <v/>
      </c>
      <c r="V141" s="32"/>
    </row>
    <row r="142" customFormat="false" ht="15" hidden="false" customHeight="false" outlineLevel="0" collapsed="false">
      <c r="A142" s="32"/>
      <c r="B142" s="33"/>
      <c r="C142" s="32"/>
      <c r="D142" s="37" t="str">
        <f aca="false">IF($C142="","",IFERROR(INDEX('Check giá'!$C$4:$C$203,MATCH($C142,'Check giá'!$A$4:$A$203,0)),""))</f>
        <v/>
      </c>
      <c r="E142" s="37" t="str">
        <f aca="false">IF($C142="","",IFERROR(INDEX('Check giá'!$D$4:$D$203,MATCH($C142,'Check giá'!$A$4:$A$203,0)),""))</f>
        <v/>
      </c>
      <c r="F142" s="37" t="str">
        <f aca="false">IF($C142="","",IFERROR(INDEX('Check giá'!$F$4:$F$203,MATCH($C142,'Check giá'!$A$4:$A$203,0)),""))</f>
        <v/>
      </c>
      <c r="G142" s="38" t="str">
        <f aca="false">IF($C142="","",IFERROR(INDEX('Check giá'!$H$4:$H$203,MATCH($C142,'Check giá'!$A$4:$A$203,0)),""))</f>
        <v/>
      </c>
      <c r="H142" s="38" t="str">
        <f aca="false">IF($C142="","",IFERROR(INDEX('Check giá'!$J$4:$J$203,MATCH($C142,'Check giá'!$A$4:$A$203,0)),""))</f>
        <v/>
      </c>
      <c r="I142" s="32"/>
      <c r="J142" s="37" t="str">
        <f aca="false">IF($I142="","",IFERROR(INDEX('Nhà cung cấp'!$B$4:$B$203,MATCH($I142,'Nhà cung cấp'!$A$4:$A$203,0)),""))</f>
        <v/>
      </c>
      <c r="K142" s="34"/>
      <c r="L142" s="38" t="str">
        <f aca="false">IF($A142="","",IFERROR($G142*$K142,""))</f>
        <v/>
      </c>
      <c r="M142" s="34"/>
      <c r="N142" s="38" t="str">
        <f aca="false">IF($I142="","",IFERROR(INDEX('Nhà cung cấp'!$G$4:$G$203,MATCH($I142,'Nhà cung cấp'!$A$4:$A$203,0)),""))</f>
        <v/>
      </c>
      <c r="O142" s="33"/>
      <c r="P142" s="38" t="str">
        <f aca="false">IF($C142="","",IFERROR(_xlfn.MINIFS($L$4:$L$203,$C$4:$C$203,$C142,$L$4:$L$203,"&gt;0"),""))</f>
        <v/>
      </c>
      <c r="Q142" s="38" t="str">
        <f aca="false">IF($A142="","",IFERROR($L142-$P142,""))</f>
        <v/>
      </c>
      <c r="R142" s="38" t="str">
        <f aca="false">IF($A142="","",IFERROR($L142-$H142,""))</f>
        <v/>
      </c>
      <c r="S142" s="39" t="str">
        <f aca="false">IF($A142="","",IFERROR($R142/$H142,""))</f>
        <v/>
      </c>
      <c r="T142" s="32"/>
      <c r="U142" s="37" t="str">
        <f aca="false">IF($C142="","",IFERROR(INDEX(PR!$A$4:$A$203,MATCH($C142,PR!$C$4:$C$203,0)),""))</f>
        <v/>
      </c>
      <c r="V142" s="32"/>
    </row>
    <row r="143" customFormat="false" ht="15" hidden="false" customHeight="false" outlineLevel="0" collapsed="false">
      <c r="A143" s="32"/>
      <c r="B143" s="33"/>
      <c r="C143" s="32"/>
      <c r="D143" s="37" t="str">
        <f aca="false">IF($C143="","",IFERROR(INDEX('Check giá'!$C$4:$C$203,MATCH($C143,'Check giá'!$A$4:$A$203,0)),""))</f>
        <v/>
      </c>
      <c r="E143" s="37" t="str">
        <f aca="false">IF($C143="","",IFERROR(INDEX('Check giá'!$D$4:$D$203,MATCH($C143,'Check giá'!$A$4:$A$203,0)),""))</f>
        <v/>
      </c>
      <c r="F143" s="37" t="str">
        <f aca="false">IF($C143="","",IFERROR(INDEX('Check giá'!$F$4:$F$203,MATCH($C143,'Check giá'!$A$4:$A$203,0)),""))</f>
        <v/>
      </c>
      <c r="G143" s="38" t="str">
        <f aca="false">IF($C143="","",IFERROR(INDEX('Check giá'!$H$4:$H$203,MATCH($C143,'Check giá'!$A$4:$A$203,0)),""))</f>
        <v/>
      </c>
      <c r="H143" s="38" t="str">
        <f aca="false">IF($C143="","",IFERROR(INDEX('Check giá'!$J$4:$J$203,MATCH($C143,'Check giá'!$A$4:$A$203,0)),""))</f>
        <v/>
      </c>
      <c r="I143" s="32"/>
      <c r="J143" s="37" t="str">
        <f aca="false">IF($I143="","",IFERROR(INDEX('Nhà cung cấp'!$B$4:$B$203,MATCH($I143,'Nhà cung cấp'!$A$4:$A$203,0)),""))</f>
        <v/>
      </c>
      <c r="K143" s="34"/>
      <c r="L143" s="38" t="str">
        <f aca="false">IF($A143="","",IFERROR($G143*$K143,""))</f>
        <v/>
      </c>
      <c r="M143" s="34"/>
      <c r="N143" s="38" t="str">
        <f aca="false">IF($I143="","",IFERROR(INDEX('Nhà cung cấp'!$G$4:$G$203,MATCH($I143,'Nhà cung cấp'!$A$4:$A$203,0)),""))</f>
        <v/>
      </c>
      <c r="O143" s="33"/>
      <c r="P143" s="38" t="str">
        <f aca="false">IF($C143="","",IFERROR(_xlfn.MINIFS($L$4:$L$203,$C$4:$C$203,$C143,$L$4:$L$203,"&gt;0"),""))</f>
        <v/>
      </c>
      <c r="Q143" s="38" t="str">
        <f aca="false">IF($A143="","",IFERROR($L143-$P143,""))</f>
        <v/>
      </c>
      <c r="R143" s="38" t="str">
        <f aca="false">IF($A143="","",IFERROR($L143-$H143,""))</f>
        <v/>
      </c>
      <c r="S143" s="39" t="str">
        <f aca="false">IF($A143="","",IFERROR($R143/$H143,""))</f>
        <v/>
      </c>
      <c r="T143" s="32"/>
      <c r="U143" s="37" t="str">
        <f aca="false">IF($C143="","",IFERROR(INDEX(PR!$A$4:$A$203,MATCH($C143,PR!$C$4:$C$203,0)),""))</f>
        <v/>
      </c>
      <c r="V143" s="32"/>
    </row>
    <row r="144" customFormat="false" ht="15" hidden="false" customHeight="false" outlineLevel="0" collapsed="false">
      <c r="A144" s="32"/>
      <c r="B144" s="33"/>
      <c r="C144" s="32"/>
      <c r="D144" s="37" t="str">
        <f aca="false">IF($C144="","",IFERROR(INDEX('Check giá'!$C$4:$C$203,MATCH($C144,'Check giá'!$A$4:$A$203,0)),""))</f>
        <v/>
      </c>
      <c r="E144" s="37" t="str">
        <f aca="false">IF($C144="","",IFERROR(INDEX('Check giá'!$D$4:$D$203,MATCH($C144,'Check giá'!$A$4:$A$203,0)),""))</f>
        <v/>
      </c>
      <c r="F144" s="37" t="str">
        <f aca="false">IF($C144="","",IFERROR(INDEX('Check giá'!$F$4:$F$203,MATCH($C144,'Check giá'!$A$4:$A$203,0)),""))</f>
        <v/>
      </c>
      <c r="G144" s="38" t="str">
        <f aca="false">IF($C144="","",IFERROR(INDEX('Check giá'!$H$4:$H$203,MATCH($C144,'Check giá'!$A$4:$A$203,0)),""))</f>
        <v/>
      </c>
      <c r="H144" s="38" t="str">
        <f aca="false">IF($C144="","",IFERROR(INDEX('Check giá'!$J$4:$J$203,MATCH($C144,'Check giá'!$A$4:$A$203,0)),""))</f>
        <v/>
      </c>
      <c r="I144" s="32"/>
      <c r="J144" s="37" t="str">
        <f aca="false">IF($I144="","",IFERROR(INDEX('Nhà cung cấp'!$B$4:$B$203,MATCH($I144,'Nhà cung cấp'!$A$4:$A$203,0)),""))</f>
        <v/>
      </c>
      <c r="K144" s="34"/>
      <c r="L144" s="38" t="str">
        <f aca="false">IF($A144="","",IFERROR($G144*$K144,""))</f>
        <v/>
      </c>
      <c r="M144" s="34"/>
      <c r="N144" s="38" t="str">
        <f aca="false">IF($I144="","",IFERROR(INDEX('Nhà cung cấp'!$G$4:$G$203,MATCH($I144,'Nhà cung cấp'!$A$4:$A$203,0)),""))</f>
        <v/>
      </c>
      <c r="O144" s="33"/>
      <c r="P144" s="38" t="str">
        <f aca="false">IF($C144="","",IFERROR(_xlfn.MINIFS($L$4:$L$203,$C$4:$C$203,$C144,$L$4:$L$203,"&gt;0"),""))</f>
        <v/>
      </c>
      <c r="Q144" s="38" t="str">
        <f aca="false">IF($A144="","",IFERROR($L144-$P144,""))</f>
        <v/>
      </c>
      <c r="R144" s="38" t="str">
        <f aca="false">IF($A144="","",IFERROR($L144-$H144,""))</f>
        <v/>
      </c>
      <c r="S144" s="39" t="str">
        <f aca="false">IF($A144="","",IFERROR($R144/$H144,""))</f>
        <v/>
      </c>
      <c r="T144" s="32"/>
      <c r="U144" s="37" t="str">
        <f aca="false">IF($C144="","",IFERROR(INDEX(PR!$A$4:$A$203,MATCH($C144,PR!$C$4:$C$203,0)),""))</f>
        <v/>
      </c>
      <c r="V144" s="32"/>
    </row>
    <row r="145" customFormat="false" ht="15" hidden="false" customHeight="false" outlineLevel="0" collapsed="false">
      <c r="A145" s="32"/>
      <c r="B145" s="33"/>
      <c r="C145" s="32"/>
      <c r="D145" s="37" t="str">
        <f aca="false">IF($C145="","",IFERROR(INDEX('Check giá'!$C$4:$C$203,MATCH($C145,'Check giá'!$A$4:$A$203,0)),""))</f>
        <v/>
      </c>
      <c r="E145" s="37" t="str">
        <f aca="false">IF($C145="","",IFERROR(INDEX('Check giá'!$D$4:$D$203,MATCH($C145,'Check giá'!$A$4:$A$203,0)),""))</f>
        <v/>
      </c>
      <c r="F145" s="37" t="str">
        <f aca="false">IF($C145="","",IFERROR(INDEX('Check giá'!$F$4:$F$203,MATCH($C145,'Check giá'!$A$4:$A$203,0)),""))</f>
        <v/>
      </c>
      <c r="G145" s="38" t="str">
        <f aca="false">IF($C145="","",IFERROR(INDEX('Check giá'!$H$4:$H$203,MATCH($C145,'Check giá'!$A$4:$A$203,0)),""))</f>
        <v/>
      </c>
      <c r="H145" s="38" t="str">
        <f aca="false">IF($C145="","",IFERROR(INDEX('Check giá'!$J$4:$J$203,MATCH($C145,'Check giá'!$A$4:$A$203,0)),""))</f>
        <v/>
      </c>
      <c r="I145" s="32"/>
      <c r="J145" s="37" t="str">
        <f aca="false">IF($I145="","",IFERROR(INDEX('Nhà cung cấp'!$B$4:$B$203,MATCH($I145,'Nhà cung cấp'!$A$4:$A$203,0)),""))</f>
        <v/>
      </c>
      <c r="K145" s="34"/>
      <c r="L145" s="38" t="str">
        <f aca="false">IF($A145="","",IFERROR($G145*$K145,""))</f>
        <v/>
      </c>
      <c r="M145" s="34"/>
      <c r="N145" s="38" t="str">
        <f aca="false">IF($I145="","",IFERROR(INDEX('Nhà cung cấp'!$G$4:$G$203,MATCH($I145,'Nhà cung cấp'!$A$4:$A$203,0)),""))</f>
        <v/>
      </c>
      <c r="O145" s="33"/>
      <c r="P145" s="38" t="str">
        <f aca="false">IF($C145="","",IFERROR(_xlfn.MINIFS($L$4:$L$203,$C$4:$C$203,$C145,$L$4:$L$203,"&gt;0"),""))</f>
        <v/>
      </c>
      <c r="Q145" s="38" t="str">
        <f aca="false">IF($A145="","",IFERROR($L145-$P145,""))</f>
        <v/>
      </c>
      <c r="R145" s="38" t="str">
        <f aca="false">IF($A145="","",IFERROR($L145-$H145,""))</f>
        <v/>
      </c>
      <c r="S145" s="39" t="str">
        <f aca="false">IF($A145="","",IFERROR($R145/$H145,""))</f>
        <v/>
      </c>
      <c r="T145" s="32"/>
      <c r="U145" s="37" t="str">
        <f aca="false">IF($C145="","",IFERROR(INDEX(PR!$A$4:$A$203,MATCH($C145,PR!$C$4:$C$203,0)),""))</f>
        <v/>
      </c>
      <c r="V145" s="32"/>
    </row>
    <row r="146" customFormat="false" ht="15" hidden="false" customHeight="false" outlineLevel="0" collapsed="false">
      <c r="A146" s="32"/>
      <c r="B146" s="33"/>
      <c r="C146" s="32"/>
      <c r="D146" s="37" t="str">
        <f aca="false">IF($C146="","",IFERROR(INDEX('Check giá'!$C$4:$C$203,MATCH($C146,'Check giá'!$A$4:$A$203,0)),""))</f>
        <v/>
      </c>
      <c r="E146" s="37" t="str">
        <f aca="false">IF($C146="","",IFERROR(INDEX('Check giá'!$D$4:$D$203,MATCH($C146,'Check giá'!$A$4:$A$203,0)),""))</f>
        <v/>
      </c>
      <c r="F146" s="37" t="str">
        <f aca="false">IF($C146="","",IFERROR(INDEX('Check giá'!$F$4:$F$203,MATCH($C146,'Check giá'!$A$4:$A$203,0)),""))</f>
        <v/>
      </c>
      <c r="G146" s="38" t="str">
        <f aca="false">IF($C146="","",IFERROR(INDEX('Check giá'!$H$4:$H$203,MATCH($C146,'Check giá'!$A$4:$A$203,0)),""))</f>
        <v/>
      </c>
      <c r="H146" s="38" t="str">
        <f aca="false">IF($C146="","",IFERROR(INDEX('Check giá'!$J$4:$J$203,MATCH($C146,'Check giá'!$A$4:$A$203,0)),""))</f>
        <v/>
      </c>
      <c r="I146" s="32"/>
      <c r="J146" s="37" t="str">
        <f aca="false">IF($I146="","",IFERROR(INDEX('Nhà cung cấp'!$B$4:$B$203,MATCH($I146,'Nhà cung cấp'!$A$4:$A$203,0)),""))</f>
        <v/>
      </c>
      <c r="K146" s="34"/>
      <c r="L146" s="38" t="str">
        <f aca="false">IF($A146="","",IFERROR($G146*$K146,""))</f>
        <v/>
      </c>
      <c r="M146" s="34"/>
      <c r="N146" s="38" t="str">
        <f aca="false">IF($I146="","",IFERROR(INDEX('Nhà cung cấp'!$G$4:$G$203,MATCH($I146,'Nhà cung cấp'!$A$4:$A$203,0)),""))</f>
        <v/>
      </c>
      <c r="O146" s="33"/>
      <c r="P146" s="38" t="str">
        <f aca="false">IF($C146="","",IFERROR(_xlfn.MINIFS($L$4:$L$203,$C$4:$C$203,$C146,$L$4:$L$203,"&gt;0"),""))</f>
        <v/>
      </c>
      <c r="Q146" s="38" t="str">
        <f aca="false">IF($A146="","",IFERROR($L146-$P146,""))</f>
        <v/>
      </c>
      <c r="R146" s="38" t="str">
        <f aca="false">IF($A146="","",IFERROR($L146-$H146,""))</f>
        <v/>
      </c>
      <c r="S146" s="39" t="str">
        <f aca="false">IF($A146="","",IFERROR($R146/$H146,""))</f>
        <v/>
      </c>
      <c r="T146" s="32"/>
      <c r="U146" s="37" t="str">
        <f aca="false">IF($C146="","",IFERROR(INDEX(PR!$A$4:$A$203,MATCH($C146,PR!$C$4:$C$203,0)),""))</f>
        <v/>
      </c>
      <c r="V146" s="32"/>
    </row>
    <row r="147" customFormat="false" ht="15" hidden="false" customHeight="false" outlineLevel="0" collapsed="false">
      <c r="A147" s="32"/>
      <c r="B147" s="33"/>
      <c r="C147" s="32"/>
      <c r="D147" s="37" t="str">
        <f aca="false">IF($C147="","",IFERROR(INDEX('Check giá'!$C$4:$C$203,MATCH($C147,'Check giá'!$A$4:$A$203,0)),""))</f>
        <v/>
      </c>
      <c r="E147" s="37" t="str">
        <f aca="false">IF($C147="","",IFERROR(INDEX('Check giá'!$D$4:$D$203,MATCH($C147,'Check giá'!$A$4:$A$203,0)),""))</f>
        <v/>
      </c>
      <c r="F147" s="37" t="str">
        <f aca="false">IF($C147="","",IFERROR(INDEX('Check giá'!$F$4:$F$203,MATCH($C147,'Check giá'!$A$4:$A$203,0)),""))</f>
        <v/>
      </c>
      <c r="G147" s="38" t="str">
        <f aca="false">IF($C147="","",IFERROR(INDEX('Check giá'!$H$4:$H$203,MATCH($C147,'Check giá'!$A$4:$A$203,0)),""))</f>
        <v/>
      </c>
      <c r="H147" s="38" t="str">
        <f aca="false">IF($C147="","",IFERROR(INDEX('Check giá'!$J$4:$J$203,MATCH($C147,'Check giá'!$A$4:$A$203,0)),""))</f>
        <v/>
      </c>
      <c r="I147" s="32"/>
      <c r="J147" s="37" t="str">
        <f aca="false">IF($I147="","",IFERROR(INDEX('Nhà cung cấp'!$B$4:$B$203,MATCH($I147,'Nhà cung cấp'!$A$4:$A$203,0)),""))</f>
        <v/>
      </c>
      <c r="K147" s="34"/>
      <c r="L147" s="38" t="str">
        <f aca="false">IF($A147="","",IFERROR($G147*$K147,""))</f>
        <v/>
      </c>
      <c r="M147" s="34"/>
      <c r="N147" s="38" t="str">
        <f aca="false">IF($I147="","",IFERROR(INDEX('Nhà cung cấp'!$G$4:$G$203,MATCH($I147,'Nhà cung cấp'!$A$4:$A$203,0)),""))</f>
        <v/>
      </c>
      <c r="O147" s="33"/>
      <c r="P147" s="38" t="str">
        <f aca="false">IF($C147="","",IFERROR(_xlfn.MINIFS($L$4:$L$203,$C$4:$C$203,$C147,$L$4:$L$203,"&gt;0"),""))</f>
        <v/>
      </c>
      <c r="Q147" s="38" t="str">
        <f aca="false">IF($A147="","",IFERROR($L147-$P147,""))</f>
        <v/>
      </c>
      <c r="R147" s="38" t="str">
        <f aca="false">IF($A147="","",IFERROR($L147-$H147,""))</f>
        <v/>
      </c>
      <c r="S147" s="39" t="str">
        <f aca="false">IF($A147="","",IFERROR($R147/$H147,""))</f>
        <v/>
      </c>
      <c r="T147" s="32"/>
      <c r="U147" s="37" t="str">
        <f aca="false">IF($C147="","",IFERROR(INDEX(PR!$A$4:$A$203,MATCH($C147,PR!$C$4:$C$203,0)),""))</f>
        <v/>
      </c>
      <c r="V147" s="32"/>
    </row>
    <row r="148" customFormat="false" ht="15" hidden="false" customHeight="false" outlineLevel="0" collapsed="false">
      <c r="A148" s="32"/>
      <c r="B148" s="33"/>
      <c r="C148" s="32"/>
      <c r="D148" s="37" t="str">
        <f aca="false">IF($C148="","",IFERROR(INDEX('Check giá'!$C$4:$C$203,MATCH($C148,'Check giá'!$A$4:$A$203,0)),""))</f>
        <v/>
      </c>
      <c r="E148" s="37" t="str">
        <f aca="false">IF($C148="","",IFERROR(INDEX('Check giá'!$D$4:$D$203,MATCH($C148,'Check giá'!$A$4:$A$203,0)),""))</f>
        <v/>
      </c>
      <c r="F148" s="37" t="str">
        <f aca="false">IF($C148="","",IFERROR(INDEX('Check giá'!$F$4:$F$203,MATCH($C148,'Check giá'!$A$4:$A$203,0)),""))</f>
        <v/>
      </c>
      <c r="G148" s="38" t="str">
        <f aca="false">IF($C148="","",IFERROR(INDEX('Check giá'!$H$4:$H$203,MATCH($C148,'Check giá'!$A$4:$A$203,0)),""))</f>
        <v/>
      </c>
      <c r="H148" s="38" t="str">
        <f aca="false">IF($C148="","",IFERROR(INDEX('Check giá'!$J$4:$J$203,MATCH($C148,'Check giá'!$A$4:$A$203,0)),""))</f>
        <v/>
      </c>
      <c r="I148" s="32"/>
      <c r="J148" s="37" t="str">
        <f aca="false">IF($I148="","",IFERROR(INDEX('Nhà cung cấp'!$B$4:$B$203,MATCH($I148,'Nhà cung cấp'!$A$4:$A$203,0)),""))</f>
        <v/>
      </c>
      <c r="K148" s="34"/>
      <c r="L148" s="38" t="str">
        <f aca="false">IF($A148="","",IFERROR($G148*$K148,""))</f>
        <v/>
      </c>
      <c r="M148" s="34"/>
      <c r="N148" s="38" t="str">
        <f aca="false">IF($I148="","",IFERROR(INDEX('Nhà cung cấp'!$G$4:$G$203,MATCH($I148,'Nhà cung cấp'!$A$4:$A$203,0)),""))</f>
        <v/>
      </c>
      <c r="O148" s="33"/>
      <c r="P148" s="38" t="str">
        <f aca="false">IF($C148="","",IFERROR(_xlfn.MINIFS($L$4:$L$203,$C$4:$C$203,$C148,$L$4:$L$203,"&gt;0"),""))</f>
        <v/>
      </c>
      <c r="Q148" s="38" t="str">
        <f aca="false">IF($A148="","",IFERROR($L148-$P148,""))</f>
        <v/>
      </c>
      <c r="R148" s="38" t="str">
        <f aca="false">IF($A148="","",IFERROR($L148-$H148,""))</f>
        <v/>
      </c>
      <c r="S148" s="39" t="str">
        <f aca="false">IF($A148="","",IFERROR($R148/$H148,""))</f>
        <v/>
      </c>
      <c r="T148" s="32"/>
      <c r="U148" s="37" t="str">
        <f aca="false">IF($C148="","",IFERROR(INDEX(PR!$A$4:$A$203,MATCH($C148,PR!$C$4:$C$203,0)),""))</f>
        <v/>
      </c>
      <c r="V148" s="32"/>
    </row>
    <row r="149" customFormat="false" ht="15" hidden="false" customHeight="false" outlineLevel="0" collapsed="false">
      <c r="A149" s="32"/>
      <c r="B149" s="33"/>
      <c r="C149" s="32"/>
      <c r="D149" s="37" t="str">
        <f aca="false">IF($C149="","",IFERROR(INDEX('Check giá'!$C$4:$C$203,MATCH($C149,'Check giá'!$A$4:$A$203,0)),""))</f>
        <v/>
      </c>
      <c r="E149" s="37" t="str">
        <f aca="false">IF($C149="","",IFERROR(INDEX('Check giá'!$D$4:$D$203,MATCH($C149,'Check giá'!$A$4:$A$203,0)),""))</f>
        <v/>
      </c>
      <c r="F149" s="37" t="str">
        <f aca="false">IF($C149="","",IFERROR(INDEX('Check giá'!$F$4:$F$203,MATCH($C149,'Check giá'!$A$4:$A$203,0)),""))</f>
        <v/>
      </c>
      <c r="G149" s="38" t="str">
        <f aca="false">IF($C149="","",IFERROR(INDEX('Check giá'!$H$4:$H$203,MATCH($C149,'Check giá'!$A$4:$A$203,0)),""))</f>
        <v/>
      </c>
      <c r="H149" s="38" t="str">
        <f aca="false">IF($C149="","",IFERROR(INDEX('Check giá'!$J$4:$J$203,MATCH($C149,'Check giá'!$A$4:$A$203,0)),""))</f>
        <v/>
      </c>
      <c r="I149" s="32"/>
      <c r="J149" s="37" t="str">
        <f aca="false">IF($I149="","",IFERROR(INDEX('Nhà cung cấp'!$B$4:$B$203,MATCH($I149,'Nhà cung cấp'!$A$4:$A$203,0)),""))</f>
        <v/>
      </c>
      <c r="K149" s="34"/>
      <c r="L149" s="38" t="str">
        <f aca="false">IF($A149="","",IFERROR($G149*$K149,""))</f>
        <v/>
      </c>
      <c r="M149" s="34"/>
      <c r="N149" s="38" t="str">
        <f aca="false">IF($I149="","",IFERROR(INDEX('Nhà cung cấp'!$G$4:$G$203,MATCH($I149,'Nhà cung cấp'!$A$4:$A$203,0)),""))</f>
        <v/>
      </c>
      <c r="O149" s="33"/>
      <c r="P149" s="38" t="str">
        <f aca="false">IF($C149="","",IFERROR(_xlfn.MINIFS($L$4:$L$203,$C$4:$C$203,$C149,$L$4:$L$203,"&gt;0"),""))</f>
        <v/>
      </c>
      <c r="Q149" s="38" t="str">
        <f aca="false">IF($A149="","",IFERROR($L149-$P149,""))</f>
        <v/>
      </c>
      <c r="R149" s="38" t="str">
        <f aca="false">IF($A149="","",IFERROR($L149-$H149,""))</f>
        <v/>
      </c>
      <c r="S149" s="39" t="str">
        <f aca="false">IF($A149="","",IFERROR($R149/$H149,""))</f>
        <v/>
      </c>
      <c r="T149" s="32"/>
      <c r="U149" s="37" t="str">
        <f aca="false">IF($C149="","",IFERROR(INDEX(PR!$A$4:$A$203,MATCH($C149,PR!$C$4:$C$203,0)),""))</f>
        <v/>
      </c>
      <c r="V149" s="32"/>
    </row>
    <row r="150" customFormat="false" ht="15" hidden="false" customHeight="false" outlineLevel="0" collapsed="false">
      <c r="A150" s="32"/>
      <c r="B150" s="33"/>
      <c r="C150" s="32"/>
      <c r="D150" s="37" t="str">
        <f aca="false">IF($C150="","",IFERROR(INDEX('Check giá'!$C$4:$C$203,MATCH($C150,'Check giá'!$A$4:$A$203,0)),""))</f>
        <v/>
      </c>
      <c r="E150" s="37" t="str">
        <f aca="false">IF($C150="","",IFERROR(INDEX('Check giá'!$D$4:$D$203,MATCH($C150,'Check giá'!$A$4:$A$203,0)),""))</f>
        <v/>
      </c>
      <c r="F150" s="37" t="str">
        <f aca="false">IF($C150="","",IFERROR(INDEX('Check giá'!$F$4:$F$203,MATCH($C150,'Check giá'!$A$4:$A$203,0)),""))</f>
        <v/>
      </c>
      <c r="G150" s="38" t="str">
        <f aca="false">IF($C150="","",IFERROR(INDEX('Check giá'!$H$4:$H$203,MATCH($C150,'Check giá'!$A$4:$A$203,0)),""))</f>
        <v/>
      </c>
      <c r="H150" s="38" t="str">
        <f aca="false">IF($C150="","",IFERROR(INDEX('Check giá'!$J$4:$J$203,MATCH($C150,'Check giá'!$A$4:$A$203,0)),""))</f>
        <v/>
      </c>
      <c r="I150" s="32"/>
      <c r="J150" s="37" t="str">
        <f aca="false">IF($I150="","",IFERROR(INDEX('Nhà cung cấp'!$B$4:$B$203,MATCH($I150,'Nhà cung cấp'!$A$4:$A$203,0)),""))</f>
        <v/>
      </c>
      <c r="K150" s="34"/>
      <c r="L150" s="38" t="str">
        <f aca="false">IF($A150="","",IFERROR($G150*$K150,""))</f>
        <v/>
      </c>
      <c r="M150" s="34"/>
      <c r="N150" s="38" t="str">
        <f aca="false">IF($I150="","",IFERROR(INDEX('Nhà cung cấp'!$G$4:$G$203,MATCH($I150,'Nhà cung cấp'!$A$4:$A$203,0)),""))</f>
        <v/>
      </c>
      <c r="O150" s="33"/>
      <c r="P150" s="38" t="str">
        <f aca="false">IF($C150="","",IFERROR(_xlfn.MINIFS($L$4:$L$203,$C$4:$C$203,$C150,$L$4:$L$203,"&gt;0"),""))</f>
        <v/>
      </c>
      <c r="Q150" s="38" t="str">
        <f aca="false">IF($A150="","",IFERROR($L150-$P150,""))</f>
        <v/>
      </c>
      <c r="R150" s="38" t="str">
        <f aca="false">IF($A150="","",IFERROR($L150-$H150,""))</f>
        <v/>
      </c>
      <c r="S150" s="39" t="str">
        <f aca="false">IF($A150="","",IFERROR($R150/$H150,""))</f>
        <v/>
      </c>
      <c r="T150" s="32"/>
      <c r="U150" s="37" t="str">
        <f aca="false">IF($C150="","",IFERROR(INDEX(PR!$A$4:$A$203,MATCH($C150,PR!$C$4:$C$203,0)),""))</f>
        <v/>
      </c>
      <c r="V150" s="32"/>
    </row>
    <row r="151" customFormat="false" ht="15" hidden="false" customHeight="false" outlineLevel="0" collapsed="false">
      <c r="A151" s="32"/>
      <c r="B151" s="33"/>
      <c r="C151" s="32"/>
      <c r="D151" s="37" t="str">
        <f aca="false">IF($C151="","",IFERROR(INDEX('Check giá'!$C$4:$C$203,MATCH($C151,'Check giá'!$A$4:$A$203,0)),""))</f>
        <v/>
      </c>
      <c r="E151" s="37" t="str">
        <f aca="false">IF($C151="","",IFERROR(INDEX('Check giá'!$D$4:$D$203,MATCH($C151,'Check giá'!$A$4:$A$203,0)),""))</f>
        <v/>
      </c>
      <c r="F151" s="37" t="str">
        <f aca="false">IF($C151="","",IFERROR(INDEX('Check giá'!$F$4:$F$203,MATCH($C151,'Check giá'!$A$4:$A$203,0)),""))</f>
        <v/>
      </c>
      <c r="G151" s="38" t="str">
        <f aca="false">IF($C151="","",IFERROR(INDEX('Check giá'!$H$4:$H$203,MATCH($C151,'Check giá'!$A$4:$A$203,0)),""))</f>
        <v/>
      </c>
      <c r="H151" s="38" t="str">
        <f aca="false">IF($C151="","",IFERROR(INDEX('Check giá'!$J$4:$J$203,MATCH($C151,'Check giá'!$A$4:$A$203,0)),""))</f>
        <v/>
      </c>
      <c r="I151" s="32"/>
      <c r="J151" s="37" t="str">
        <f aca="false">IF($I151="","",IFERROR(INDEX('Nhà cung cấp'!$B$4:$B$203,MATCH($I151,'Nhà cung cấp'!$A$4:$A$203,0)),""))</f>
        <v/>
      </c>
      <c r="K151" s="34"/>
      <c r="L151" s="38" t="str">
        <f aca="false">IF($A151="","",IFERROR($G151*$K151,""))</f>
        <v/>
      </c>
      <c r="M151" s="34"/>
      <c r="N151" s="38" t="str">
        <f aca="false">IF($I151="","",IFERROR(INDEX('Nhà cung cấp'!$G$4:$G$203,MATCH($I151,'Nhà cung cấp'!$A$4:$A$203,0)),""))</f>
        <v/>
      </c>
      <c r="O151" s="33"/>
      <c r="P151" s="38" t="str">
        <f aca="false">IF($C151="","",IFERROR(_xlfn.MINIFS($L$4:$L$203,$C$4:$C$203,$C151,$L$4:$L$203,"&gt;0"),""))</f>
        <v/>
      </c>
      <c r="Q151" s="38" t="str">
        <f aca="false">IF($A151="","",IFERROR($L151-$P151,""))</f>
        <v/>
      </c>
      <c r="R151" s="38" t="str">
        <f aca="false">IF($A151="","",IFERROR($L151-$H151,""))</f>
        <v/>
      </c>
      <c r="S151" s="39" t="str">
        <f aca="false">IF($A151="","",IFERROR($R151/$H151,""))</f>
        <v/>
      </c>
      <c r="T151" s="32"/>
      <c r="U151" s="37" t="str">
        <f aca="false">IF($C151="","",IFERROR(INDEX(PR!$A$4:$A$203,MATCH($C151,PR!$C$4:$C$203,0)),""))</f>
        <v/>
      </c>
      <c r="V151" s="32"/>
    </row>
    <row r="152" customFormat="false" ht="15" hidden="false" customHeight="false" outlineLevel="0" collapsed="false">
      <c r="A152" s="32"/>
      <c r="B152" s="33"/>
      <c r="C152" s="32"/>
      <c r="D152" s="37" t="str">
        <f aca="false">IF($C152="","",IFERROR(INDEX('Check giá'!$C$4:$C$203,MATCH($C152,'Check giá'!$A$4:$A$203,0)),""))</f>
        <v/>
      </c>
      <c r="E152" s="37" t="str">
        <f aca="false">IF($C152="","",IFERROR(INDEX('Check giá'!$D$4:$D$203,MATCH($C152,'Check giá'!$A$4:$A$203,0)),""))</f>
        <v/>
      </c>
      <c r="F152" s="37" t="str">
        <f aca="false">IF($C152="","",IFERROR(INDEX('Check giá'!$F$4:$F$203,MATCH($C152,'Check giá'!$A$4:$A$203,0)),""))</f>
        <v/>
      </c>
      <c r="G152" s="38" t="str">
        <f aca="false">IF($C152="","",IFERROR(INDEX('Check giá'!$H$4:$H$203,MATCH($C152,'Check giá'!$A$4:$A$203,0)),""))</f>
        <v/>
      </c>
      <c r="H152" s="38" t="str">
        <f aca="false">IF($C152="","",IFERROR(INDEX('Check giá'!$J$4:$J$203,MATCH($C152,'Check giá'!$A$4:$A$203,0)),""))</f>
        <v/>
      </c>
      <c r="I152" s="32"/>
      <c r="J152" s="37" t="str">
        <f aca="false">IF($I152="","",IFERROR(INDEX('Nhà cung cấp'!$B$4:$B$203,MATCH($I152,'Nhà cung cấp'!$A$4:$A$203,0)),""))</f>
        <v/>
      </c>
      <c r="K152" s="34"/>
      <c r="L152" s="38" t="str">
        <f aca="false">IF($A152="","",IFERROR($G152*$K152,""))</f>
        <v/>
      </c>
      <c r="M152" s="34"/>
      <c r="N152" s="38" t="str">
        <f aca="false">IF($I152="","",IFERROR(INDEX('Nhà cung cấp'!$G$4:$G$203,MATCH($I152,'Nhà cung cấp'!$A$4:$A$203,0)),""))</f>
        <v/>
      </c>
      <c r="O152" s="33"/>
      <c r="P152" s="38" t="str">
        <f aca="false">IF($C152="","",IFERROR(_xlfn.MINIFS($L$4:$L$203,$C$4:$C$203,$C152,$L$4:$L$203,"&gt;0"),""))</f>
        <v/>
      </c>
      <c r="Q152" s="38" t="str">
        <f aca="false">IF($A152="","",IFERROR($L152-$P152,""))</f>
        <v/>
      </c>
      <c r="R152" s="38" t="str">
        <f aca="false">IF($A152="","",IFERROR($L152-$H152,""))</f>
        <v/>
      </c>
      <c r="S152" s="39" t="str">
        <f aca="false">IF($A152="","",IFERROR($R152/$H152,""))</f>
        <v/>
      </c>
      <c r="T152" s="32"/>
      <c r="U152" s="37" t="str">
        <f aca="false">IF($C152="","",IFERROR(INDEX(PR!$A$4:$A$203,MATCH($C152,PR!$C$4:$C$203,0)),""))</f>
        <v/>
      </c>
      <c r="V152" s="32"/>
    </row>
    <row r="153" customFormat="false" ht="15" hidden="false" customHeight="false" outlineLevel="0" collapsed="false">
      <c r="A153" s="32"/>
      <c r="B153" s="33"/>
      <c r="C153" s="32"/>
      <c r="D153" s="37" t="str">
        <f aca="false">IF($C153="","",IFERROR(INDEX('Check giá'!$C$4:$C$203,MATCH($C153,'Check giá'!$A$4:$A$203,0)),""))</f>
        <v/>
      </c>
      <c r="E153" s="37" t="str">
        <f aca="false">IF($C153="","",IFERROR(INDEX('Check giá'!$D$4:$D$203,MATCH($C153,'Check giá'!$A$4:$A$203,0)),""))</f>
        <v/>
      </c>
      <c r="F153" s="37" t="str">
        <f aca="false">IF($C153="","",IFERROR(INDEX('Check giá'!$F$4:$F$203,MATCH($C153,'Check giá'!$A$4:$A$203,0)),""))</f>
        <v/>
      </c>
      <c r="G153" s="38" t="str">
        <f aca="false">IF($C153="","",IFERROR(INDEX('Check giá'!$H$4:$H$203,MATCH($C153,'Check giá'!$A$4:$A$203,0)),""))</f>
        <v/>
      </c>
      <c r="H153" s="38" t="str">
        <f aca="false">IF($C153="","",IFERROR(INDEX('Check giá'!$J$4:$J$203,MATCH($C153,'Check giá'!$A$4:$A$203,0)),""))</f>
        <v/>
      </c>
      <c r="I153" s="32"/>
      <c r="J153" s="37" t="str">
        <f aca="false">IF($I153="","",IFERROR(INDEX('Nhà cung cấp'!$B$4:$B$203,MATCH($I153,'Nhà cung cấp'!$A$4:$A$203,0)),""))</f>
        <v/>
      </c>
      <c r="K153" s="34"/>
      <c r="L153" s="38" t="str">
        <f aca="false">IF($A153="","",IFERROR($G153*$K153,""))</f>
        <v/>
      </c>
      <c r="M153" s="34"/>
      <c r="N153" s="38" t="str">
        <f aca="false">IF($I153="","",IFERROR(INDEX('Nhà cung cấp'!$G$4:$G$203,MATCH($I153,'Nhà cung cấp'!$A$4:$A$203,0)),""))</f>
        <v/>
      </c>
      <c r="O153" s="33"/>
      <c r="P153" s="38" t="str">
        <f aca="false">IF($C153="","",IFERROR(_xlfn.MINIFS($L$4:$L$203,$C$4:$C$203,$C153,$L$4:$L$203,"&gt;0"),""))</f>
        <v/>
      </c>
      <c r="Q153" s="38" t="str">
        <f aca="false">IF($A153="","",IFERROR($L153-$P153,""))</f>
        <v/>
      </c>
      <c r="R153" s="38" t="str">
        <f aca="false">IF($A153="","",IFERROR($L153-$H153,""))</f>
        <v/>
      </c>
      <c r="S153" s="39" t="str">
        <f aca="false">IF($A153="","",IFERROR($R153/$H153,""))</f>
        <v/>
      </c>
      <c r="T153" s="32"/>
      <c r="U153" s="37" t="str">
        <f aca="false">IF($C153="","",IFERROR(INDEX(PR!$A$4:$A$203,MATCH($C153,PR!$C$4:$C$203,0)),""))</f>
        <v/>
      </c>
      <c r="V153" s="32"/>
    </row>
    <row r="154" customFormat="false" ht="15" hidden="false" customHeight="false" outlineLevel="0" collapsed="false">
      <c r="A154" s="32"/>
      <c r="B154" s="33"/>
      <c r="C154" s="32"/>
      <c r="D154" s="37" t="str">
        <f aca="false">IF($C154="","",IFERROR(INDEX('Check giá'!$C$4:$C$203,MATCH($C154,'Check giá'!$A$4:$A$203,0)),""))</f>
        <v/>
      </c>
      <c r="E154" s="37" t="str">
        <f aca="false">IF($C154="","",IFERROR(INDEX('Check giá'!$D$4:$D$203,MATCH($C154,'Check giá'!$A$4:$A$203,0)),""))</f>
        <v/>
      </c>
      <c r="F154" s="37" t="str">
        <f aca="false">IF($C154="","",IFERROR(INDEX('Check giá'!$F$4:$F$203,MATCH($C154,'Check giá'!$A$4:$A$203,0)),""))</f>
        <v/>
      </c>
      <c r="G154" s="38" t="str">
        <f aca="false">IF($C154="","",IFERROR(INDEX('Check giá'!$H$4:$H$203,MATCH($C154,'Check giá'!$A$4:$A$203,0)),""))</f>
        <v/>
      </c>
      <c r="H154" s="38" t="str">
        <f aca="false">IF($C154="","",IFERROR(INDEX('Check giá'!$J$4:$J$203,MATCH($C154,'Check giá'!$A$4:$A$203,0)),""))</f>
        <v/>
      </c>
      <c r="I154" s="32"/>
      <c r="J154" s="37" t="str">
        <f aca="false">IF($I154="","",IFERROR(INDEX('Nhà cung cấp'!$B$4:$B$203,MATCH($I154,'Nhà cung cấp'!$A$4:$A$203,0)),""))</f>
        <v/>
      </c>
      <c r="K154" s="34"/>
      <c r="L154" s="38" t="str">
        <f aca="false">IF($A154="","",IFERROR($G154*$K154,""))</f>
        <v/>
      </c>
      <c r="M154" s="34"/>
      <c r="N154" s="38" t="str">
        <f aca="false">IF($I154="","",IFERROR(INDEX('Nhà cung cấp'!$G$4:$G$203,MATCH($I154,'Nhà cung cấp'!$A$4:$A$203,0)),""))</f>
        <v/>
      </c>
      <c r="O154" s="33"/>
      <c r="P154" s="38" t="str">
        <f aca="false">IF($C154="","",IFERROR(_xlfn.MINIFS($L$4:$L$203,$C$4:$C$203,$C154,$L$4:$L$203,"&gt;0"),""))</f>
        <v/>
      </c>
      <c r="Q154" s="38" t="str">
        <f aca="false">IF($A154="","",IFERROR($L154-$P154,""))</f>
        <v/>
      </c>
      <c r="R154" s="38" t="str">
        <f aca="false">IF($A154="","",IFERROR($L154-$H154,""))</f>
        <v/>
      </c>
      <c r="S154" s="39" t="str">
        <f aca="false">IF($A154="","",IFERROR($R154/$H154,""))</f>
        <v/>
      </c>
      <c r="T154" s="32"/>
      <c r="U154" s="37" t="str">
        <f aca="false">IF($C154="","",IFERROR(INDEX(PR!$A$4:$A$203,MATCH($C154,PR!$C$4:$C$203,0)),""))</f>
        <v/>
      </c>
      <c r="V154" s="32"/>
    </row>
    <row r="155" customFormat="false" ht="15" hidden="false" customHeight="false" outlineLevel="0" collapsed="false">
      <c r="A155" s="32"/>
      <c r="B155" s="33"/>
      <c r="C155" s="32"/>
      <c r="D155" s="37" t="str">
        <f aca="false">IF($C155="","",IFERROR(INDEX('Check giá'!$C$4:$C$203,MATCH($C155,'Check giá'!$A$4:$A$203,0)),""))</f>
        <v/>
      </c>
      <c r="E155" s="37" t="str">
        <f aca="false">IF($C155="","",IFERROR(INDEX('Check giá'!$D$4:$D$203,MATCH($C155,'Check giá'!$A$4:$A$203,0)),""))</f>
        <v/>
      </c>
      <c r="F155" s="37" t="str">
        <f aca="false">IF($C155="","",IFERROR(INDEX('Check giá'!$F$4:$F$203,MATCH($C155,'Check giá'!$A$4:$A$203,0)),""))</f>
        <v/>
      </c>
      <c r="G155" s="38" t="str">
        <f aca="false">IF($C155="","",IFERROR(INDEX('Check giá'!$H$4:$H$203,MATCH($C155,'Check giá'!$A$4:$A$203,0)),""))</f>
        <v/>
      </c>
      <c r="H155" s="38" t="str">
        <f aca="false">IF($C155="","",IFERROR(INDEX('Check giá'!$J$4:$J$203,MATCH($C155,'Check giá'!$A$4:$A$203,0)),""))</f>
        <v/>
      </c>
      <c r="I155" s="32"/>
      <c r="J155" s="37" t="str">
        <f aca="false">IF($I155="","",IFERROR(INDEX('Nhà cung cấp'!$B$4:$B$203,MATCH($I155,'Nhà cung cấp'!$A$4:$A$203,0)),""))</f>
        <v/>
      </c>
      <c r="K155" s="34"/>
      <c r="L155" s="38" t="str">
        <f aca="false">IF($A155="","",IFERROR($G155*$K155,""))</f>
        <v/>
      </c>
      <c r="M155" s="34"/>
      <c r="N155" s="38" t="str">
        <f aca="false">IF($I155="","",IFERROR(INDEX('Nhà cung cấp'!$G$4:$G$203,MATCH($I155,'Nhà cung cấp'!$A$4:$A$203,0)),""))</f>
        <v/>
      </c>
      <c r="O155" s="33"/>
      <c r="P155" s="38" t="str">
        <f aca="false">IF($C155="","",IFERROR(_xlfn.MINIFS($L$4:$L$203,$C$4:$C$203,$C155,$L$4:$L$203,"&gt;0"),""))</f>
        <v/>
      </c>
      <c r="Q155" s="38" t="str">
        <f aca="false">IF($A155="","",IFERROR($L155-$P155,""))</f>
        <v/>
      </c>
      <c r="R155" s="38" t="str">
        <f aca="false">IF($A155="","",IFERROR($L155-$H155,""))</f>
        <v/>
      </c>
      <c r="S155" s="39" t="str">
        <f aca="false">IF($A155="","",IFERROR($R155/$H155,""))</f>
        <v/>
      </c>
      <c r="T155" s="32"/>
      <c r="U155" s="37" t="str">
        <f aca="false">IF($C155="","",IFERROR(INDEX(PR!$A$4:$A$203,MATCH($C155,PR!$C$4:$C$203,0)),""))</f>
        <v/>
      </c>
      <c r="V155" s="32"/>
    </row>
    <row r="156" customFormat="false" ht="15" hidden="false" customHeight="false" outlineLevel="0" collapsed="false">
      <c r="A156" s="32"/>
      <c r="B156" s="33"/>
      <c r="C156" s="32"/>
      <c r="D156" s="37" t="str">
        <f aca="false">IF($C156="","",IFERROR(INDEX('Check giá'!$C$4:$C$203,MATCH($C156,'Check giá'!$A$4:$A$203,0)),""))</f>
        <v/>
      </c>
      <c r="E156" s="37" t="str">
        <f aca="false">IF($C156="","",IFERROR(INDEX('Check giá'!$D$4:$D$203,MATCH($C156,'Check giá'!$A$4:$A$203,0)),""))</f>
        <v/>
      </c>
      <c r="F156" s="37" t="str">
        <f aca="false">IF($C156="","",IFERROR(INDEX('Check giá'!$F$4:$F$203,MATCH($C156,'Check giá'!$A$4:$A$203,0)),""))</f>
        <v/>
      </c>
      <c r="G156" s="38" t="str">
        <f aca="false">IF($C156="","",IFERROR(INDEX('Check giá'!$H$4:$H$203,MATCH($C156,'Check giá'!$A$4:$A$203,0)),""))</f>
        <v/>
      </c>
      <c r="H156" s="38" t="str">
        <f aca="false">IF($C156="","",IFERROR(INDEX('Check giá'!$J$4:$J$203,MATCH($C156,'Check giá'!$A$4:$A$203,0)),""))</f>
        <v/>
      </c>
      <c r="I156" s="32"/>
      <c r="J156" s="37" t="str">
        <f aca="false">IF($I156="","",IFERROR(INDEX('Nhà cung cấp'!$B$4:$B$203,MATCH($I156,'Nhà cung cấp'!$A$4:$A$203,0)),""))</f>
        <v/>
      </c>
      <c r="K156" s="34"/>
      <c r="L156" s="38" t="str">
        <f aca="false">IF($A156="","",IFERROR($G156*$K156,""))</f>
        <v/>
      </c>
      <c r="M156" s="34"/>
      <c r="N156" s="38" t="str">
        <f aca="false">IF($I156="","",IFERROR(INDEX('Nhà cung cấp'!$G$4:$G$203,MATCH($I156,'Nhà cung cấp'!$A$4:$A$203,0)),""))</f>
        <v/>
      </c>
      <c r="O156" s="33"/>
      <c r="P156" s="38" t="str">
        <f aca="false">IF($C156="","",IFERROR(_xlfn.MINIFS($L$4:$L$203,$C$4:$C$203,$C156,$L$4:$L$203,"&gt;0"),""))</f>
        <v/>
      </c>
      <c r="Q156" s="38" t="str">
        <f aca="false">IF($A156="","",IFERROR($L156-$P156,""))</f>
        <v/>
      </c>
      <c r="R156" s="38" t="str">
        <f aca="false">IF($A156="","",IFERROR($L156-$H156,""))</f>
        <v/>
      </c>
      <c r="S156" s="39" t="str">
        <f aca="false">IF($A156="","",IFERROR($R156/$H156,""))</f>
        <v/>
      </c>
      <c r="T156" s="32"/>
      <c r="U156" s="37" t="str">
        <f aca="false">IF($C156="","",IFERROR(INDEX(PR!$A$4:$A$203,MATCH($C156,PR!$C$4:$C$203,0)),""))</f>
        <v/>
      </c>
      <c r="V156" s="32"/>
    </row>
    <row r="157" customFormat="false" ht="15" hidden="false" customHeight="false" outlineLevel="0" collapsed="false">
      <c r="A157" s="32"/>
      <c r="B157" s="33"/>
      <c r="C157" s="32"/>
      <c r="D157" s="37" t="str">
        <f aca="false">IF($C157="","",IFERROR(INDEX('Check giá'!$C$4:$C$203,MATCH($C157,'Check giá'!$A$4:$A$203,0)),""))</f>
        <v/>
      </c>
      <c r="E157" s="37" t="str">
        <f aca="false">IF($C157="","",IFERROR(INDEX('Check giá'!$D$4:$D$203,MATCH($C157,'Check giá'!$A$4:$A$203,0)),""))</f>
        <v/>
      </c>
      <c r="F157" s="37" t="str">
        <f aca="false">IF($C157="","",IFERROR(INDEX('Check giá'!$F$4:$F$203,MATCH($C157,'Check giá'!$A$4:$A$203,0)),""))</f>
        <v/>
      </c>
      <c r="G157" s="38" t="str">
        <f aca="false">IF($C157="","",IFERROR(INDEX('Check giá'!$H$4:$H$203,MATCH($C157,'Check giá'!$A$4:$A$203,0)),""))</f>
        <v/>
      </c>
      <c r="H157" s="38" t="str">
        <f aca="false">IF($C157="","",IFERROR(INDEX('Check giá'!$J$4:$J$203,MATCH($C157,'Check giá'!$A$4:$A$203,0)),""))</f>
        <v/>
      </c>
      <c r="I157" s="32"/>
      <c r="J157" s="37" t="str">
        <f aca="false">IF($I157="","",IFERROR(INDEX('Nhà cung cấp'!$B$4:$B$203,MATCH($I157,'Nhà cung cấp'!$A$4:$A$203,0)),""))</f>
        <v/>
      </c>
      <c r="K157" s="34"/>
      <c r="L157" s="38" t="str">
        <f aca="false">IF($A157="","",IFERROR($G157*$K157,""))</f>
        <v/>
      </c>
      <c r="M157" s="34"/>
      <c r="N157" s="38" t="str">
        <f aca="false">IF($I157="","",IFERROR(INDEX('Nhà cung cấp'!$G$4:$G$203,MATCH($I157,'Nhà cung cấp'!$A$4:$A$203,0)),""))</f>
        <v/>
      </c>
      <c r="O157" s="33"/>
      <c r="P157" s="38" t="str">
        <f aca="false">IF($C157="","",IFERROR(_xlfn.MINIFS($L$4:$L$203,$C$4:$C$203,$C157,$L$4:$L$203,"&gt;0"),""))</f>
        <v/>
      </c>
      <c r="Q157" s="38" t="str">
        <f aca="false">IF($A157="","",IFERROR($L157-$P157,""))</f>
        <v/>
      </c>
      <c r="R157" s="38" t="str">
        <f aca="false">IF($A157="","",IFERROR($L157-$H157,""))</f>
        <v/>
      </c>
      <c r="S157" s="39" t="str">
        <f aca="false">IF($A157="","",IFERROR($R157/$H157,""))</f>
        <v/>
      </c>
      <c r="T157" s="32"/>
      <c r="U157" s="37" t="str">
        <f aca="false">IF($C157="","",IFERROR(INDEX(PR!$A$4:$A$203,MATCH($C157,PR!$C$4:$C$203,0)),""))</f>
        <v/>
      </c>
      <c r="V157" s="32"/>
    </row>
    <row r="158" customFormat="false" ht="15" hidden="false" customHeight="false" outlineLevel="0" collapsed="false">
      <c r="A158" s="32"/>
      <c r="B158" s="33"/>
      <c r="C158" s="32"/>
      <c r="D158" s="37" t="str">
        <f aca="false">IF($C158="","",IFERROR(INDEX('Check giá'!$C$4:$C$203,MATCH($C158,'Check giá'!$A$4:$A$203,0)),""))</f>
        <v/>
      </c>
      <c r="E158" s="37" t="str">
        <f aca="false">IF($C158="","",IFERROR(INDEX('Check giá'!$D$4:$D$203,MATCH($C158,'Check giá'!$A$4:$A$203,0)),""))</f>
        <v/>
      </c>
      <c r="F158" s="37" t="str">
        <f aca="false">IF($C158="","",IFERROR(INDEX('Check giá'!$F$4:$F$203,MATCH($C158,'Check giá'!$A$4:$A$203,0)),""))</f>
        <v/>
      </c>
      <c r="G158" s="38" t="str">
        <f aca="false">IF($C158="","",IFERROR(INDEX('Check giá'!$H$4:$H$203,MATCH($C158,'Check giá'!$A$4:$A$203,0)),""))</f>
        <v/>
      </c>
      <c r="H158" s="38" t="str">
        <f aca="false">IF($C158="","",IFERROR(INDEX('Check giá'!$J$4:$J$203,MATCH($C158,'Check giá'!$A$4:$A$203,0)),""))</f>
        <v/>
      </c>
      <c r="I158" s="32"/>
      <c r="J158" s="37" t="str">
        <f aca="false">IF($I158="","",IFERROR(INDEX('Nhà cung cấp'!$B$4:$B$203,MATCH($I158,'Nhà cung cấp'!$A$4:$A$203,0)),""))</f>
        <v/>
      </c>
      <c r="K158" s="34"/>
      <c r="L158" s="38" t="str">
        <f aca="false">IF($A158="","",IFERROR($G158*$K158,""))</f>
        <v/>
      </c>
      <c r="M158" s="34"/>
      <c r="N158" s="38" t="str">
        <f aca="false">IF($I158="","",IFERROR(INDEX('Nhà cung cấp'!$G$4:$G$203,MATCH($I158,'Nhà cung cấp'!$A$4:$A$203,0)),""))</f>
        <v/>
      </c>
      <c r="O158" s="33"/>
      <c r="P158" s="38" t="str">
        <f aca="false">IF($C158="","",IFERROR(_xlfn.MINIFS($L$4:$L$203,$C$4:$C$203,$C158,$L$4:$L$203,"&gt;0"),""))</f>
        <v/>
      </c>
      <c r="Q158" s="38" t="str">
        <f aca="false">IF($A158="","",IFERROR($L158-$P158,""))</f>
        <v/>
      </c>
      <c r="R158" s="38" t="str">
        <f aca="false">IF($A158="","",IFERROR($L158-$H158,""))</f>
        <v/>
      </c>
      <c r="S158" s="39" t="str">
        <f aca="false">IF($A158="","",IFERROR($R158/$H158,""))</f>
        <v/>
      </c>
      <c r="T158" s="32"/>
      <c r="U158" s="37" t="str">
        <f aca="false">IF($C158="","",IFERROR(INDEX(PR!$A$4:$A$203,MATCH($C158,PR!$C$4:$C$203,0)),""))</f>
        <v/>
      </c>
      <c r="V158" s="32"/>
    </row>
    <row r="159" customFormat="false" ht="15" hidden="false" customHeight="false" outlineLevel="0" collapsed="false">
      <c r="A159" s="32"/>
      <c r="B159" s="33"/>
      <c r="C159" s="32"/>
      <c r="D159" s="37" t="str">
        <f aca="false">IF($C159="","",IFERROR(INDEX('Check giá'!$C$4:$C$203,MATCH($C159,'Check giá'!$A$4:$A$203,0)),""))</f>
        <v/>
      </c>
      <c r="E159" s="37" t="str">
        <f aca="false">IF($C159="","",IFERROR(INDEX('Check giá'!$D$4:$D$203,MATCH($C159,'Check giá'!$A$4:$A$203,0)),""))</f>
        <v/>
      </c>
      <c r="F159" s="37" t="str">
        <f aca="false">IF($C159="","",IFERROR(INDEX('Check giá'!$F$4:$F$203,MATCH($C159,'Check giá'!$A$4:$A$203,0)),""))</f>
        <v/>
      </c>
      <c r="G159" s="38" t="str">
        <f aca="false">IF($C159="","",IFERROR(INDEX('Check giá'!$H$4:$H$203,MATCH($C159,'Check giá'!$A$4:$A$203,0)),""))</f>
        <v/>
      </c>
      <c r="H159" s="38" t="str">
        <f aca="false">IF($C159="","",IFERROR(INDEX('Check giá'!$J$4:$J$203,MATCH($C159,'Check giá'!$A$4:$A$203,0)),""))</f>
        <v/>
      </c>
      <c r="I159" s="32"/>
      <c r="J159" s="37" t="str">
        <f aca="false">IF($I159="","",IFERROR(INDEX('Nhà cung cấp'!$B$4:$B$203,MATCH($I159,'Nhà cung cấp'!$A$4:$A$203,0)),""))</f>
        <v/>
      </c>
      <c r="K159" s="34"/>
      <c r="L159" s="38" t="str">
        <f aca="false">IF($A159="","",IFERROR($G159*$K159,""))</f>
        <v/>
      </c>
      <c r="M159" s="34"/>
      <c r="N159" s="38" t="str">
        <f aca="false">IF($I159="","",IFERROR(INDEX('Nhà cung cấp'!$G$4:$G$203,MATCH($I159,'Nhà cung cấp'!$A$4:$A$203,0)),""))</f>
        <v/>
      </c>
      <c r="O159" s="33"/>
      <c r="P159" s="38" t="str">
        <f aca="false">IF($C159="","",IFERROR(_xlfn.MINIFS($L$4:$L$203,$C$4:$C$203,$C159,$L$4:$L$203,"&gt;0"),""))</f>
        <v/>
      </c>
      <c r="Q159" s="38" t="str">
        <f aca="false">IF($A159="","",IFERROR($L159-$P159,""))</f>
        <v/>
      </c>
      <c r="R159" s="38" t="str">
        <f aca="false">IF($A159="","",IFERROR($L159-$H159,""))</f>
        <v/>
      </c>
      <c r="S159" s="39" t="str">
        <f aca="false">IF($A159="","",IFERROR($R159/$H159,""))</f>
        <v/>
      </c>
      <c r="T159" s="32"/>
      <c r="U159" s="37" t="str">
        <f aca="false">IF($C159="","",IFERROR(INDEX(PR!$A$4:$A$203,MATCH($C159,PR!$C$4:$C$203,0)),""))</f>
        <v/>
      </c>
      <c r="V159" s="32"/>
    </row>
    <row r="160" customFormat="false" ht="15" hidden="false" customHeight="false" outlineLevel="0" collapsed="false">
      <c r="A160" s="32"/>
      <c r="B160" s="33"/>
      <c r="C160" s="32"/>
      <c r="D160" s="37" t="str">
        <f aca="false">IF($C160="","",IFERROR(INDEX('Check giá'!$C$4:$C$203,MATCH($C160,'Check giá'!$A$4:$A$203,0)),""))</f>
        <v/>
      </c>
      <c r="E160" s="37" t="str">
        <f aca="false">IF($C160="","",IFERROR(INDEX('Check giá'!$D$4:$D$203,MATCH($C160,'Check giá'!$A$4:$A$203,0)),""))</f>
        <v/>
      </c>
      <c r="F160" s="37" t="str">
        <f aca="false">IF($C160="","",IFERROR(INDEX('Check giá'!$F$4:$F$203,MATCH($C160,'Check giá'!$A$4:$A$203,0)),""))</f>
        <v/>
      </c>
      <c r="G160" s="38" t="str">
        <f aca="false">IF($C160="","",IFERROR(INDEX('Check giá'!$H$4:$H$203,MATCH($C160,'Check giá'!$A$4:$A$203,0)),""))</f>
        <v/>
      </c>
      <c r="H160" s="38" t="str">
        <f aca="false">IF($C160="","",IFERROR(INDEX('Check giá'!$J$4:$J$203,MATCH($C160,'Check giá'!$A$4:$A$203,0)),""))</f>
        <v/>
      </c>
      <c r="I160" s="32"/>
      <c r="J160" s="37" t="str">
        <f aca="false">IF($I160="","",IFERROR(INDEX('Nhà cung cấp'!$B$4:$B$203,MATCH($I160,'Nhà cung cấp'!$A$4:$A$203,0)),""))</f>
        <v/>
      </c>
      <c r="K160" s="34"/>
      <c r="L160" s="38" t="str">
        <f aca="false">IF($A160="","",IFERROR($G160*$K160,""))</f>
        <v/>
      </c>
      <c r="M160" s="34"/>
      <c r="N160" s="38" t="str">
        <f aca="false">IF($I160="","",IFERROR(INDEX('Nhà cung cấp'!$G$4:$G$203,MATCH($I160,'Nhà cung cấp'!$A$4:$A$203,0)),""))</f>
        <v/>
      </c>
      <c r="O160" s="33"/>
      <c r="P160" s="38" t="str">
        <f aca="false">IF($C160="","",IFERROR(_xlfn.MINIFS($L$4:$L$203,$C$4:$C$203,$C160,$L$4:$L$203,"&gt;0"),""))</f>
        <v/>
      </c>
      <c r="Q160" s="38" t="str">
        <f aca="false">IF($A160="","",IFERROR($L160-$P160,""))</f>
        <v/>
      </c>
      <c r="R160" s="38" t="str">
        <f aca="false">IF($A160="","",IFERROR($L160-$H160,""))</f>
        <v/>
      </c>
      <c r="S160" s="39" t="str">
        <f aca="false">IF($A160="","",IFERROR($R160/$H160,""))</f>
        <v/>
      </c>
      <c r="T160" s="32"/>
      <c r="U160" s="37" t="str">
        <f aca="false">IF($C160="","",IFERROR(INDEX(PR!$A$4:$A$203,MATCH($C160,PR!$C$4:$C$203,0)),""))</f>
        <v/>
      </c>
      <c r="V160" s="32"/>
    </row>
    <row r="161" customFormat="false" ht="15" hidden="false" customHeight="false" outlineLevel="0" collapsed="false">
      <c r="A161" s="32"/>
      <c r="B161" s="33"/>
      <c r="C161" s="32"/>
      <c r="D161" s="37" t="str">
        <f aca="false">IF($C161="","",IFERROR(INDEX('Check giá'!$C$4:$C$203,MATCH($C161,'Check giá'!$A$4:$A$203,0)),""))</f>
        <v/>
      </c>
      <c r="E161" s="37" t="str">
        <f aca="false">IF($C161="","",IFERROR(INDEX('Check giá'!$D$4:$D$203,MATCH($C161,'Check giá'!$A$4:$A$203,0)),""))</f>
        <v/>
      </c>
      <c r="F161" s="37" t="str">
        <f aca="false">IF($C161="","",IFERROR(INDEX('Check giá'!$F$4:$F$203,MATCH($C161,'Check giá'!$A$4:$A$203,0)),""))</f>
        <v/>
      </c>
      <c r="G161" s="38" t="str">
        <f aca="false">IF($C161="","",IFERROR(INDEX('Check giá'!$H$4:$H$203,MATCH($C161,'Check giá'!$A$4:$A$203,0)),""))</f>
        <v/>
      </c>
      <c r="H161" s="38" t="str">
        <f aca="false">IF($C161="","",IFERROR(INDEX('Check giá'!$J$4:$J$203,MATCH($C161,'Check giá'!$A$4:$A$203,0)),""))</f>
        <v/>
      </c>
      <c r="I161" s="32"/>
      <c r="J161" s="37" t="str">
        <f aca="false">IF($I161="","",IFERROR(INDEX('Nhà cung cấp'!$B$4:$B$203,MATCH($I161,'Nhà cung cấp'!$A$4:$A$203,0)),""))</f>
        <v/>
      </c>
      <c r="K161" s="34"/>
      <c r="L161" s="38" t="str">
        <f aca="false">IF($A161="","",IFERROR($G161*$K161,""))</f>
        <v/>
      </c>
      <c r="M161" s="34"/>
      <c r="N161" s="38" t="str">
        <f aca="false">IF($I161="","",IFERROR(INDEX('Nhà cung cấp'!$G$4:$G$203,MATCH($I161,'Nhà cung cấp'!$A$4:$A$203,0)),""))</f>
        <v/>
      </c>
      <c r="O161" s="33"/>
      <c r="P161" s="38" t="str">
        <f aca="false">IF($C161="","",IFERROR(_xlfn.MINIFS($L$4:$L$203,$C$4:$C$203,$C161,$L$4:$L$203,"&gt;0"),""))</f>
        <v/>
      </c>
      <c r="Q161" s="38" t="str">
        <f aca="false">IF($A161="","",IFERROR($L161-$P161,""))</f>
        <v/>
      </c>
      <c r="R161" s="38" t="str">
        <f aca="false">IF($A161="","",IFERROR($L161-$H161,""))</f>
        <v/>
      </c>
      <c r="S161" s="39" t="str">
        <f aca="false">IF($A161="","",IFERROR($R161/$H161,""))</f>
        <v/>
      </c>
      <c r="T161" s="32"/>
      <c r="U161" s="37" t="str">
        <f aca="false">IF($C161="","",IFERROR(INDEX(PR!$A$4:$A$203,MATCH($C161,PR!$C$4:$C$203,0)),""))</f>
        <v/>
      </c>
      <c r="V161" s="32"/>
    </row>
    <row r="162" customFormat="false" ht="15" hidden="false" customHeight="false" outlineLevel="0" collapsed="false">
      <c r="A162" s="32"/>
      <c r="B162" s="33"/>
      <c r="C162" s="32"/>
      <c r="D162" s="37" t="str">
        <f aca="false">IF($C162="","",IFERROR(INDEX('Check giá'!$C$4:$C$203,MATCH($C162,'Check giá'!$A$4:$A$203,0)),""))</f>
        <v/>
      </c>
      <c r="E162" s="37" t="str">
        <f aca="false">IF($C162="","",IFERROR(INDEX('Check giá'!$D$4:$D$203,MATCH($C162,'Check giá'!$A$4:$A$203,0)),""))</f>
        <v/>
      </c>
      <c r="F162" s="37" t="str">
        <f aca="false">IF($C162="","",IFERROR(INDEX('Check giá'!$F$4:$F$203,MATCH($C162,'Check giá'!$A$4:$A$203,0)),""))</f>
        <v/>
      </c>
      <c r="G162" s="38" t="str">
        <f aca="false">IF($C162="","",IFERROR(INDEX('Check giá'!$H$4:$H$203,MATCH($C162,'Check giá'!$A$4:$A$203,0)),""))</f>
        <v/>
      </c>
      <c r="H162" s="38" t="str">
        <f aca="false">IF($C162="","",IFERROR(INDEX('Check giá'!$J$4:$J$203,MATCH($C162,'Check giá'!$A$4:$A$203,0)),""))</f>
        <v/>
      </c>
      <c r="I162" s="32"/>
      <c r="J162" s="37" t="str">
        <f aca="false">IF($I162="","",IFERROR(INDEX('Nhà cung cấp'!$B$4:$B$203,MATCH($I162,'Nhà cung cấp'!$A$4:$A$203,0)),""))</f>
        <v/>
      </c>
      <c r="K162" s="34"/>
      <c r="L162" s="38" t="str">
        <f aca="false">IF($A162="","",IFERROR($G162*$K162,""))</f>
        <v/>
      </c>
      <c r="M162" s="34"/>
      <c r="N162" s="38" t="str">
        <f aca="false">IF($I162="","",IFERROR(INDEX('Nhà cung cấp'!$G$4:$G$203,MATCH($I162,'Nhà cung cấp'!$A$4:$A$203,0)),""))</f>
        <v/>
      </c>
      <c r="O162" s="33"/>
      <c r="P162" s="38" t="str">
        <f aca="false">IF($C162="","",IFERROR(_xlfn.MINIFS($L$4:$L$203,$C$4:$C$203,$C162,$L$4:$L$203,"&gt;0"),""))</f>
        <v/>
      </c>
      <c r="Q162" s="38" t="str">
        <f aca="false">IF($A162="","",IFERROR($L162-$P162,""))</f>
        <v/>
      </c>
      <c r="R162" s="38" t="str">
        <f aca="false">IF($A162="","",IFERROR($L162-$H162,""))</f>
        <v/>
      </c>
      <c r="S162" s="39" t="str">
        <f aca="false">IF($A162="","",IFERROR($R162/$H162,""))</f>
        <v/>
      </c>
      <c r="T162" s="32"/>
      <c r="U162" s="37" t="str">
        <f aca="false">IF($C162="","",IFERROR(INDEX(PR!$A$4:$A$203,MATCH($C162,PR!$C$4:$C$203,0)),""))</f>
        <v/>
      </c>
      <c r="V162" s="32"/>
    </row>
    <row r="163" customFormat="false" ht="15" hidden="false" customHeight="false" outlineLevel="0" collapsed="false">
      <c r="A163" s="32"/>
      <c r="B163" s="33"/>
      <c r="C163" s="32"/>
      <c r="D163" s="37" t="str">
        <f aca="false">IF($C163="","",IFERROR(INDEX('Check giá'!$C$4:$C$203,MATCH($C163,'Check giá'!$A$4:$A$203,0)),""))</f>
        <v/>
      </c>
      <c r="E163" s="37" t="str">
        <f aca="false">IF($C163="","",IFERROR(INDEX('Check giá'!$D$4:$D$203,MATCH($C163,'Check giá'!$A$4:$A$203,0)),""))</f>
        <v/>
      </c>
      <c r="F163" s="37" t="str">
        <f aca="false">IF($C163="","",IFERROR(INDEX('Check giá'!$F$4:$F$203,MATCH($C163,'Check giá'!$A$4:$A$203,0)),""))</f>
        <v/>
      </c>
      <c r="G163" s="38" t="str">
        <f aca="false">IF($C163="","",IFERROR(INDEX('Check giá'!$H$4:$H$203,MATCH($C163,'Check giá'!$A$4:$A$203,0)),""))</f>
        <v/>
      </c>
      <c r="H163" s="38" t="str">
        <f aca="false">IF($C163="","",IFERROR(INDEX('Check giá'!$J$4:$J$203,MATCH($C163,'Check giá'!$A$4:$A$203,0)),""))</f>
        <v/>
      </c>
      <c r="I163" s="32"/>
      <c r="J163" s="37" t="str">
        <f aca="false">IF($I163="","",IFERROR(INDEX('Nhà cung cấp'!$B$4:$B$203,MATCH($I163,'Nhà cung cấp'!$A$4:$A$203,0)),""))</f>
        <v/>
      </c>
      <c r="K163" s="34"/>
      <c r="L163" s="38" t="str">
        <f aca="false">IF($A163="","",IFERROR($G163*$K163,""))</f>
        <v/>
      </c>
      <c r="M163" s="34"/>
      <c r="N163" s="38" t="str">
        <f aca="false">IF($I163="","",IFERROR(INDEX('Nhà cung cấp'!$G$4:$G$203,MATCH($I163,'Nhà cung cấp'!$A$4:$A$203,0)),""))</f>
        <v/>
      </c>
      <c r="O163" s="33"/>
      <c r="P163" s="38" t="str">
        <f aca="false">IF($C163="","",IFERROR(_xlfn.MINIFS($L$4:$L$203,$C$4:$C$203,$C163,$L$4:$L$203,"&gt;0"),""))</f>
        <v/>
      </c>
      <c r="Q163" s="38" t="str">
        <f aca="false">IF($A163="","",IFERROR($L163-$P163,""))</f>
        <v/>
      </c>
      <c r="R163" s="38" t="str">
        <f aca="false">IF($A163="","",IFERROR($L163-$H163,""))</f>
        <v/>
      </c>
      <c r="S163" s="39" t="str">
        <f aca="false">IF($A163="","",IFERROR($R163/$H163,""))</f>
        <v/>
      </c>
      <c r="T163" s="32"/>
      <c r="U163" s="37" t="str">
        <f aca="false">IF($C163="","",IFERROR(INDEX(PR!$A$4:$A$203,MATCH($C163,PR!$C$4:$C$203,0)),""))</f>
        <v/>
      </c>
      <c r="V163" s="32"/>
    </row>
    <row r="164" customFormat="false" ht="15" hidden="false" customHeight="false" outlineLevel="0" collapsed="false">
      <c r="A164" s="32"/>
      <c r="B164" s="33"/>
      <c r="C164" s="32"/>
      <c r="D164" s="37" t="str">
        <f aca="false">IF($C164="","",IFERROR(INDEX('Check giá'!$C$4:$C$203,MATCH($C164,'Check giá'!$A$4:$A$203,0)),""))</f>
        <v/>
      </c>
      <c r="E164" s="37" t="str">
        <f aca="false">IF($C164="","",IFERROR(INDEX('Check giá'!$D$4:$D$203,MATCH($C164,'Check giá'!$A$4:$A$203,0)),""))</f>
        <v/>
      </c>
      <c r="F164" s="37" t="str">
        <f aca="false">IF($C164="","",IFERROR(INDEX('Check giá'!$F$4:$F$203,MATCH($C164,'Check giá'!$A$4:$A$203,0)),""))</f>
        <v/>
      </c>
      <c r="G164" s="38" t="str">
        <f aca="false">IF($C164="","",IFERROR(INDEX('Check giá'!$H$4:$H$203,MATCH($C164,'Check giá'!$A$4:$A$203,0)),""))</f>
        <v/>
      </c>
      <c r="H164" s="38" t="str">
        <f aca="false">IF($C164="","",IFERROR(INDEX('Check giá'!$J$4:$J$203,MATCH($C164,'Check giá'!$A$4:$A$203,0)),""))</f>
        <v/>
      </c>
      <c r="I164" s="32"/>
      <c r="J164" s="37" t="str">
        <f aca="false">IF($I164="","",IFERROR(INDEX('Nhà cung cấp'!$B$4:$B$203,MATCH($I164,'Nhà cung cấp'!$A$4:$A$203,0)),""))</f>
        <v/>
      </c>
      <c r="K164" s="34"/>
      <c r="L164" s="38" t="str">
        <f aca="false">IF($A164="","",IFERROR($G164*$K164,""))</f>
        <v/>
      </c>
      <c r="M164" s="34"/>
      <c r="N164" s="38" t="str">
        <f aca="false">IF($I164="","",IFERROR(INDEX('Nhà cung cấp'!$G$4:$G$203,MATCH($I164,'Nhà cung cấp'!$A$4:$A$203,0)),""))</f>
        <v/>
      </c>
      <c r="O164" s="33"/>
      <c r="P164" s="38" t="str">
        <f aca="false">IF($C164="","",IFERROR(_xlfn.MINIFS($L$4:$L$203,$C$4:$C$203,$C164,$L$4:$L$203,"&gt;0"),""))</f>
        <v/>
      </c>
      <c r="Q164" s="38" t="str">
        <f aca="false">IF($A164="","",IFERROR($L164-$P164,""))</f>
        <v/>
      </c>
      <c r="R164" s="38" t="str">
        <f aca="false">IF($A164="","",IFERROR($L164-$H164,""))</f>
        <v/>
      </c>
      <c r="S164" s="39" t="str">
        <f aca="false">IF($A164="","",IFERROR($R164/$H164,""))</f>
        <v/>
      </c>
      <c r="T164" s="32"/>
      <c r="U164" s="37" t="str">
        <f aca="false">IF($C164="","",IFERROR(INDEX(PR!$A$4:$A$203,MATCH($C164,PR!$C$4:$C$203,0)),""))</f>
        <v/>
      </c>
      <c r="V164" s="32"/>
    </row>
    <row r="165" customFormat="false" ht="15" hidden="false" customHeight="false" outlineLevel="0" collapsed="false">
      <c r="A165" s="32"/>
      <c r="B165" s="33"/>
      <c r="C165" s="32"/>
      <c r="D165" s="37" t="str">
        <f aca="false">IF($C165="","",IFERROR(INDEX('Check giá'!$C$4:$C$203,MATCH($C165,'Check giá'!$A$4:$A$203,0)),""))</f>
        <v/>
      </c>
      <c r="E165" s="37" t="str">
        <f aca="false">IF($C165="","",IFERROR(INDEX('Check giá'!$D$4:$D$203,MATCH($C165,'Check giá'!$A$4:$A$203,0)),""))</f>
        <v/>
      </c>
      <c r="F165" s="37" t="str">
        <f aca="false">IF($C165="","",IFERROR(INDEX('Check giá'!$F$4:$F$203,MATCH($C165,'Check giá'!$A$4:$A$203,0)),""))</f>
        <v/>
      </c>
      <c r="G165" s="38" t="str">
        <f aca="false">IF($C165="","",IFERROR(INDEX('Check giá'!$H$4:$H$203,MATCH($C165,'Check giá'!$A$4:$A$203,0)),""))</f>
        <v/>
      </c>
      <c r="H165" s="38" t="str">
        <f aca="false">IF($C165="","",IFERROR(INDEX('Check giá'!$J$4:$J$203,MATCH($C165,'Check giá'!$A$4:$A$203,0)),""))</f>
        <v/>
      </c>
      <c r="I165" s="32"/>
      <c r="J165" s="37" t="str">
        <f aca="false">IF($I165="","",IFERROR(INDEX('Nhà cung cấp'!$B$4:$B$203,MATCH($I165,'Nhà cung cấp'!$A$4:$A$203,0)),""))</f>
        <v/>
      </c>
      <c r="K165" s="34"/>
      <c r="L165" s="38" t="str">
        <f aca="false">IF($A165="","",IFERROR($G165*$K165,""))</f>
        <v/>
      </c>
      <c r="M165" s="34"/>
      <c r="N165" s="38" t="str">
        <f aca="false">IF($I165="","",IFERROR(INDEX('Nhà cung cấp'!$G$4:$G$203,MATCH($I165,'Nhà cung cấp'!$A$4:$A$203,0)),""))</f>
        <v/>
      </c>
      <c r="O165" s="33"/>
      <c r="P165" s="38" t="str">
        <f aca="false">IF($C165="","",IFERROR(_xlfn.MINIFS($L$4:$L$203,$C$4:$C$203,$C165,$L$4:$L$203,"&gt;0"),""))</f>
        <v/>
      </c>
      <c r="Q165" s="38" t="str">
        <f aca="false">IF($A165="","",IFERROR($L165-$P165,""))</f>
        <v/>
      </c>
      <c r="R165" s="38" t="str">
        <f aca="false">IF($A165="","",IFERROR($L165-$H165,""))</f>
        <v/>
      </c>
      <c r="S165" s="39" t="str">
        <f aca="false">IF($A165="","",IFERROR($R165/$H165,""))</f>
        <v/>
      </c>
      <c r="T165" s="32"/>
      <c r="U165" s="37" t="str">
        <f aca="false">IF($C165="","",IFERROR(INDEX(PR!$A$4:$A$203,MATCH($C165,PR!$C$4:$C$203,0)),""))</f>
        <v/>
      </c>
      <c r="V165" s="32"/>
    </row>
    <row r="166" customFormat="false" ht="15" hidden="false" customHeight="false" outlineLevel="0" collapsed="false">
      <c r="A166" s="32"/>
      <c r="B166" s="33"/>
      <c r="C166" s="32"/>
      <c r="D166" s="37" t="str">
        <f aca="false">IF($C166="","",IFERROR(INDEX('Check giá'!$C$4:$C$203,MATCH($C166,'Check giá'!$A$4:$A$203,0)),""))</f>
        <v/>
      </c>
      <c r="E166" s="37" t="str">
        <f aca="false">IF($C166="","",IFERROR(INDEX('Check giá'!$D$4:$D$203,MATCH($C166,'Check giá'!$A$4:$A$203,0)),""))</f>
        <v/>
      </c>
      <c r="F166" s="37" t="str">
        <f aca="false">IF($C166="","",IFERROR(INDEX('Check giá'!$F$4:$F$203,MATCH($C166,'Check giá'!$A$4:$A$203,0)),""))</f>
        <v/>
      </c>
      <c r="G166" s="38" t="str">
        <f aca="false">IF($C166="","",IFERROR(INDEX('Check giá'!$H$4:$H$203,MATCH($C166,'Check giá'!$A$4:$A$203,0)),""))</f>
        <v/>
      </c>
      <c r="H166" s="38" t="str">
        <f aca="false">IF($C166="","",IFERROR(INDEX('Check giá'!$J$4:$J$203,MATCH($C166,'Check giá'!$A$4:$A$203,0)),""))</f>
        <v/>
      </c>
      <c r="I166" s="32"/>
      <c r="J166" s="37" t="str">
        <f aca="false">IF($I166="","",IFERROR(INDEX('Nhà cung cấp'!$B$4:$B$203,MATCH($I166,'Nhà cung cấp'!$A$4:$A$203,0)),""))</f>
        <v/>
      </c>
      <c r="K166" s="34"/>
      <c r="L166" s="38" t="str">
        <f aca="false">IF($A166="","",IFERROR($G166*$K166,""))</f>
        <v/>
      </c>
      <c r="M166" s="34"/>
      <c r="N166" s="38" t="str">
        <f aca="false">IF($I166="","",IFERROR(INDEX('Nhà cung cấp'!$G$4:$G$203,MATCH($I166,'Nhà cung cấp'!$A$4:$A$203,0)),""))</f>
        <v/>
      </c>
      <c r="O166" s="33"/>
      <c r="P166" s="38" t="str">
        <f aca="false">IF($C166="","",IFERROR(_xlfn.MINIFS($L$4:$L$203,$C$4:$C$203,$C166,$L$4:$L$203,"&gt;0"),""))</f>
        <v/>
      </c>
      <c r="Q166" s="38" t="str">
        <f aca="false">IF($A166="","",IFERROR($L166-$P166,""))</f>
        <v/>
      </c>
      <c r="R166" s="38" t="str">
        <f aca="false">IF($A166="","",IFERROR($L166-$H166,""))</f>
        <v/>
      </c>
      <c r="S166" s="39" t="str">
        <f aca="false">IF($A166="","",IFERROR($R166/$H166,""))</f>
        <v/>
      </c>
      <c r="T166" s="32"/>
      <c r="U166" s="37" t="str">
        <f aca="false">IF($C166="","",IFERROR(INDEX(PR!$A$4:$A$203,MATCH($C166,PR!$C$4:$C$203,0)),""))</f>
        <v/>
      </c>
      <c r="V166" s="32"/>
    </row>
    <row r="167" customFormat="false" ht="15" hidden="false" customHeight="false" outlineLevel="0" collapsed="false">
      <c r="A167" s="32"/>
      <c r="B167" s="33"/>
      <c r="C167" s="32"/>
      <c r="D167" s="37" t="str">
        <f aca="false">IF($C167="","",IFERROR(INDEX('Check giá'!$C$4:$C$203,MATCH($C167,'Check giá'!$A$4:$A$203,0)),""))</f>
        <v/>
      </c>
      <c r="E167" s="37" t="str">
        <f aca="false">IF($C167="","",IFERROR(INDEX('Check giá'!$D$4:$D$203,MATCH($C167,'Check giá'!$A$4:$A$203,0)),""))</f>
        <v/>
      </c>
      <c r="F167" s="37" t="str">
        <f aca="false">IF($C167="","",IFERROR(INDEX('Check giá'!$F$4:$F$203,MATCH($C167,'Check giá'!$A$4:$A$203,0)),""))</f>
        <v/>
      </c>
      <c r="G167" s="38" t="str">
        <f aca="false">IF($C167="","",IFERROR(INDEX('Check giá'!$H$4:$H$203,MATCH($C167,'Check giá'!$A$4:$A$203,0)),""))</f>
        <v/>
      </c>
      <c r="H167" s="38" t="str">
        <f aca="false">IF($C167="","",IFERROR(INDEX('Check giá'!$J$4:$J$203,MATCH($C167,'Check giá'!$A$4:$A$203,0)),""))</f>
        <v/>
      </c>
      <c r="I167" s="32"/>
      <c r="J167" s="37" t="str">
        <f aca="false">IF($I167="","",IFERROR(INDEX('Nhà cung cấp'!$B$4:$B$203,MATCH($I167,'Nhà cung cấp'!$A$4:$A$203,0)),""))</f>
        <v/>
      </c>
      <c r="K167" s="34"/>
      <c r="L167" s="38" t="str">
        <f aca="false">IF($A167="","",IFERROR($G167*$K167,""))</f>
        <v/>
      </c>
      <c r="M167" s="34"/>
      <c r="N167" s="38" t="str">
        <f aca="false">IF($I167="","",IFERROR(INDEX('Nhà cung cấp'!$G$4:$G$203,MATCH($I167,'Nhà cung cấp'!$A$4:$A$203,0)),""))</f>
        <v/>
      </c>
      <c r="O167" s="33"/>
      <c r="P167" s="38" t="str">
        <f aca="false">IF($C167="","",IFERROR(_xlfn.MINIFS($L$4:$L$203,$C$4:$C$203,$C167,$L$4:$L$203,"&gt;0"),""))</f>
        <v/>
      </c>
      <c r="Q167" s="38" t="str">
        <f aca="false">IF($A167="","",IFERROR($L167-$P167,""))</f>
        <v/>
      </c>
      <c r="R167" s="38" t="str">
        <f aca="false">IF($A167="","",IFERROR($L167-$H167,""))</f>
        <v/>
      </c>
      <c r="S167" s="39" t="str">
        <f aca="false">IF($A167="","",IFERROR($R167/$H167,""))</f>
        <v/>
      </c>
      <c r="T167" s="32"/>
      <c r="U167" s="37" t="str">
        <f aca="false">IF($C167="","",IFERROR(INDEX(PR!$A$4:$A$203,MATCH($C167,PR!$C$4:$C$203,0)),""))</f>
        <v/>
      </c>
      <c r="V167" s="32"/>
    </row>
    <row r="168" customFormat="false" ht="15" hidden="false" customHeight="false" outlineLevel="0" collapsed="false">
      <c r="A168" s="32"/>
      <c r="B168" s="33"/>
      <c r="C168" s="32"/>
      <c r="D168" s="37" t="str">
        <f aca="false">IF($C168="","",IFERROR(INDEX('Check giá'!$C$4:$C$203,MATCH($C168,'Check giá'!$A$4:$A$203,0)),""))</f>
        <v/>
      </c>
      <c r="E168" s="37" t="str">
        <f aca="false">IF($C168="","",IFERROR(INDEX('Check giá'!$D$4:$D$203,MATCH($C168,'Check giá'!$A$4:$A$203,0)),""))</f>
        <v/>
      </c>
      <c r="F168" s="37" t="str">
        <f aca="false">IF($C168="","",IFERROR(INDEX('Check giá'!$F$4:$F$203,MATCH($C168,'Check giá'!$A$4:$A$203,0)),""))</f>
        <v/>
      </c>
      <c r="G168" s="38" t="str">
        <f aca="false">IF($C168="","",IFERROR(INDEX('Check giá'!$H$4:$H$203,MATCH($C168,'Check giá'!$A$4:$A$203,0)),""))</f>
        <v/>
      </c>
      <c r="H168" s="38" t="str">
        <f aca="false">IF($C168="","",IFERROR(INDEX('Check giá'!$J$4:$J$203,MATCH($C168,'Check giá'!$A$4:$A$203,0)),""))</f>
        <v/>
      </c>
      <c r="I168" s="32"/>
      <c r="J168" s="37" t="str">
        <f aca="false">IF($I168="","",IFERROR(INDEX('Nhà cung cấp'!$B$4:$B$203,MATCH($I168,'Nhà cung cấp'!$A$4:$A$203,0)),""))</f>
        <v/>
      </c>
      <c r="K168" s="34"/>
      <c r="L168" s="38" t="str">
        <f aca="false">IF($A168="","",IFERROR($G168*$K168,""))</f>
        <v/>
      </c>
      <c r="M168" s="34"/>
      <c r="N168" s="38" t="str">
        <f aca="false">IF($I168="","",IFERROR(INDEX('Nhà cung cấp'!$G$4:$G$203,MATCH($I168,'Nhà cung cấp'!$A$4:$A$203,0)),""))</f>
        <v/>
      </c>
      <c r="O168" s="33"/>
      <c r="P168" s="38" t="str">
        <f aca="false">IF($C168="","",IFERROR(_xlfn.MINIFS($L$4:$L$203,$C$4:$C$203,$C168,$L$4:$L$203,"&gt;0"),""))</f>
        <v/>
      </c>
      <c r="Q168" s="38" t="str">
        <f aca="false">IF($A168="","",IFERROR($L168-$P168,""))</f>
        <v/>
      </c>
      <c r="R168" s="38" t="str">
        <f aca="false">IF($A168="","",IFERROR($L168-$H168,""))</f>
        <v/>
      </c>
      <c r="S168" s="39" t="str">
        <f aca="false">IF($A168="","",IFERROR($R168/$H168,""))</f>
        <v/>
      </c>
      <c r="T168" s="32"/>
      <c r="U168" s="37" t="str">
        <f aca="false">IF($C168="","",IFERROR(INDEX(PR!$A$4:$A$203,MATCH($C168,PR!$C$4:$C$203,0)),""))</f>
        <v/>
      </c>
      <c r="V168" s="32"/>
    </row>
    <row r="169" customFormat="false" ht="15" hidden="false" customHeight="false" outlineLevel="0" collapsed="false">
      <c r="A169" s="32"/>
      <c r="B169" s="33"/>
      <c r="C169" s="32"/>
      <c r="D169" s="37" t="str">
        <f aca="false">IF($C169="","",IFERROR(INDEX('Check giá'!$C$4:$C$203,MATCH($C169,'Check giá'!$A$4:$A$203,0)),""))</f>
        <v/>
      </c>
      <c r="E169" s="37" t="str">
        <f aca="false">IF($C169="","",IFERROR(INDEX('Check giá'!$D$4:$D$203,MATCH($C169,'Check giá'!$A$4:$A$203,0)),""))</f>
        <v/>
      </c>
      <c r="F169" s="37" t="str">
        <f aca="false">IF($C169="","",IFERROR(INDEX('Check giá'!$F$4:$F$203,MATCH($C169,'Check giá'!$A$4:$A$203,0)),""))</f>
        <v/>
      </c>
      <c r="G169" s="38" t="str">
        <f aca="false">IF($C169="","",IFERROR(INDEX('Check giá'!$H$4:$H$203,MATCH($C169,'Check giá'!$A$4:$A$203,0)),""))</f>
        <v/>
      </c>
      <c r="H169" s="38" t="str">
        <f aca="false">IF($C169="","",IFERROR(INDEX('Check giá'!$J$4:$J$203,MATCH($C169,'Check giá'!$A$4:$A$203,0)),""))</f>
        <v/>
      </c>
      <c r="I169" s="32"/>
      <c r="J169" s="37" t="str">
        <f aca="false">IF($I169="","",IFERROR(INDEX('Nhà cung cấp'!$B$4:$B$203,MATCH($I169,'Nhà cung cấp'!$A$4:$A$203,0)),""))</f>
        <v/>
      </c>
      <c r="K169" s="34"/>
      <c r="L169" s="38" t="str">
        <f aca="false">IF($A169="","",IFERROR($G169*$K169,""))</f>
        <v/>
      </c>
      <c r="M169" s="34"/>
      <c r="N169" s="38" t="str">
        <f aca="false">IF($I169="","",IFERROR(INDEX('Nhà cung cấp'!$G$4:$G$203,MATCH($I169,'Nhà cung cấp'!$A$4:$A$203,0)),""))</f>
        <v/>
      </c>
      <c r="O169" s="33"/>
      <c r="P169" s="38" t="str">
        <f aca="false">IF($C169="","",IFERROR(_xlfn.MINIFS($L$4:$L$203,$C$4:$C$203,$C169,$L$4:$L$203,"&gt;0"),""))</f>
        <v/>
      </c>
      <c r="Q169" s="38" t="str">
        <f aca="false">IF($A169="","",IFERROR($L169-$P169,""))</f>
        <v/>
      </c>
      <c r="R169" s="38" t="str">
        <f aca="false">IF($A169="","",IFERROR($L169-$H169,""))</f>
        <v/>
      </c>
      <c r="S169" s="39" t="str">
        <f aca="false">IF($A169="","",IFERROR($R169/$H169,""))</f>
        <v/>
      </c>
      <c r="T169" s="32"/>
      <c r="U169" s="37" t="str">
        <f aca="false">IF($C169="","",IFERROR(INDEX(PR!$A$4:$A$203,MATCH($C169,PR!$C$4:$C$203,0)),""))</f>
        <v/>
      </c>
      <c r="V169" s="32"/>
    </row>
    <row r="170" customFormat="false" ht="15" hidden="false" customHeight="false" outlineLevel="0" collapsed="false">
      <c r="A170" s="32"/>
      <c r="B170" s="33"/>
      <c r="C170" s="32"/>
      <c r="D170" s="37" t="str">
        <f aca="false">IF($C170="","",IFERROR(INDEX('Check giá'!$C$4:$C$203,MATCH($C170,'Check giá'!$A$4:$A$203,0)),""))</f>
        <v/>
      </c>
      <c r="E170" s="37" t="str">
        <f aca="false">IF($C170="","",IFERROR(INDEX('Check giá'!$D$4:$D$203,MATCH($C170,'Check giá'!$A$4:$A$203,0)),""))</f>
        <v/>
      </c>
      <c r="F170" s="37" t="str">
        <f aca="false">IF($C170="","",IFERROR(INDEX('Check giá'!$F$4:$F$203,MATCH($C170,'Check giá'!$A$4:$A$203,0)),""))</f>
        <v/>
      </c>
      <c r="G170" s="38" t="str">
        <f aca="false">IF($C170="","",IFERROR(INDEX('Check giá'!$H$4:$H$203,MATCH($C170,'Check giá'!$A$4:$A$203,0)),""))</f>
        <v/>
      </c>
      <c r="H170" s="38" t="str">
        <f aca="false">IF($C170="","",IFERROR(INDEX('Check giá'!$J$4:$J$203,MATCH($C170,'Check giá'!$A$4:$A$203,0)),""))</f>
        <v/>
      </c>
      <c r="I170" s="32"/>
      <c r="J170" s="37" t="str">
        <f aca="false">IF($I170="","",IFERROR(INDEX('Nhà cung cấp'!$B$4:$B$203,MATCH($I170,'Nhà cung cấp'!$A$4:$A$203,0)),""))</f>
        <v/>
      </c>
      <c r="K170" s="34"/>
      <c r="L170" s="38" t="str">
        <f aca="false">IF($A170="","",IFERROR($G170*$K170,""))</f>
        <v/>
      </c>
      <c r="M170" s="34"/>
      <c r="N170" s="38" t="str">
        <f aca="false">IF($I170="","",IFERROR(INDEX('Nhà cung cấp'!$G$4:$G$203,MATCH($I170,'Nhà cung cấp'!$A$4:$A$203,0)),""))</f>
        <v/>
      </c>
      <c r="O170" s="33"/>
      <c r="P170" s="38" t="str">
        <f aca="false">IF($C170="","",IFERROR(_xlfn.MINIFS($L$4:$L$203,$C$4:$C$203,$C170,$L$4:$L$203,"&gt;0"),""))</f>
        <v/>
      </c>
      <c r="Q170" s="38" t="str">
        <f aca="false">IF($A170="","",IFERROR($L170-$P170,""))</f>
        <v/>
      </c>
      <c r="R170" s="38" t="str">
        <f aca="false">IF($A170="","",IFERROR($L170-$H170,""))</f>
        <v/>
      </c>
      <c r="S170" s="39" t="str">
        <f aca="false">IF($A170="","",IFERROR($R170/$H170,""))</f>
        <v/>
      </c>
      <c r="T170" s="32"/>
      <c r="U170" s="37" t="str">
        <f aca="false">IF($C170="","",IFERROR(INDEX(PR!$A$4:$A$203,MATCH($C170,PR!$C$4:$C$203,0)),""))</f>
        <v/>
      </c>
      <c r="V170" s="32"/>
    </row>
    <row r="171" customFormat="false" ht="15" hidden="false" customHeight="false" outlineLevel="0" collapsed="false">
      <c r="A171" s="32"/>
      <c r="B171" s="33"/>
      <c r="C171" s="32"/>
      <c r="D171" s="37" t="str">
        <f aca="false">IF($C171="","",IFERROR(INDEX('Check giá'!$C$4:$C$203,MATCH($C171,'Check giá'!$A$4:$A$203,0)),""))</f>
        <v/>
      </c>
      <c r="E171" s="37" t="str">
        <f aca="false">IF($C171="","",IFERROR(INDEX('Check giá'!$D$4:$D$203,MATCH($C171,'Check giá'!$A$4:$A$203,0)),""))</f>
        <v/>
      </c>
      <c r="F171" s="37" t="str">
        <f aca="false">IF($C171="","",IFERROR(INDEX('Check giá'!$F$4:$F$203,MATCH($C171,'Check giá'!$A$4:$A$203,0)),""))</f>
        <v/>
      </c>
      <c r="G171" s="38" t="str">
        <f aca="false">IF($C171="","",IFERROR(INDEX('Check giá'!$H$4:$H$203,MATCH($C171,'Check giá'!$A$4:$A$203,0)),""))</f>
        <v/>
      </c>
      <c r="H171" s="38" t="str">
        <f aca="false">IF($C171="","",IFERROR(INDEX('Check giá'!$J$4:$J$203,MATCH($C171,'Check giá'!$A$4:$A$203,0)),""))</f>
        <v/>
      </c>
      <c r="I171" s="32"/>
      <c r="J171" s="37" t="str">
        <f aca="false">IF($I171="","",IFERROR(INDEX('Nhà cung cấp'!$B$4:$B$203,MATCH($I171,'Nhà cung cấp'!$A$4:$A$203,0)),""))</f>
        <v/>
      </c>
      <c r="K171" s="34"/>
      <c r="L171" s="38" t="str">
        <f aca="false">IF($A171="","",IFERROR($G171*$K171,""))</f>
        <v/>
      </c>
      <c r="M171" s="34"/>
      <c r="N171" s="38" t="str">
        <f aca="false">IF($I171="","",IFERROR(INDEX('Nhà cung cấp'!$G$4:$G$203,MATCH($I171,'Nhà cung cấp'!$A$4:$A$203,0)),""))</f>
        <v/>
      </c>
      <c r="O171" s="33"/>
      <c r="P171" s="38" t="str">
        <f aca="false">IF($C171="","",IFERROR(_xlfn.MINIFS($L$4:$L$203,$C$4:$C$203,$C171,$L$4:$L$203,"&gt;0"),""))</f>
        <v/>
      </c>
      <c r="Q171" s="38" t="str">
        <f aca="false">IF($A171="","",IFERROR($L171-$P171,""))</f>
        <v/>
      </c>
      <c r="R171" s="38" t="str">
        <f aca="false">IF($A171="","",IFERROR($L171-$H171,""))</f>
        <v/>
      </c>
      <c r="S171" s="39" t="str">
        <f aca="false">IF($A171="","",IFERROR($R171/$H171,""))</f>
        <v/>
      </c>
      <c r="T171" s="32"/>
      <c r="U171" s="37" t="str">
        <f aca="false">IF($C171="","",IFERROR(INDEX(PR!$A$4:$A$203,MATCH($C171,PR!$C$4:$C$203,0)),""))</f>
        <v/>
      </c>
      <c r="V171" s="32"/>
    </row>
    <row r="172" customFormat="false" ht="15" hidden="false" customHeight="false" outlineLevel="0" collapsed="false">
      <c r="A172" s="32"/>
      <c r="B172" s="33"/>
      <c r="C172" s="32"/>
      <c r="D172" s="37" t="str">
        <f aca="false">IF($C172="","",IFERROR(INDEX('Check giá'!$C$4:$C$203,MATCH($C172,'Check giá'!$A$4:$A$203,0)),""))</f>
        <v/>
      </c>
      <c r="E172" s="37" t="str">
        <f aca="false">IF($C172="","",IFERROR(INDEX('Check giá'!$D$4:$D$203,MATCH($C172,'Check giá'!$A$4:$A$203,0)),""))</f>
        <v/>
      </c>
      <c r="F172" s="37" t="str">
        <f aca="false">IF($C172="","",IFERROR(INDEX('Check giá'!$F$4:$F$203,MATCH($C172,'Check giá'!$A$4:$A$203,0)),""))</f>
        <v/>
      </c>
      <c r="G172" s="38" t="str">
        <f aca="false">IF($C172="","",IFERROR(INDEX('Check giá'!$H$4:$H$203,MATCH($C172,'Check giá'!$A$4:$A$203,0)),""))</f>
        <v/>
      </c>
      <c r="H172" s="38" t="str">
        <f aca="false">IF($C172="","",IFERROR(INDEX('Check giá'!$J$4:$J$203,MATCH($C172,'Check giá'!$A$4:$A$203,0)),""))</f>
        <v/>
      </c>
      <c r="I172" s="32"/>
      <c r="J172" s="37" t="str">
        <f aca="false">IF($I172="","",IFERROR(INDEX('Nhà cung cấp'!$B$4:$B$203,MATCH($I172,'Nhà cung cấp'!$A$4:$A$203,0)),""))</f>
        <v/>
      </c>
      <c r="K172" s="34"/>
      <c r="L172" s="38" t="str">
        <f aca="false">IF($A172="","",IFERROR($G172*$K172,""))</f>
        <v/>
      </c>
      <c r="M172" s="34"/>
      <c r="N172" s="38" t="str">
        <f aca="false">IF($I172="","",IFERROR(INDEX('Nhà cung cấp'!$G$4:$G$203,MATCH($I172,'Nhà cung cấp'!$A$4:$A$203,0)),""))</f>
        <v/>
      </c>
      <c r="O172" s="33"/>
      <c r="P172" s="38" t="str">
        <f aca="false">IF($C172="","",IFERROR(_xlfn.MINIFS($L$4:$L$203,$C$4:$C$203,$C172,$L$4:$L$203,"&gt;0"),""))</f>
        <v/>
      </c>
      <c r="Q172" s="38" t="str">
        <f aca="false">IF($A172="","",IFERROR($L172-$P172,""))</f>
        <v/>
      </c>
      <c r="R172" s="38" t="str">
        <f aca="false">IF($A172="","",IFERROR($L172-$H172,""))</f>
        <v/>
      </c>
      <c r="S172" s="39" t="str">
        <f aca="false">IF($A172="","",IFERROR($R172/$H172,""))</f>
        <v/>
      </c>
      <c r="T172" s="32"/>
      <c r="U172" s="37" t="str">
        <f aca="false">IF($C172="","",IFERROR(INDEX(PR!$A$4:$A$203,MATCH($C172,PR!$C$4:$C$203,0)),""))</f>
        <v/>
      </c>
      <c r="V172" s="32"/>
    </row>
    <row r="173" customFormat="false" ht="15" hidden="false" customHeight="false" outlineLevel="0" collapsed="false">
      <c r="A173" s="32"/>
      <c r="B173" s="33"/>
      <c r="C173" s="32"/>
      <c r="D173" s="37" t="str">
        <f aca="false">IF($C173="","",IFERROR(INDEX('Check giá'!$C$4:$C$203,MATCH($C173,'Check giá'!$A$4:$A$203,0)),""))</f>
        <v/>
      </c>
      <c r="E173" s="37" t="str">
        <f aca="false">IF($C173="","",IFERROR(INDEX('Check giá'!$D$4:$D$203,MATCH($C173,'Check giá'!$A$4:$A$203,0)),""))</f>
        <v/>
      </c>
      <c r="F173" s="37" t="str">
        <f aca="false">IF($C173="","",IFERROR(INDEX('Check giá'!$F$4:$F$203,MATCH($C173,'Check giá'!$A$4:$A$203,0)),""))</f>
        <v/>
      </c>
      <c r="G173" s="38" t="str">
        <f aca="false">IF($C173="","",IFERROR(INDEX('Check giá'!$H$4:$H$203,MATCH($C173,'Check giá'!$A$4:$A$203,0)),""))</f>
        <v/>
      </c>
      <c r="H173" s="38" t="str">
        <f aca="false">IF($C173="","",IFERROR(INDEX('Check giá'!$J$4:$J$203,MATCH($C173,'Check giá'!$A$4:$A$203,0)),""))</f>
        <v/>
      </c>
      <c r="I173" s="32"/>
      <c r="J173" s="37" t="str">
        <f aca="false">IF($I173="","",IFERROR(INDEX('Nhà cung cấp'!$B$4:$B$203,MATCH($I173,'Nhà cung cấp'!$A$4:$A$203,0)),""))</f>
        <v/>
      </c>
      <c r="K173" s="34"/>
      <c r="L173" s="38" t="str">
        <f aca="false">IF($A173="","",IFERROR($G173*$K173,""))</f>
        <v/>
      </c>
      <c r="M173" s="34"/>
      <c r="N173" s="38" t="str">
        <f aca="false">IF($I173="","",IFERROR(INDEX('Nhà cung cấp'!$G$4:$G$203,MATCH($I173,'Nhà cung cấp'!$A$4:$A$203,0)),""))</f>
        <v/>
      </c>
      <c r="O173" s="33"/>
      <c r="P173" s="38" t="str">
        <f aca="false">IF($C173="","",IFERROR(_xlfn.MINIFS($L$4:$L$203,$C$4:$C$203,$C173,$L$4:$L$203,"&gt;0"),""))</f>
        <v/>
      </c>
      <c r="Q173" s="38" t="str">
        <f aca="false">IF($A173="","",IFERROR($L173-$P173,""))</f>
        <v/>
      </c>
      <c r="R173" s="38" t="str">
        <f aca="false">IF($A173="","",IFERROR($L173-$H173,""))</f>
        <v/>
      </c>
      <c r="S173" s="39" t="str">
        <f aca="false">IF($A173="","",IFERROR($R173/$H173,""))</f>
        <v/>
      </c>
      <c r="T173" s="32"/>
      <c r="U173" s="37" t="str">
        <f aca="false">IF($C173="","",IFERROR(INDEX(PR!$A$4:$A$203,MATCH($C173,PR!$C$4:$C$203,0)),""))</f>
        <v/>
      </c>
      <c r="V173" s="32"/>
    </row>
    <row r="174" customFormat="false" ht="15" hidden="false" customHeight="false" outlineLevel="0" collapsed="false">
      <c r="A174" s="32"/>
      <c r="B174" s="33"/>
      <c r="C174" s="32"/>
      <c r="D174" s="37" t="str">
        <f aca="false">IF($C174="","",IFERROR(INDEX('Check giá'!$C$4:$C$203,MATCH($C174,'Check giá'!$A$4:$A$203,0)),""))</f>
        <v/>
      </c>
      <c r="E174" s="37" t="str">
        <f aca="false">IF($C174="","",IFERROR(INDEX('Check giá'!$D$4:$D$203,MATCH($C174,'Check giá'!$A$4:$A$203,0)),""))</f>
        <v/>
      </c>
      <c r="F174" s="37" t="str">
        <f aca="false">IF($C174="","",IFERROR(INDEX('Check giá'!$F$4:$F$203,MATCH($C174,'Check giá'!$A$4:$A$203,0)),""))</f>
        <v/>
      </c>
      <c r="G174" s="38" t="str">
        <f aca="false">IF($C174="","",IFERROR(INDEX('Check giá'!$H$4:$H$203,MATCH($C174,'Check giá'!$A$4:$A$203,0)),""))</f>
        <v/>
      </c>
      <c r="H174" s="38" t="str">
        <f aca="false">IF($C174="","",IFERROR(INDEX('Check giá'!$J$4:$J$203,MATCH($C174,'Check giá'!$A$4:$A$203,0)),""))</f>
        <v/>
      </c>
      <c r="I174" s="32"/>
      <c r="J174" s="37" t="str">
        <f aca="false">IF($I174="","",IFERROR(INDEX('Nhà cung cấp'!$B$4:$B$203,MATCH($I174,'Nhà cung cấp'!$A$4:$A$203,0)),""))</f>
        <v/>
      </c>
      <c r="K174" s="34"/>
      <c r="L174" s="38" t="str">
        <f aca="false">IF($A174="","",IFERROR($G174*$K174,""))</f>
        <v/>
      </c>
      <c r="M174" s="34"/>
      <c r="N174" s="38" t="str">
        <f aca="false">IF($I174="","",IFERROR(INDEX('Nhà cung cấp'!$G$4:$G$203,MATCH($I174,'Nhà cung cấp'!$A$4:$A$203,0)),""))</f>
        <v/>
      </c>
      <c r="O174" s="33"/>
      <c r="P174" s="38" t="str">
        <f aca="false">IF($C174="","",IFERROR(_xlfn.MINIFS($L$4:$L$203,$C$4:$C$203,$C174,$L$4:$L$203,"&gt;0"),""))</f>
        <v/>
      </c>
      <c r="Q174" s="38" t="str">
        <f aca="false">IF($A174="","",IFERROR($L174-$P174,""))</f>
        <v/>
      </c>
      <c r="R174" s="38" t="str">
        <f aca="false">IF($A174="","",IFERROR($L174-$H174,""))</f>
        <v/>
      </c>
      <c r="S174" s="39" t="str">
        <f aca="false">IF($A174="","",IFERROR($R174/$H174,""))</f>
        <v/>
      </c>
      <c r="T174" s="32"/>
      <c r="U174" s="37" t="str">
        <f aca="false">IF($C174="","",IFERROR(INDEX(PR!$A$4:$A$203,MATCH($C174,PR!$C$4:$C$203,0)),""))</f>
        <v/>
      </c>
      <c r="V174" s="32"/>
    </row>
    <row r="175" customFormat="false" ht="15" hidden="false" customHeight="false" outlineLevel="0" collapsed="false">
      <c r="A175" s="32"/>
      <c r="B175" s="33"/>
      <c r="C175" s="32"/>
      <c r="D175" s="37" t="str">
        <f aca="false">IF($C175="","",IFERROR(INDEX('Check giá'!$C$4:$C$203,MATCH($C175,'Check giá'!$A$4:$A$203,0)),""))</f>
        <v/>
      </c>
      <c r="E175" s="37" t="str">
        <f aca="false">IF($C175="","",IFERROR(INDEX('Check giá'!$D$4:$D$203,MATCH($C175,'Check giá'!$A$4:$A$203,0)),""))</f>
        <v/>
      </c>
      <c r="F175" s="37" t="str">
        <f aca="false">IF($C175="","",IFERROR(INDEX('Check giá'!$F$4:$F$203,MATCH($C175,'Check giá'!$A$4:$A$203,0)),""))</f>
        <v/>
      </c>
      <c r="G175" s="38" t="str">
        <f aca="false">IF($C175="","",IFERROR(INDEX('Check giá'!$H$4:$H$203,MATCH($C175,'Check giá'!$A$4:$A$203,0)),""))</f>
        <v/>
      </c>
      <c r="H175" s="38" t="str">
        <f aca="false">IF($C175="","",IFERROR(INDEX('Check giá'!$J$4:$J$203,MATCH($C175,'Check giá'!$A$4:$A$203,0)),""))</f>
        <v/>
      </c>
      <c r="I175" s="32"/>
      <c r="J175" s="37" t="str">
        <f aca="false">IF($I175="","",IFERROR(INDEX('Nhà cung cấp'!$B$4:$B$203,MATCH($I175,'Nhà cung cấp'!$A$4:$A$203,0)),""))</f>
        <v/>
      </c>
      <c r="K175" s="34"/>
      <c r="L175" s="38" t="str">
        <f aca="false">IF($A175="","",IFERROR($G175*$K175,""))</f>
        <v/>
      </c>
      <c r="M175" s="34"/>
      <c r="N175" s="38" t="str">
        <f aca="false">IF($I175="","",IFERROR(INDEX('Nhà cung cấp'!$G$4:$G$203,MATCH($I175,'Nhà cung cấp'!$A$4:$A$203,0)),""))</f>
        <v/>
      </c>
      <c r="O175" s="33"/>
      <c r="P175" s="38" t="str">
        <f aca="false">IF($C175="","",IFERROR(_xlfn.MINIFS($L$4:$L$203,$C$4:$C$203,$C175,$L$4:$L$203,"&gt;0"),""))</f>
        <v/>
      </c>
      <c r="Q175" s="38" t="str">
        <f aca="false">IF($A175="","",IFERROR($L175-$P175,""))</f>
        <v/>
      </c>
      <c r="R175" s="38" t="str">
        <f aca="false">IF($A175="","",IFERROR($L175-$H175,""))</f>
        <v/>
      </c>
      <c r="S175" s="39" t="str">
        <f aca="false">IF($A175="","",IFERROR($R175/$H175,""))</f>
        <v/>
      </c>
      <c r="T175" s="32"/>
      <c r="U175" s="37" t="str">
        <f aca="false">IF($C175="","",IFERROR(INDEX(PR!$A$4:$A$203,MATCH($C175,PR!$C$4:$C$203,0)),""))</f>
        <v/>
      </c>
      <c r="V175" s="32"/>
    </row>
    <row r="176" customFormat="false" ht="15" hidden="false" customHeight="false" outlineLevel="0" collapsed="false">
      <c r="A176" s="32"/>
      <c r="B176" s="33"/>
      <c r="C176" s="32"/>
      <c r="D176" s="37" t="str">
        <f aca="false">IF($C176="","",IFERROR(INDEX('Check giá'!$C$4:$C$203,MATCH($C176,'Check giá'!$A$4:$A$203,0)),""))</f>
        <v/>
      </c>
      <c r="E176" s="37" t="str">
        <f aca="false">IF($C176="","",IFERROR(INDEX('Check giá'!$D$4:$D$203,MATCH($C176,'Check giá'!$A$4:$A$203,0)),""))</f>
        <v/>
      </c>
      <c r="F176" s="37" t="str">
        <f aca="false">IF($C176="","",IFERROR(INDEX('Check giá'!$F$4:$F$203,MATCH($C176,'Check giá'!$A$4:$A$203,0)),""))</f>
        <v/>
      </c>
      <c r="G176" s="38" t="str">
        <f aca="false">IF($C176="","",IFERROR(INDEX('Check giá'!$H$4:$H$203,MATCH($C176,'Check giá'!$A$4:$A$203,0)),""))</f>
        <v/>
      </c>
      <c r="H176" s="38" t="str">
        <f aca="false">IF($C176="","",IFERROR(INDEX('Check giá'!$J$4:$J$203,MATCH($C176,'Check giá'!$A$4:$A$203,0)),""))</f>
        <v/>
      </c>
      <c r="I176" s="32"/>
      <c r="J176" s="37" t="str">
        <f aca="false">IF($I176="","",IFERROR(INDEX('Nhà cung cấp'!$B$4:$B$203,MATCH($I176,'Nhà cung cấp'!$A$4:$A$203,0)),""))</f>
        <v/>
      </c>
      <c r="K176" s="34"/>
      <c r="L176" s="38" t="str">
        <f aca="false">IF($A176="","",IFERROR($G176*$K176,""))</f>
        <v/>
      </c>
      <c r="M176" s="34"/>
      <c r="N176" s="38" t="str">
        <f aca="false">IF($I176="","",IFERROR(INDEX('Nhà cung cấp'!$G$4:$G$203,MATCH($I176,'Nhà cung cấp'!$A$4:$A$203,0)),""))</f>
        <v/>
      </c>
      <c r="O176" s="33"/>
      <c r="P176" s="38" t="str">
        <f aca="false">IF($C176="","",IFERROR(_xlfn.MINIFS($L$4:$L$203,$C$4:$C$203,$C176,$L$4:$L$203,"&gt;0"),""))</f>
        <v/>
      </c>
      <c r="Q176" s="38" t="str">
        <f aca="false">IF($A176="","",IFERROR($L176-$P176,""))</f>
        <v/>
      </c>
      <c r="R176" s="38" t="str">
        <f aca="false">IF($A176="","",IFERROR($L176-$H176,""))</f>
        <v/>
      </c>
      <c r="S176" s="39" t="str">
        <f aca="false">IF($A176="","",IFERROR($R176/$H176,""))</f>
        <v/>
      </c>
      <c r="T176" s="32"/>
      <c r="U176" s="37" t="str">
        <f aca="false">IF($C176="","",IFERROR(INDEX(PR!$A$4:$A$203,MATCH($C176,PR!$C$4:$C$203,0)),""))</f>
        <v/>
      </c>
      <c r="V176" s="32"/>
    </row>
    <row r="177" customFormat="false" ht="15" hidden="false" customHeight="false" outlineLevel="0" collapsed="false">
      <c r="A177" s="32"/>
      <c r="B177" s="33"/>
      <c r="C177" s="32"/>
      <c r="D177" s="37" t="str">
        <f aca="false">IF($C177="","",IFERROR(INDEX('Check giá'!$C$4:$C$203,MATCH($C177,'Check giá'!$A$4:$A$203,0)),""))</f>
        <v/>
      </c>
      <c r="E177" s="37" t="str">
        <f aca="false">IF($C177="","",IFERROR(INDEX('Check giá'!$D$4:$D$203,MATCH($C177,'Check giá'!$A$4:$A$203,0)),""))</f>
        <v/>
      </c>
      <c r="F177" s="37" t="str">
        <f aca="false">IF($C177="","",IFERROR(INDEX('Check giá'!$F$4:$F$203,MATCH($C177,'Check giá'!$A$4:$A$203,0)),""))</f>
        <v/>
      </c>
      <c r="G177" s="38" t="str">
        <f aca="false">IF($C177="","",IFERROR(INDEX('Check giá'!$H$4:$H$203,MATCH($C177,'Check giá'!$A$4:$A$203,0)),""))</f>
        <v/>
      </c>
      <c r="H177" s="38" t="str">
        <f aca="false">IF($C177="","",IFERROR(INDEX('Check giá'!$J$4:$J$203,MATCH($C177,'Check giá'!$A$4:$A$203,0)),""))</f>
        <v/>
      </c>
      <c r="I177" s="32"/>
      <c r="J177" s="37" t="str">
        <f aca="false">IF($I177="","",IFERROR(INDEX('Nhà cung cấp'!$B$4:$B$203,MATCH($I177,'Nhà cung cấp'!$A$4:$A$203,0)),""))</f>
        <v/>
      </c>
      <c r="K177" s="34"/>
      <c r="L177" s="38" t="str">
        <f aca="false">IF($A177="","",IFERROR($G177*$K177,""))</f>
        <v/>
      </c>
      <c r="M177" s="34"/>
      <c r="N177" s="38" t="str">
        <f aca="false">IF($I177="","",IFERROR(INDEX('Nhà cung cấp'!$G$4:$G$203,MATCH($I177,'Nhà cung cấp'!$A$4:$A$203,0)),""))</f>
        <v/>
      </c>
      <c r="O177" s="33"/>
      <c r="P177" s="38" t="str">
        <f aca="false">IF($C177="","",IFERROR(_xlfn.MINIFS($L$4:$L$203,$C$4:$C$203,$C177,$L$4:$L$203,"&gt;0"),""))</f>
        <v/>
      </c>
      <c r="Q177" s="38" t="str">
        <f aca="false">IF($A177="","",IFERROR($L177-$P177,""))</f>
        <v/>
      </c>
      <c r="R177" s="38" t="str">
        <f aca="false">IF($A177="","",IFERROR($L177-$H177,""))</f>
        <v/>
      </c>
      <c r="S177" s="39" t="str">
        <f aca="false">IF($A177="","",IFERROR($R177/$H177,""))</f>
        <v/>
      </c>
      <c r="T177" s="32"/>
      <c r="U177" s="37" t="str">
        <f aca="false">IF($C177="","",IFERROR(INDEX(PR!$A$4:$A$203,MATCH($C177,PR!$C$4:$C$203,0)),""))</f>
        <v/>
      </c>
      <c r="V177" s="32"/>
    </row>
    <row r="178" customFormat="false" ht="15" hidden="false" customHeight="false" outlineLevel="0" collapsed="false">
      <c r="A178" s="32"/>
      <c r="B178" s="33"/>
      <c r="C178" s="32"/>
      <c r="D178" s="37" t="str">
        <f aca="false">IF($C178="","",IFERROR(INDEX('Check giá'!$C$4:$C$203,MATCH($C178,'Check giá'!$A$4:$A$203,0)),""))</f>
        <v/>
      </c>
      <c r="E178" s="37" t="str">
        <f aca="false">IF($C178="","",IFERROR(INDEX('Check giá'!$D$4:$D$203,MATCH($C178,'Check giá'!$A$4:$A$203,0)),""))</f>
        <v/>
      </c>
      <c r="F178" s="37" t="str">
        <f aca="false">IF($C178="","",IFERROR(INDEX('Check giá'!$F$4:$F$203,MATCH($C178,'Check giá'!$A$4:$A$203,0)),""))</f>
        <v/>
      </c>
      <c r="G178" s="38" t="str">
        <f aca="false">IF($C178="","",IFERROR(INDEX('Check giá'!$H$4:$H$203,MATCH($C178,'Check giá'!$A$4:$A$203,0)),""))</f>
        <v/>
      </c>
      <c r="H178" s="38" t="str">
        <f aca="false">IF($C178="","",IFERROR(INDEX('Check giá'!$J$4:$J$203,MATCH($C178,'Check giá'!$A$4:$A$203,0)),""))</f>
        <v/>
      </c>
      <c r="I178" s="32"/>
      <c r="J178" s="37" t="str">
        <f aca="false">IF($I178="","",IFERROR(INDEX('Nhà cung cấp'!$B$4:$B$203,MATCH($I178,'Nhà cung cấp'!$A$4:$A$203,0)),""))</f>
        <v/>
      </c>
      <c r="K178" s="34"/>
      <c r="L178" s="38" t="str">
        <f aca="false">IF($A178="","",IFERROR($G178*$K178,""))</f>
        <v/>
      </c>
      <c r="M178" s="34"/>
      <c r="N178" s="38" t="str">
        <f aca="false">IF($I178="","",IFERROR(INDEX('Nhà cung cấp'!$G$4:$G$203,MATCH($I178,'Nhà cung cấp'!$A$4:$A$203,0)),""))</f>
        <v/>
      </c>
      <c r="O178" s="33"/>
      <c r="P178" s="38" t="str">
        <f aca="false">IF($C178="","",IFERROR(_xlfn.MINIFS($L$4:$L$203,$C$4:$C$203,$C178,$L$4:$L$203,"&gt;0"),""))</f>
        <v/>
      </c>
      <c r="Q178" s="38" t="str">
        <f aca="false">IF($A178="","",IFERROR($L178-$P178,""))</f>
        <v/>
      </c>
      <c r="R178" s="38" t="str">
        <f aca="false">IF($A178="","",IFERROR($L178-$H178,""))</f>
        <v/>
      </c>
      <c r="S178" s="39" t="str">
        <f aca="false">IF($A178="","",IFERROR($R178/$H178,""))</f>
        <v/>
      </c>
      <c r="T178" s="32"/>
      <c r="U178" s="37" t="str">
        <f aca="false">IF($C178="","",IFERROR(INDEX(PR!$A$4:$A$203,MATCH($C178,PR!$C$4:$C$203,0)),""))</f>
        <v/>
      </c>
      <c r="V178" s="32"/>
    </row>
    <row r="179" customFormat="false" ht="15" hidden="false" customHeight="false" outlineLevel="0" collapsed="false">
      <c r="A179" s="32"/>
      <c r="B179" s="33"/>
      <c r="C179" s="32"/>
      <c r="D179" s="37" t="str">
        <f aca="false">IF($C179="","",IFERROR(INDEX('Check giá'!$C$4:$C$203,MATCH($C179,'Check giá'!$A$4:$A$203,0)),""))</f>
        <v/>
      </c>
      <c r="E179" s="37" t="str">
        <f aca="false">IF($C179="","",IFERROR(INDEX('Check giá'!$D$4:$D$203,MATCH($C179,'Check giá'!$A$4:$A$203,0)),""))</f>
        <v/>
      </c>
      <c r="F179" s="37" t="str">
        <f aca="false">IF($C179="","",IFERROR(INDEX('Check giá'!$F$4:$F$203,MATCH($C179,'Check giá'!$A$4:$A$203,0)),""))</f>
        <v/>
      </c>
      <c r="G179" s="38" t="str">
        <f aca="false">IF($C179="","",IFERROR(INDEX('Check giá'!$H$4:$H$203,MATCH($C179,'Check giá'!$A$4:$A$203,0)),""))</f>
        <v/>
      </c>
      <c r="H179" s="38" t="str">
        <f aca="false">IF($C179="","",IFERROR(INDEX('Check giá'!$J$4:$J$203,MATCH($C179,'Check giá'!$A$4:$A$203,0)),""))</f>
        <v/>
      </c>
      <c r="I179" s="32"/>
      <c r="J179" s="37" t="str">
        <f aca="false">IF($I179="","",IFERROR(INDEX('Nhà cung cấp'!$B$4:$B$203,MATCH($I179,'Nhà cung cấp'!$A$4:$A$203,0)),""))</f>
        <v/>
      </c>
      <c r="K179" s="34"/>
      <c r="L179" s="38" t="str">
        <f aca="false">IF($A179="","",IFERROR($G179*$K179,""))</f>
        <v/>
      </c>
      <c r="M179" s="34"/>
      <c r="N179" s="38" t="str">
        <f aca="false">IF($I179="","",IFERROR(INDEX('Nhà cung cấp'!$G$4:$G$203,MATCH($I179,'Nhà cung cấp'!$A$4:$A$203,0)),""))</f>
        <v/>
      </c>
      <c r="O179" s="33"/>
      <c r="P179" s="38" t="str">
        <f aca="false">IF($C179="","",IFERROR(_xlfn.MINIFS($L$4:$L$203,$C$4:$C$203,$C179,$L$4:$L$203,"&gt;0"),""))</f>
        <v/>
      </c>
      <c r="Q179" s="38" t="str">
        <f aca="false">IF($A179="","",IFERROR($L179-$P179,""))</f>
        <v/>
      </c>
      <c r="R179" s="38" t="str">
        <f aca="false">IF($A179="","",IFERROR($L179-$H179,""))</f>
        <v/>
      </c>
      <c r="S179" s="39" t="str">
        <f aca="false">IF($A179="","",IFERROR($R179/$H179,""))</f>
        <v/>
      </c>
      <c r="T179" s="32"/>
      <c r="U179" s="37" t="str">
        <f aca="false">IF($C179="","",IFERROR(INDEX(PR!$A$4:$A$203,MATCH($C179,PR!$C$4:$C$203,0)),""))</f>
        <v/>
      </c>
      <c r="V179" s="32"/>
    </row>
    <row r="180" customFormat="false" ht="15" hidden="false" customHeight="false" outlineLevel="0" collapsed="false">
      <c r="A180" s="32"/>
      <c r="B180" s="33"/>
      <c r="C180" s="32"/>
      <c r="D180" s="37" t="str">
        <f aca="false">IF($C180="","",IFERROR(INDEX('Check giá'!$C$4:$C$203,MATCH($C180,'Check giá'!$A$4:$A$203,0)),""))</f>
        <v/>
      </c>
      <c r="E180" s="37" t="str">
        <f aca="false">IF($C180="","",IFERROR(INDEX('Check giá'!$D$4:$D$203,MATCH($C180,'Check giá'!$A$4:$A$203,0)),""))</f>
        <v/>
      </c>
      <c r="F180" s="37" t="str">
        <f aca="false">IF($C180="","",IFERROR(INDEX('Check giá'!$F$4:$F$203,MATCH($C180,'Check giá'!$A$4:$A$203,0)),""))</f>
        <v/>
      </c>
      <c r="G180" s="38" t="str">
        <f aca="false">IF($C180="","",IFERROR(INDEX('Check giá'!$H$4:$H$203,MATCH($C180,'Check giá'!$A$4:$A$203,0)),""))</f>
        <v/>
      </c>
      <c r="H180" s="38" t="str">
        <f aca="false">IF($C180="","",IFERROR(INDEX('Check giá'!$J$4:$J$203,MATCH($C180,'Check giá'!$A$4:$A$203,0)),""))</f>
        <v/>
      </c>
      <c r="I180" s="32"/>
      <c r="J180" s="37" t="str">
        <f aca="false">IF($I180="","",IFERROR(INDEX('Nhà cung cấp'!$B$4:$B$203,MATCH($I180,'Nhà cung cấp'!$A$4:$A$203,0)),""))</f>
        <v/>
      </c>
      <c r="K180" s="34"/>
      <c r="L180" s="38" t="str">
        <f aca="false">IF($A180="","",IFERROR($G180*$K180,""))</f>
        <v/>
      </c>
      <c r="M180" s="34"/>
      <c r="N180" s="38" t="str">
        <f aca="false">IF($I180="","",IFERROR(INDEX('Nhà cung cấp'!$G$4:$G$203,MATCH($I180,'Nhà cung cấp'!$A$4:$A$203,0)),""))</f>
        <v/>
      </c>
      <c r="O180" s="33"/>
      <c r="P180" s="38" t="str">
        <f aca="false">IF($C180="","",IFERROR(_xlfn.MINIFS($L$4:$L$203,$C$4:$C$203,$C180,$L$4:$L$203,"&gt;0"),""))</f>
        <v/>
      </c>
      <c r="Q180" s="38" t="str">
        <f aca="false">IF($A180="","",IFERROR($L180-$P180,""))</f>
        <v/>
      </c>
      <c r="R180" s="38" t="str">
        <f aca="false">IF($A180="","",IFERROR($L180-$H180,""))</f>
        <v/>
      </c>
      <c r="S180" s="39" t="str">
        <f aca="false">IF($A180="","",IFERROR($R180/$H180,""))</f>
        <v/>
      </c>
      <c r="T180" s="32"/>
      <c r="U180" s="37" t="str">
        <f aca="false">IF($C180="","",IFERROR(INDEX(PR!$A$4:$A$203,MATCH($C180,PR!$C$4:$C$203,0)),""))</f>
        <v/>
      </c>
      <c r="V180" s="32"/>
    </row>
    <row r="181" customFormat="false" ht="15" hidden="false" customHeight="false" outlineLevel="0" collapsed="false">
      <c r="A181" s="32"/>
      <c r="B181" s="33"/>
      <c r="C181" s="32"/>
      <c r="D181" s="37" t="str">
        <f aca="false">IF($C181="","",IFERROR(INDEX('Check giá'!$C$4:$C$203,MATCH($C181,'Check giá'!$A$4:$A$203,0)),""))</f>
        <v/>
      </c>
      <c r="E181" s="37" t="str">
        <f aca="false">IF($C181="","",IFERROR(INDEX('Check giá'!$D$4:$D$203,MATCH($C181,'Check giá'!$A$4:$A$203,0)),""))</f>
        <v/>
      </c>
      <c r="F181" s="37" t="str">
        <f aca="false">IF($C181="","",IFERROR(INDEX('Check giá'!$F$4:$F$203,MATCH($C181,'Check giá'!$A$4:$A$203,0)),""))</f>
        <v/>
      </c>
      <c r="G181" s="38" t="str">
        <f aca="false">IF($C181="","",IFERROR(INDEX('Check giá'!$H$4:$H$203,MATCH($C181,'Check giá'!$A$4:$A$203,0)),""))</f>
        <v/>
      </c>
      <c r="H181" s="38" t="str">
        <f aca="false">IF($C181="","",IFERROR(INDEX('Check giá'!$J$4:$J$203,MATCH($C181,'Check giá'!$A$4:$A$203,0)),""))</f>
        <v/>
      </c>
      <c r="I181" s="32"/>
      <c r="J181" s="37" t="str">
        <f aca="false">IF($I181="","",IFERROR(INDEX('Nhà cung cấp'!$B$4:$B$203,MATCH($I181,'Nhà cung cấp'!$A$4:$A$203,0)),""))</f>
        <v/>
      </c>
      <c r="K181" s="34"/>
      <c r="L181" s="38" t="str">
        <f aca="false">IF($A181="","",IFERROR($G181*$K181,""))</f>
        <v/>
      </c>
      <c r="M181" s="34"/>
      <c r="N181" s="38" t="str">
        <f aca="false">IF($I181="","",IFERROR(INDEX('Nhà cung cấp'!$G$4:$G$203,MATCH($I181,'Nhà cung cấp'!$A$4:$A$203,0)),""))</f>
        <v/>
      </c>
      <c r="O181" s="33"/>
      <c r="P181" s="38" t="str">
        <f aca="false">IF($C181="","",IFERROR(_xlfn.MINIFS($L$4:$L$203,$C$4:$C$203,$C181,$L$4:$L$203,"&gt;0"),""))</f>
        <v/>
      </c>
      <c r="Q181" s="38" t="str">
        <f aca="false">IF($A181="","",IFERROR($L181-$P181,""))</f>
        <v/>
      </c>
      <c r="R181" s="38" t="str">
        <f aca="false">IF($A181="","",IFERROR($L181-$H181,""))</f>
        <v/>
      </c>
      <c r="S181" s="39" t="str">
        <f aca="false">IF($A181="","",IFERROR($R181/$H181,""))</f>
        <v/>
      </c>
      <c r="T181" s="32"/>
      <c r="U181" s="37" t="str">
        <f aca="false">IF($C181="","",IFERROR(INDEX(PR!$A$4:$A$203,MATCH($C181,PR!$C$4:$C$203,0)),""))</f>
        <v/>
      </c>
      <c r="V181" s="32"/>
    </row>
    <row r="182" customFormat="false" ht="15" hidden="false" customHeight="false" outlineLevel="0" collapsed="false">
      <c r="A182" s="32"/>
      <c r="B182" s="33"/>
      <c r="C182" s="32"/>
      <c r="D182" s="37" t="str">
        <f aca="false">IF($C182="","",IFERROR(INDEX('Check giá'!$C$4:$C$203,MATCH($C182,'Check giá'!$A$4:$A$203,0)),""))</f>
        <v/>
      </c>
      <c r="E182" s="37" t="str">
        <f aca="false">IF($C182="","",IFERROR(INDEX('Check giá'!$D$4:$D$203,MATCH($C182,'Check giá'!$A$4:$A$203,0)),""))</f>
        <v/>
      </c>
      <c r="F182" s="37" t="str">
        <f aca="false">IF($C182="","",IFERROR(INDEX('Check giá'!$F$4:$F$203,MATCH($C182,'Check giá'!$A$4:$A$203,0)),""))</f>
        <v/>
      </c>
      <c r="G182" s="38" t="str">
        <f aca="false">IF($C182="","",IFERROR(INDEX('Check giá'!$H$4:$H$203,MATCH($C182,'Check giá'!$A$4:$A$203,0)),""))</f>
        <v/>
      </c>
      <c r="H182" s="38" t="str">
        <f aca="false">IF($C182="","",IFERROR(INDEX('Check giá'!$J$4:$J$203,MATCH($C182,'Check giá'!$A$4:$A$203,0)),""))</f>
        <v/>
      </c>
      <c r="I182" s="32"/>
      <c r="J182" s="37" t="str">
        <f aca="false">IF($I182="","",IFERROR(INDEX('Nhà cung cấp'!$B$4:$B$203,MATCH($I182,'Nhà cung cấp'!$A$4:$A$203,0)),""))</f>
        <v/>
      </c>
      <c r="K182" s="34"/>
      <c r="L182" s="38" t="str">
        <f aca="false">IF($A182="","",IFERROR($G182*$K182,""))</f>
        <v/>
      </c>
      <c r="M182" s="34"/>
      <c r="N182" s="38" t="str">
        <f aca="false">IF($I182="","",IFERROR(INDEX('Nhà cung cấp'!$G$4:$G$203,MATCH($I182,'Nhà cung cấp'!$A$4:$A$203,0)),""))</f>
        <v/>
      </c>
      <c r="O182" s="33"/>
      <c r="P182" s="38" t="str">
        <f aca="false">IF($C182="","",IFERROR(_xlfn.MINIFS($L$4:$L$203,$C$4:$C$203,$C182,$L$4:$L$203,"&gt;0"),""))</f>
        <v/>
      </c>
      <c r="Q182" s="38" t="str">
        <f aca="false">IF($A182="","",IFERROR($L182-$P182,""))</f>
        <v/>
      </c>
      <c r="R182" s="38" t="str">
        <f aca="false">IF($A182="","",IFERROR($L182-$H182,""))</f>
        <v/>
      </c>
      <c r="S182" s="39" t="str">
        <f aca="false">IF($A182="","",IFERROR($R182/$H182,""))</f>
        <v/>
      </c>
      <c r="T182" s="32"/>
      <c r="U182" s="37" t="str">
        <f aca="false">IF($C182="","",IFERROR(INDEX(PR!$A$4:$A$203,MATCH($C182,PR!$C$4:$C$203,0)),""))</f>
        <v/>
      </c>
      <c r="V182" s="32"/>
    </row>
    <row r="183" customFormat="false" ht="15" hidden="false" customHeight="false" outlineLevel="0" collapsed="false">
      <c r="A183" s="32"/>
      <c r="B183" s="33"/>
      <c r="C183" s="32"/>
      <c r="D183" s="37" t="str">
        <f aca="false">IF($C183="","",IFERROR(INDEX('Check giá'!$C$4:$C$203,MATCH($C183,'Check giá'!$A$4:$A$203,0)),""))</f>
        <v/>
      </c>
      <c r="E183" s="37" t="str">
        <f aca="false">IF($C183="","",IFERROR(INDEX('Check giá'!$D$4:$D$203,MATCH($C183,'Check giá'!$A$4:$A$203,0)),""))</f>
        <v/>
      </c>
      <c r="F183" s="37" t="str">
        <f aca="false">IF($C183="","",IFERROR(INDEX('Check giá'!$F$4:$F$203,MATCH($C183,'Check giá'!$A$4:$A$203,0)),""))</f>
        <v/>
      </c>
      <c r="G183" s="38" t="str">
        <f aca="false">IF($C183="","",IFERROR(INDEX('Check giá'!$H$4:$H$203,MATCH($C183,'Check giá'!$A$4:$A$203,0)),""))</f>
        <v/>
      </c>
      <c r="H183" s="38" t="str">
        <f aca="false">IF($C183="","",IFERROR(INDEX('Check giá'!$J$4:$J$203,MATCH($C183,'Check giá'!$A$4:$A$203,0)),""))</f>
        <v/>
      </c>
      <c r="I183" s="32"/>
      <c r="J183" s="37" t="str">
        <f aca="false">IF($I183="","",IFERROR(INDEX('Nhà cung cấp'!$B$4:$B$203,MATCH($I183,'Nhà cung cấp'!$A$4:$A$203,0)),""))</f>
        <v/>
      </c>
      <c r="K183" s="34"/>
      <c r="L183" s="38" t="str">
        <f aca="false">IF($A183="","",IFERROR($G183*$K183,""))</f>
        <v/>
      </c>
      <c r="M183" s="34"/>
      <c r="N183" s="38" t="str">
        <f aca="false">IF($I183="","",IFERROR(INDEX('Nhà cung cấp'!$G$4:$G$203,MATCH($I183,'Nhà cung cấp'!$A$4:$A$203,0)),""))</f>
        <v/>
      </c>
      <c r="O183" s="33"/>
      <c r="P183" s="38" t="str">
        <f aca="false">IF($C183="","",IFERROR(_xlfn.MINIFS($L$4:$L$203,$C$4:$C$203,$C183,$L$4:$L$203,"&gt;0"),""))</f>
        <v/>
      </c>
      <c r="Q183" s="38" t="str">
        <f aca="false">IF($A183="","",IFERROR($L183-$P183,""))</f>
        <v/>
      </c>
      <c r="R183" s="38" t="str">
        <f aca="false">IF($A183="","",IFERROR($L183-$H183,""))</f>
        <v/>
      </c>
      <c r="S183" s="39" t="str">
        <f aca="false">IF($A183="","",IFERROR($R183/$H183,""))</f>
        <v/>
      </c>
      <c r="T183" s="32"/>
      <c r="U183" s="37" t="str">
        <f aca="false">IF($C183="","",IFERROR(INDEX(PR!$A$4:$A$203,MATCH($C183,PR!$C$4:$C$203,0)),""))</f>
        <v/>
      </c>
      <c r="V183" s="32"/>
    </row>
    <row r="184" customFormat="false" ht="15" hidden="false" customHeight="false" outlineLevel="0" collapsed="false">
      <c r="A184" s="32"/>
      <c r="B184" s="33"/>
      <c r="C184" s="32"/>
      <c r="D184" s="37" t="str">
        <f aca="false">IF($C184="","",IFERROR(INDEX('Check giá'!$C$4:$C$203,MATCH($C184,'Check giá'!$A$4:$A$203,0)),""))</f>
        <v/>
      </c>
      <c r="E184" s="37" t="str">
        <f aca="false">IF($C184="","",IFERROR(INDEX('Check giá'!$D$4:$D$203,MATCH($C184,'Check giá'!$A$4:$A$203,0)),""))</f>
        <v/>
      </c>
      <c r="F184" s="37" t="str">
        <f aca="false">IF($C184="","",IFERROR(INDEX('Check giá'!$F$4:$F$203,MATCH($C184,'Check giá'!$A$4:$A$203,0)),""))</f>
        <v/>
      </c>
      <c r="G184" s="38" t="str">
        <f aca="false">IF($C184="","",IFERROR(INDEX('Check giá'!$H$4:$H$203,MATCH($C184,'Check giá'!$A$4:$A$203,0)),""))</f>
        <v/>
      </c>
      <c r="H184" s="38" t="str">
        <f aca="false">IF($C184="","",IFERROR(INDEX('Check giá'!$J$4:$J$203,MATCH($C184,'Check giá'!$A$4:$A$203,0)),""))</f>
        <v/>
      </c>
      <c r="I184" s="32"/>
      <c r="J184" s="37" t="str">
        <f aca="false">IF($I184="","",IFERROR(INDEX('Nhà cung cấp'!$B$4:$B$203,MATCH($I184,'Nhà cung cấp'!$A$4:$A$203,0)),""))</f>
        <v/>
      </c>
      <c r="K184" s="34"/>
      <c r="L184" s="38" t="str">
        <f aca="false">IF($A184="","",IFERROR($G184*$K184,""))</f>
        <v/>
      </c>
      <c r="M184" s="34"/>
      <c r="N184" s="38" t="str">
        <f aca="false">IF($I184="","",IFERROR(INDEX('Nhà cung cấp'!$G$4:$G$203,MATCH($I184,'Nhà cung cấp'!$A$4:$A$203,0)),""))</f>
        <v/>
      </c>
      <c r="O184" s="33"/>
      <c r="P184" s="38" t="str">
        <f aca="false">IF($C184="","",IFERROR(_xlfn.MINIFS($L$4:$L$203,$C$4:$C$203,$C184,$L$4:$L$203,"&gt;0"),""))</f>
        <v/>
      </c>
      <c r="Q184" s="38" t="str">
        <f aca="false">IF($A184="","",IFERROR($L184-$P184,""))</f>
        <v/>
      </c>
      <c r="R184" s="38" t="str">
        <f aca="false">IF($A184="","",IFERROR($L184-$H184,""))</f>
        <v/>
      </c>
      <c r="S184" s="39" t="str">
        <f aca="false">IF($A184="","",IFERROR($R184/$H184,""))</f>
        <v/>
      </c>
      <c r="T184" s="32"/>
      <c r="U184" s="37" t="str">
        <f aca="false">IF($C184="","",IFERROR(INDEX(PR!$A$4:$A$203,MATCH($C184,PR!$C$4:$C$203,0)),""))</f>
        <v/>
      </c>
      <c r="V184" s="32"/>
    </row>
    <row r="185" customFormat="false" ht="15" hidden="false" customHeight="false" outlineLevel="0" collapsed="false">
      <c r="A185" s="32"/>
      <c r="B185" s="33"/>
      <c r="C185" s="32"/>
      <c r="D185" s="37" t="str">
        <f aca="false">IF($C185="","",IFERROR(INDEX('Check giá'!$C$4:$C$203,MATCH($C185,'Check giá'!$A$4:$A$203,0)),""))</f>
        <v/>
      </c>
      <c r="E185" s="37" t="str">
        <f aca="false">IF($C185="","",IFERROR(INDEX('Check giá'!$D$4:$D$203,MATCH($C185,'Check giá'!$A$4:$A$203,0)),""))</f>
        <v/>
      </c>
      <c r="F185" s="37" t="str">
        <f aca="false">IF($C185="","",IFERROR(INDEX('Check giá'!$F$4:$F$203,MATCH($C185,'Check giá'!$A$4:$A$203,0)),""))</f>
        <v/>
      </c>
      <c r="G185" s="38" t="str">
        <f aca="false">IF($C185="","",IFERROR(INDEX('Check giá'!$H$4:$H$203,MATCH($C185,'Check giá'!$A$4:$A$203,0)),""))</f>
        <v/>
      </c>
      <c r="H185" s="38" t="str">
        <f aca="false">IF($C185="","",IFERROR(INDEX('Check giá'!$J$4:$J$203,MATCH($C185,'Check giá'!$A$4:$A$203,0)),""))</f>
        <v/>
      </c>
      <c r="I185" s="32"/>
      <c r="J185" s="37" t="str">
        <f aca="false">IF($I185="","",IFERROR(INDEX('Nhà cung cấp'!$B$4:$B$203,MATCH($I185,'Nhà cung cấp'!$A$4:$A$203,0)),""))</f>
        <v/>
      </c>
      <c r="K185" s="34"/>
      <c r="L185" s="38" t="str">
        <f aca="false">IF($A185="","",IFERROR($G185*$K185,""))</f>
        <v/>
      </c>
      <c r="M185" s="34"/>
      <c r="N185" s="38" t="str">
        <f aca="false">IF($I185="","",IFERROR(INDEX('Nhà cung cấp'!$G$4:$G$203,MATCH($I185,'Nhà cung cấp'!$A$4:$A$203,0)),""))</f>
        <v/>
      </c>
      <c r="O185" s="33"/>
      <c r="P185" s="38" t="str">
        <f aca="false">IF($C185="","",IFERROR(_xlfn.MINIFS($L$4:$L$203,$C$4:$C$203,$C185,$L$4:$L$203,"&gt;0"),""))</f>
        <v/>
      </c>
      <c r="Q185" s="38" t="str">
        <f aca="false">IF($A185="","",IFERROR($L185-$P185,""))</f>
        <v/>
      </c>
      <c r="R185" s="38" t="str">
        <f aca="false">IF($A185="","",IFERROR($L185-$H185,""))</f>
        <v/>
      </c>
      <c r="S185" s="39" t="str">
        <f aca="false">IF($A185="","",IFERROR($R185/$H185,""))</f>
        <v/>
      </c>
      <c r="T185" s="32"/>
      <c r="U185" s="37" t="str">
        <f aca="false">IF($C185="","",IFERROR(INDEX(PR!$A$4:$A$203,MATCH($C185,PR!$C$4:$C$203,0)),""))</f>
        <v/>
      </c>
      <c r="V185" s="32"/>
    </row>
    <row r="186" customFormat="false" ht="15" hidden="false" customHeight="false" outlineLevel="0" collapsed="false">
      <c r="A186" s="32"/>
      <c r="B186" s="33"/>
      <c r="C186" s="32"/>
      <c r="D186" s="37" t="str">
        <f aca="false">IF($C186="","",IFERROR(INDEX('Check giá'!$C$4:$C$203,MATCH($C186,'Check giá'!$A$4:$A$203,0)),""))</f>
        <v/>
      </c>
      <c r="E186" s="37" t="str">
        <f aca="false">IF($C186="","",IFERROR(INDEX('Check giá'!$D$4:$D$203,MATCH($C186,'Check giá'!$A$4:$A$203,0)),""))</f>
        <v/>
      </c>
      <c r="F186" s="37" t="str">
        <f aca="false">IF($C186="","",IFERROR(INDEX('Check giá'!$F$4:$F$203,MATCH($C186,'Check giá'!$A$4:$A$203,0)),""))</f>
        <v/>
      </c>
      <c r="G186" s="38" t="str">
        <f aca="false">IF($C186="","",IFERROR(INDEX('Check giá'!$H$4:$H$203,MATCH($C186,'Check giá'!$A$4:$A$203,0)),""))</f>
        <v/>
      </c>
      <c r="H186" s="38" t="str">
        <f aca="false">IF($C186="","",IFERROR(INDEX('Check giá'!$J$4:$J$203,MATCH($C186,'Check giá'!$A$4:$A$203,0)),""))</f>
        <v/>
      </c>
      <c r="I186" s="32"/>
      <c r="J186" s="37" t="str">
        <f aca="false">IF($I186="","",IFERROR(INDEX('Nhà cung cấp'!$B$4:$B$203,MATCH($I186,'Nhà cung cấp'!$A$4:$A$203,0)),""))</f>
        <v/>
      </c>
      <c r="K186" s="34"/>
      <c r="L186" s="38" t="str">
        <f aca="false">IF($A186="","",IFERROR($G186*$K186,""))</f>
        <v/>
      </c>
      <c r="M186" s="34"/>
      <c r="N186" s="38" t="str">
        <f aca="false">IF($I186="","",IFERROR(INDEX('Nhà cung cấp'!$G$4:$G$203,MATCH($I186,'Nhà cung cấp'!$A$4:$A$203,0)),""))</f>
        <v/>
      </c>
      <c r="O186" s="33"/>
      <c r="P186" s="38" t="str">
        <f aca="false">IF($C186="","",IFERROR(_xlfn.MINIFS($L$4:$L$203,$C$4:$C$203,$C186,$L$4:$L$203,"&gt;0"),""))</f>
        <v/>
      </c>
      <c r="Q186" s="38" t="str">
        <f aca="false">IF($A186="","",IFERROR($L186-$P186,""))</f>
        <v/>
      </c>
      <c r="R186" s="38" t="str">
        <f aca="false">IF($A186="","",IFERROR($L186-$H186,""))</f>
        <v/>
      </c>
      <c r="S186" s="39" t="str">
        <f aca="false">IF($A186="","",IFERROR($R186/$H186,""))</f>
        <v/>
      </c>
      <c r="T186" s="32"/>
      <c r="U186" s="37" t="str">
        <f aca="false">IF($C186="","",IFERROR(INDEX(PR!$A$4:$A$203,MATCH($C186,PR!$C$4:$C$203,0)),""))</f>
        <v/>
      </c>
      <c r="V186" s="32"/>
    </row>
    <row r="187" customFormat="false" ht="15" hidden="false" customHeight="false" outlineLevel="0" collapsed="false">
      <c r="A187" s="32"/>
      <c r="B187" s="33"/>
      <c r="C187" s="32"/>
      <c r="D187" s="37" t="str">
        <f aca="false">IF($C187="","",IFERROR(INDEX('Check giá'!$C$4:$C$203,MATCH($C187,'Check giá'!$A$4:$A$203,0)),""))</f>
        <v/>
      </c>
      <c r="E187" s="37" t="str">
        <f aca="false">IF($C187="","",IFERROR(INDEX('Check giá'!$D$4:$D$203,MATCH($C187,'Check giá'!$A$4:$A$203,0)),""))</f>
        <v/>
      </c>
      <c r="F187" s="37" t="str">
        <f aca="false">IF($C187="","",IFERROR(INDEX('Check giá'!$F$4:$F$203,MATCH($C187,'Check giá'!$A$4:$A$203,0)),""))</f>
        <v/>
      </c>
      <c r="G187" s="38" t="str">
        <f aca="false">IF($C187="","",IFERROR(INDEX('Check giá'!$H$4:$H$203,MATCH($C187,'Check giá'!$A$4:$A$203,0)),""))</f>
        <v/>
      </c>
      <c r="H187" s="38" t="str">
        <f aca="false">IF($C187="","",IFERROR(INDEX('Check giá'!$J$4:$J$203,MATCH($C187,'Check giá'!$A$4:$A$203,0)),""))</f>
        <v/>
      </c>
      <c r="I187" s="32"/>
      <c r="J187" s="37" t="str">
        <f aca="false">IF($I187="","",IFERROR(INDEX('Nhà cung cấp'!$B$4:$B$203,MATCH($I187,'Nhà cung cấp'!$A$4:$A$203,0)),""))</f>
        <v/>
      </c>
      <c r="K187" s="34"/>
      <c r="L187" s="38" t="str">
        <f aca="false">IF($A187="","",IFERROR($G187*$K187,""))</f>
        <v/>
      </c>
      <c r="M187" s="34"/>
      <c r="N187" s="38" t="str">
        <f aca="false">IF($I187="","",IFERROR(INDEX('Nhà cung cấp'!$G$4:$G$203,MATCH($I187,'Nhà cung cấp'!$A$4:$A$203,0)),""))</f>
        <v/>
      </c>
      <c r="O187" s="33"/>
      <c r="P187" s="38" t="str">
        <f aca="false">IF($C187="","",IFERROR(_xlfn.MINIFS($L$4:$L$203,$C$4:$C$203,$C187,$L$4:$L$203,"&gt;0"),""))</f>
        <v/>
      </c>
      <c r="Q187" s="38" t="str">
        <f aca="false">IF($A187="","",IFERROR($L187-$P187,""))</f>
        <v/>
      </c>
      <c r="R187" s="38" t="str">
        <f aca="false">IF($A187="","",IFERROR($L187-$H187,""))</f>
        <v/>
      </c>
      <c r="S187" s="39" t="str">
        <f aca="false">IF($A187="","",IFERROR($R187/$H187,""))</f>
        <v/>
      </c>
      <c r="T187" s="32"/>
      <c r="U187" s="37" t="str">
        <f aca="false">IF($C187="","",IFERROR(INDEX(PR!$A$4:$A$203,MATCH($C187,PR!$C$4:$C$203,0)),""))</f>
        <v/>
      </c>
      <c r="V187" s="32"/>
    </row>
    <row r="188" customFormat="false" ht="15" hidden="false" customHeight="false" outlineLevel="0" collapsed="false">
      <c r="A188" s="32"/>
      <c r="B188" s="33"/>
      <c r="C188" s="32"/>
      <c r="D188" s="37" t="str">
        <f aca="false">IF($C188="","",IFERROR(INDEX('Check giá'!$C$4:$C$203,MATCH($C188,'Check giá'!$A$4:$A$203,0)),""))</f>
        <v/>
      </c>
      <c r="E188" s="37" t="str">
        <f aca="false">IF($C188="","",IFERROR(INDEX('Check giá'!$D$4:$D$203,MATCH($C188,'Check giá'!$A$4:$A$203,0)),""))</f>
        <v/>
      </c>
      <c r="F188" s="37" t="str">
        <f aca="false">IF($C188="","",IFERROR(INDEX('Check giá'!$F$4:$F$203,MATCH($C188,'Check giá'!$A$4:$A$203,0)),""))</f>
        <v/>
      </c>
      <c r="G188" s="38" t="str">
        <f aca="false">IF($C188="","",IFERROR(INDEX('Check giá'!$H$4:$H$203,MATCH($C188,'Check giá'!$A$4:$A$203,0)),""))</f>
        <v/>
      </c>
      <c r="H188" s="38" t="str">
        <f aca="false">IF($C188="","",IFERROR(INDEX('Check giá'!$J$4:$J$203,MATCH($C188,'Check giá'!$A$4:$A$203,0)),""))</f>
        <v/>
      </c>
      <c r="I188" s="32"/>
      <c r="J188" s="37" t="str">
        <f aca="false">IF($I188="","",IFERROR(INDEX('Nhà cung cấp'!$B$4:$B$203,MATCH($I188,'Nhà cung cấp'!$A$4:$A$203,0)),""))</f>
        <v/>
      </c>
      <c r="K188" s="34"/>
      <c r="L188" s="38" t="str">
        <f aca="false">IF($A188="","",IFERROR($G188*$K188,""))</f>
        <v/>
      </c>
      <c r="M188" s="34"/>
      <c r="N188" s="38" t="str">
        <f aca="false">IF($I188="","",IFERROR(INDEX('Nhà cung cấp'!$G$4:$G$203,MATCH($I188,'Nhà cung cấp'!$A$4:$A$203,0)),""))</f>
        <v/>
      </c>
      <c r="O188" s="33"/>
      <c r="P188" s="38" t="str">
        <f aca="false">IF($C188="","",IFERROR(_xlfn.MINIFS($L$4:$L$203,$C$4:$C$203,$C188,$L$4:$L$203,"&gt;0"),""))</f>
        <v/>
      </c>
      <c r="Q188" s="38" t="str">
        <f aca="false">IF($A188="","",IFERROR($L188-$P188,""))</f>
        <v/>
      </c>
      <c r="R188" s="38" t="str">
        <f aca="false">IF($A188="","",IFERROR($L188-$H188,""))</f>
        <v/>
      </c>
      <c r="S188" s="39" t="str">
        <f aca="false">IF($A188="","",IFERROR($R188/$H188,""))</f>
        <v/>
      </c>
      <c r="T188" s="32"/>
      <c r="U188" s="37" t="str">
        <f aca="false">IF($C188="","",IFERROR(INDEX(PR!$A$4:$A$203,MATCH($C188,PR!$C$4:$C$203,0)),""))</f>
        <v/>
      </c>
      <c r="V188" s="32"/>
    </row>
    <row r="189" customFormat="false" ht="15" hidden="false" customHeight="false" outlineLevel="0" collapsed="false">
      <c r="A189" s="32"/>
      <c r="B189" s="33"/>
      <c r="C189" s="32"/>
      <c r="D189" s="37" t="str">
        <f aca="false">IF($C189="","",IFERROR(INDEX('Check giá'!$C$4:$C$203,MATCH($C189,'Check giá'!$A$4:$A$203,0)),""))</f>
        <v/>
      </c>
      <c r="E189" s="37" t="str">
        <f aca="false">IF($C189="","",IFERROR(INDEX('Check giá'!$D$4:$D$203,MATCH($C189,'Check giá'!$A$4:$A$203,0)),""))</f>
        <v/>
      </c>
      <c r="F189" s="37" t="str">
        <f aca="false">IF($C189="","",IFERROR(INDEX('Check giá'!$F$4:$F$203,MATCH($C189,'Check giá'!$A$4:$A$203,0)),""))</f>
        <v/>
      </c>
      <c r="G189" s="38" t="str">
        <f aca="false">IF($C189="","",IFERROR(INDEX('Check giá'!$H$4:$H$203,MATCH($C189,'Check giá'!$A$4:$A$203,0)),""))</f>
        <v/>
      </c>
      <c r="H189" s="38" t="str">
        <f aca="false">IF($C189="","",IFERROR(INDEX('Check giá'!$J$4:$J$203,MATCH($C189,'Check giá'!$A$4:$A$203,0)),""))</f>
        <v/>
      </c>
      <c r="I189" s="32"/>
      <c r="J189" s="37" t="str">
        <f aca="false">IF($I189="","",IFERROR(INDEX('Nhà cung cấp'!$B$4:$B$203,MATCH($I189,'Nhà cung cấp'!$A$4:$A$203,0)),""))</f>
        <v/>
      </c>
      <c r="K189" s="34"/>
      <c r="L189" s="38" t="str">
        <f aca="false">IF($A189="","",IFERROR($G189*$K189,""))</f>
        <v/>
      </c>
      <c r="M189" s="34"/>
      <c r="N189" s="38" t="str">
        <f aca="false">IF($I189="","",IFERROR(INDEX('Nhà cung cấp'!$G$4:$G$203,MATCH($I189,'Nhà cung cấp'!$A$4:$A$203,0)),""))</f>
        <v/>
      </c>
      <c r="O189" s="33"/>
      <c r="P189" s="38" t="str">
        <f aca="false">IF($C189="","",IFERROR(_xlfn.MINIFS($L$4:$L$203,$C$4:$C$203,$C189,$L$4:$L$203,"&gt;0"),""))</f>
        <v/>
      </c>
      <c r="Q189" s="38" t="str">
        <f aca="false">IF($A189="","",IFERROR($L189-$P189,""))</f>
        <v/>
      </c>
      <c r="R189" s="38" t="str">
        <f aca="false">IF($A189="","",IFERROR($L189-$H189,""))</f>
        <v/>
      </c>
      <c r="S189" s="39" t="str">
        <f aca="false">IF($A189="","",IFERROR($R189/$H189,""))</f>
        <v/>
      </c>
      <c r="T189" s="32"/>
      <c r="U189" s="37" t="str">
        <f aca="false">IF($C189="","",IFERROR(INDEX(PR!$A$4:$A$203,MATCH($C189,PR!$C$4:$C$203,0)),""))</f>
        <v/>
      </c>
      <c r="V189" s="32"/>
    </row>
    <row r="190" customFormat="false" ht="15" hidden="false" customHeight="false" outlineLevel="0" collapsed="false">
      <c r="A190" s="32"/>
      <c r="B190" s="33"/>
      <c r="C190" s="32"/>
      <c r="D190" s="37" t="str">
        <f aca="false">IF($C190="","",IFERROR(INDEX('Check giá'!$C$4:$C$203,MATCH($C190,'Check giá'!$A$4:$A$203,0)),""))</f>
        <v/>
      </c>
      <c r="E190" s="37" t="str">
        <f aca="false">IF($C190="","",IFERROR(INDEX('Check giá'!$D$4:$D$203,MATCH($C190,'Check giá'!$A$4:$A$203,0)),""))</f>
        <v/>
      </c>
      <c r="F190" s="37" t="str">
        <f aca="false">IF($C190="","",IFERROR(INDEX('Check giá'!$F$4:$F$203,MATCH($C190,'Check giá'!$A$4:$A$203,0)),""))</f>
        <v/>
      </c>
      <c r="G190" s="38" t="str">
        <f aca="false">IF($C190="","",IFERROR(INDEX('Check giá'!$H$4:$H$203,MATCH($C190,'Check giá'!$A$4:$A$203,0)),""))</f>
        <v/>
      </c>
      <c r="H190" s="38" t="str">
        <f aca="false">IF($C190="","",IFERROR(INDEX('Check giá'!$J$4:$J$203,MATCH($C190,'Check giá'!$A$4:$A$203,0)),""))</f>
        <v/>
      </c>
      <c r="I190" s="32"/>
      <c r="J190" s="37" t="str">
        <f aca="false">IF($I190="","",IFERROR(INDEX('Nhà cung cấp'!$B$4:$B$203,MATCH($I190,'Nhà cung cấp'!$A$4:$A$203,0)),""))</f>
        <v/>
      </c>
      <c r="K190" s="34"/>
      <c r="L190" s="38" t="str">
        <f aca="false">IF($A190="","",IFERROR($G190*$K190,""))</f>
        <v/>
      </c>
      <c r="M190" s="34"/>
      <c r="N190" s="38" t="str">
        <f aca="false">IF($I190="","",IFERROR(INDEX('Nhà cung cấp'!$G$4:$G$203,MATCH($I190,'Nhà cung cấp'!$A$4:$A$203,0)),""))</f>
        <v/>
      </c>
      <c r="O190" s="33"/>
      <c r="P190" s="38" t="str">
        <f aca="false">IF($C190="","",IFERROR(_xlfn.MINIFS($L$4:$L$203,$C$4:$C$203,$C190,$L$4:$L$203,"&gt;0"),""))</f>
        <v/>
      </c>
      <c r="Q190" s="38" t="str">
        <f aca="false">IF($A190="","",IFERROR($L190-$P190,""))</f>
        <v/>
      </c>
      <c r="R190" s="38" t="str">
        <f aca="false">IF($A190="","",IFERROR($L190-$H190,""))</f>
        <v/>
      </c>
      <c r="S190" s="39" t="str">
        <f aca="false">IF($A190="","",IFERROR($R190/$H190,""))</f>
        <v/>
      </c>
      <c r="T190" s="32"/>
      <c r="U190" s="37" t="str">
        <f aca="false">IF($C190="","",IFERROR(INDEX(PR!$A$4:$A$203,MATCH($C190,PR!$C$4:$C$203,0)),""))</f>
        <v/>
      </c>
      <c r="V190" s="32"/>
    </row>
    <row r="191" customFormat="false" ht="15" hidden="false" customHeight="false" outlineLevel="0" collapsed="false">
      <c r="A191" s="32"/>
      <c r="B191" s="33"/>
      <c r="C191" s="32"/>
      <c r="D191" s="37" t="str">
        <f aca="false">IF($C191="","",IFERROR(INDEX('Check giá'!$C$4:$C$203,MATCH($C191,'Check giá'!$A$4:$A$203,0)),""))</f>
        <v/>
      </c>
      <c r="E191" s="37" t="str">
        <f aca="false">IF($C191="","",IFERROR(INDEX('Check giá'!$D$4:$D$203,MATCH($C191,'Check giá'!$A$4:$A$203,0)),""))</f>
        <v/>
      </c>
      <c r="F191" s="37" t="str">
        <f aca="false">IF($C191="","",IFERROR(INDEX('Check giá'!$F$4:$F$203,MATCH($C191,'Check giá'!$A$4:$A$203,0)),""))</f>
        <v/>
      </c>
      <c r="G191" s="38" t="str">
        <f aca="false">IF($C191="","",IFERROR(INDEX('Check giá'!$H$4:$H$203,MATCH($C191,'Check giá'!$A$4:$A$203,0)),""))</f>
        <v/>
      </c>
      <c r="H191" s="38" t="str">
        <f aca="false">IF($C191="","",IFERROR(INDEX('Check giá'!$J$4:$J$203,MATCH($C191,'Check giá'!$A$4:$A$203,0)),""))</f>
        <v/>
      </c>
      <c r="I191" s="32"/>
      <c r="J191" s="37" t="str">
        <f aca="false">IF($I191="","",IFERROR(INDEX('Nhà cung cấp'!$B$4:$B$203,MATCH($I191,'Nhà cung cấp'!$A$4:$A$203,0)),""))</f>
        <v/>
      </c>
      <c r="K191" s="34"/>
      <c r="L191" s="38" t="str">
        <f aca="false">IF($A191="","",IFERROR($G191*$K191,""))</f>
        <v/>
      </c>
      <c r="M191" s="34"/>
      <c r="N191" s="38" t="str">
        <f aca="false">IF($I191="","",IFERROR(INDEX('Nhà cung cấp'!$G$4:$G$203,MATCH($I191,'Nhà cung cấp'!$A$4:$A$203,0)),""))</f>
        <v/>
      </c>
      <c r="O191" s="33"/>
      <c r="P191" s="38" t="str">
        <f aca="false">IF($C191="","",IFERROR(_xlfn.MINIFS($L$4:$L$203,$C$4:$C$203,$C191,$L$4:$L$203,"&gt;0"),""))</f>
        <v/>
      </c>
      <c r="Q191" s="38" t="str">
        <f aca="false">IF($A191="","",IFERROR($L191-$P191,""))</f>
        <v/>
      </c>
      <c r="R191" s="38" t="str">
        <f aca="false">IF($A191="","",IFERROR($L191-$H191,""))</f>
        <v/>
      </c>
      <c r="S191" s="39" t="str">
        <f aca="false">IF($A191="","",IFERROR($R191/$H191,""))</f>
        <v/>
      </c>
      <c r="T191" s="32"/>
      <c r="U191" s="37" t="str">
        <f aca="false">IF($C191="","",IFERROR(INDEX(PR!$A$4:$A$203,MATCH($C191,PR!$C$4:$C$203,0)),""))</f>
        <v/>
      </c>
      <c r="V191" s="32"/>
    </row>
    <row r="192" customFormat="false" ht="15" hidden="false" customHeight="false" outlineLevel="0" collapsed="false">
      <c r="A192" s="32"/>
      <c r="B192" s="33"/>
      <c r="C192" s="32"/>
      <c r="D192" s="37" t="str">
        <f aca="false">IF($C192="","",IFERROR(INDEX('Check giá'!$C$4:$C$203,MATCH($C192,'Check giá'!$A$4:$A$203,0)),""))</f>
        <v/>
      </c>
      <c r="E192" s="37" t="str">
        <f aca="false">IF($C192="","",IFERROR(INDEX('Check giá'!$D$4:$D$203,MATCH($C192,'Check giá'!$A$4:$A$203,0)),""))</f>
        <v/>
      </c>
      <c r="F192" s="37" t="str">
        <f aca="false">IF($C192="","",IFERROR(INDEX('Check giá'!$F$4:$F$203,MATCH($C192,'Check giá'!$A$4:$A$203,0)),""))</f>
        <v/>
      </c>
      <c r="G192" s="38" t="str">
        <f aca="false">IF($C192="","",IFERROR(INDEX('Check giá'!$H$4:$H$203,MATCH($C192,'Check giá'!$A$4:$A$203,0)),""))</f>
        <v/>
      </c>
      <c r="H192" s="38" t="str">
        <f aca="false">IF($C192="","",IFERROR(INDEX('Check giá'!$J$4:$J$203,MATCH($C192,'Check giá'!$A$4:$A$203,0)),""))</f>
        <v/>
      </c>
      <c r="I192" s="32"/>
      <c r="J192" s="37" t="str">
        <f aca="false">IF($I192="","",IFERROR(INDEX('Nhà cung cấp'!$B$4:$B$203,MATCH($I192,'Nhà cung cấp'!$A$4:$A$203,0)),""))</f>
        <v/>
      </c>
      <c r="K192" s="34"/>
      <c r="L192" s="38" t="str">
        <f aca="false">IF($A192="","",IFERROR($G192*$K192,""))</f>
        <v/>
      </c>
      <c r="M192" s="34"/>
      <c r="N192" s="38" t="str">
        <f aca="false">IF($I192="","",IFERROR(INDEX('Nhà cung cấp'!$G$4:$G$203,MATCH($I192,'Nhà cung cấp'!$A$4:$A$203,0)),""))</f>
        <v/>
      </c>
      <c r="O192" s="33"/>
      <c r="P192" s="38" t="str">
        <f aca="false">IF($C192="","",IFERROR(_xlfn.MINIFS($L$4:$L$203,$C$4:$C$203,$C192,$L$4:$L$203,"&gt;0"),""))</f>
        <v/>
      </c>
      <c r="Q192" s="38" t="str">
        <f aca="false">IF($A192="","",IFERROR($L192-$P192,""))</f>
        <v/>
      </c>
      <c r="R192" s="38" t="str">
        <f aca="false">IF($A192="","",IFERROR($L192-$H192,""))</f>
        <v/>
      </c>
      <c r="S192" s="39" t="str">
        <f aca="false">IF($A192="","",IFERROR($R192/$H192,""))</f>
        <v/>
      </c>
      <c r="T192" s="32"/>
      <c r="U192" s="37" t="str">
        <f aca="false">IF($C192="","",IFERROR(INDEX(PR!$A$4:$A$203,MATCH($C192,PR!$C$4:$C$203,0)),""))</f>
        <v/>
      </c>
      <c r="V192" s="32"/>
    </row>
    <row r="193" customFormat="false" ht="15" hidden="false" customHeight="false" outlineLevel="0" collapsed="false">
      <c r="A193" s="32"/>
      <c r="B193" s="33"/>
      <c r="C193" s="32"/>
      <c r="D193" s="37" t="str">
        <f aca="false">IF($C193="","",IFERROR(INDEX('Check giá'!$C$4:$C$203,MATCH($C193,'Check giá'!$A$4:$A$203,0)),""))</f>
        <v/>
      </c>
      <c r="E193" s="37" t="str">
        <f aca="false">IF($C193="","",IFERROR(INDEX('Check giá'!$D$4:$D$203,MATCH($C193,'Check giá'!$A$4:$A$203,0)),""))</f>
        <v/>
      </c>
      <c r="F193" s="37" t="str">
        <f aca="false">IF($C193="","",IFERROR(INDEX('Check giá'!$F$4:$F$203,MATCH($C193,'Check giá'!$A$4:$A$203,0)),""))</f>
        <v/>
      </c>
      <c r="G193" s="38" t="str">
        <f aca="false">IF($C193="","",IFERROR(INDEX('Check giá'!$H$4:$H$203,MATCH($C193,'Check giá'!$A$4:$A$203,0)),""))</f>
        <v/>
      </c>
      <c r="H193" s="38" t="str">
        <f aca="false">IF($C193="","",IFERROR(INDEX('Check giá'!$J$4:$J$203,MATCH($C193,'Check giá'!$A$4:$A$203,0)),""))</f>
        <v/>
      </c>
      <c r="I193" s="32"/>
      <c r="J193" s="37" t="str">
        <f aca="false">IF($I193="","",IFERROR(INDEX('Nhà cung cấp'!$B$4:$B$203,MATCH($I193,'Nhà cung cấp'!$A$4:$A$203,0)),""))</f>
        <v/>
      </c>
      <c r="K193" s="34"/>
      <c r="L193" s="38" t="str">
        <f aca="false">IF($A193="","",IFERROR($G193*$K193,""))</f>
        <v/>
      </c>
      <c r="M193" s="34"/>
      <c r="N193" s="38" t="str">
        <f aca="false">IF($I193="","",IFERROR(INDEX('Nhà cung cấp'!$G$4:$G$203,MATCH($I193,'Nhà cung cấp'!$A$4:$A$203,0)),""))</f>
        <v/>
      </c>
      <c r="O193" s="33"/>
      <c r="P193" s="38" t="str">
        <f aca="false">IF($C193="","",IFERROR(_xlfn.MINIFS($L$4:$L$203,$C$4:$C$203,$C193,$L$4:$L$203,"&gt;0"),""))</f>
        <v/>
      </c>
      <c r="Q193" s="38" t="str">
        <f aca="false">IF($A193="","",IFERROR($L193-$P193,""))</f>
        <v/>
      </c>
      <c r="R193" s="38" t="str">
        <f aca="false">IF($A193="","",IFERROR($L193-$H193,""))</f>
        <v/>
      </c>
      <c r="S193" s="39" t="str">
        <f aca="false">IF($A193="","",IFERROR($R193/$H193,""))</f>
        <v/>
      </c>
      <c r="T193" s="32"/>
      <c r="U193" s="37" t="str">
        <f aca="false">IF($C193="","",IFERROR(INDEX(PR!$A$4:$A$203,MATCH($C193,PR!$C$4:$C$203,0)),""))</f>
        <v/>
      </c>
      <c r="V193" s="32"/>
    </row>
    <row r="194" customFormat="false" ht="15" hidden="false" customHeight="false" outlineLevel="0" collapsed="false">
      <c r="A194" s="32"/>
      <c r="B194" s="33"/>
      <c r="C194" s="32"/>
      <c r="D194" s="37" t="str">
        <f aca="false">IF($C194="","",IFERROR(INDEX('Check giá'!$C$4:$C$203,MATCH($C194,'Check giá'!$A$4:$A$203,0)),""))</f>
        <v/>
      </c>
      <c r="E194" s="37" t="str">
        <f aca="false">IF($C194="","",IFERROR(INDEX('Check giá'!$D$4:$D$203,MATCH($C194,'Check giá'!$A$4:$A$203,0)),""))</f>
        <v/>
      </c>
      <c r="F194" s="37" t="str">
        <f aca="false">IF($C194="","",IFERROR(INDEX('Check giá'!$F$4:$F$203,MATCH($C194,'Check giá'!$A$4:$A$203,0)),""))</f>
        <v/>
      </c>
      <c r="G194" s="38" t="str">
        <f aca="false">IF($C194="","",IFERROR(INDEX('Check giá'!$H$4:$H$203,MATCH($C194,'Check giá'!$A$4:$A$203,0)),""))</f>
        <v/>
      </c>
      <c r="H194" s="38" t="str">
        <f aca="false">IF($C194="","",IFERROR(INDEX('Check giá'!$J$4:$J$203,MATCH($C194,'Check giá'!$A$4:$A$203,0)),""))</f>
        <v/>
      </c>
      <c r="I194" s="32"/>
      <c r="J194" s="37" t="str">
        <f aca="false">IF($I194="","",IFERROR(INDEX('Nhà cung cấp'!$B$4:$B$203,MATCH($I194,'Nhà cung cấp'!$A$4:$A$203,0)),""))</f>
        <v/>
      </c>
      <c r="K194" s="34"/>
      <c r="L194" s="38" t="str">
        <f aca="false">IF($A194="","",IFERROR($G194*$K194,""))</f>
        <v/>
      </c>
      <c r="M194" s="34"/>
      <c r="N194" s="38" t="str">
        <f aca="false">IF($I194="","",IFERROR(INDEX('Nhà cung cấp'!$G$4:$G$203,MATCH($I194,'Nhà cung cấp'!$A$4:$A$203,0)),""))</f>
        <v/>
      </c>
      <c r="O194" s="33"/>
      <c r="P194" s="38" t="str">
        <f aca="false">IF($C194="","",IFERROR(_xlfn.MINIFS($L$4:$L$203,$C$4:$C$203,$C194,$L$4:$L$203,"&gt;0"),""))</f>
        <v/>
      </c>
      <c r="Q194" s="38" t="str">
        <f aca="false">IF($A194="","",IFERROR($L194-$P194,""))</f>
        <v/>
      </c>
      <c r="R194" s="38" t="str">
        <f aca="false">IF($A194="","",IFERROR($L194-$H194,""))</f>
        <v/>
      </c>
      <c r="S194" s="39" t="str">
        <f aca="false">IF($A194="","",IFERROR($R194/$H194,""))</f>
        <v/>
      </c>
      <c r="T194" s="32"/>
      <c r="U194" s="37" t="str">
        <f aca="false">IF($C194="","",IFERROR(INDEX(PR!$A$4:$A$203,MATCH($C194,PR!$C$4:$C$203,0)),""))</f>
        <v/>
      </c>
      <c r="V194" s="32"/>
    </row>
    <row r="195" customFormat="false" ht="15" hidden="false" customHeight="false" outlineLevel="0" collapsed="false">
      <c r="A195" s="32"/>
      <c r="B195" s="33"/>
      <c r="C195" s="32"/>
      <c r="D195" s="37" t="str">
        <f aca="false">IF($C195="","",IFERROR(INDEX('Check giá'!$C$4:$C$203,MATCH($C195,'Check giá'!$A$4:$A$203,0)),""))</f>
        <v/>
      </c>
      <c r="E195" s="37" t="str">
        <f aca="false">IF($C195="","",IFERROR(INDEX('Check giá'!$D$4:$D$203,MATCH($C195,'Check giá'!$A$4:$A$203,0)),""))</f>
        <v/>
      </c>
      <c r="F195" s="37" t="str">
        <f aca="false">IF($C195="","",IFERROR(INDEX('Check giá'!$F$4:$F$203,MATCH($C195,'Check giá'!$A$4:$A$203,0)),""))</f>
        <v/>
      </c>
      <c r="G195" s="38" t="str">
        <f aca="false">IF($C195="","",IFERROR(INDEX('Check giá'!$H$4:$H$203,MATCH($C195,'Check giá'!$A$4:$A$203,0)),""))</f>
        <v/>
      </c>
      <c r="H195" s="38" t="str">
        <f aca="false">IF($C195="","",IFERROR(INDEX('Check giá'!$J$4:$J$203,MATCH($C195,'Check giá'!$A$4:$A$203,0)),""))</f>
        <v/>
      </c>
      <c r="I195" s="32"/>
      <c r="J195" s="37" t="str">
        <f aca="false">IF($I195="","",IFERROR(INDEX('Nhà cung cấp'!$B$4:$B$203,MATCH($I195,'Nhà cung cấp'!$A$4:$A$203,0)),""))</f>
        <v/>
      </c>
      <c r="K195" s="34"/>
      <c r="L195" s="38" t="str">
        <f aca="false">IF($A195="","",IFERROR($G195*$K195,""))</f>
        <v/>
      </c>
      <c r="M195" s="34"/>
      <c r="N195" s="38" t="str">
        <f aca="false">IF($I195="","",IFERROR(INDEX('Nhà cung cấp'!$G$4:$G$203,MATCH($I195,'Nhà cung cấp'!$A$4:$A$203,0)),""))</f>
        <v/>
      </c>
      <c r="O195" s="33"/>
      <c r="P195" s="38" t="str">
        <f aca="false">IF($C195="","",IFERROR(_xlfn.MINIFS($L$4:$L$203,$C$4:$C$203,$C195,$L$4:$L$203,"&gt;0"),""))</f>
        <v/>
      </c>
      <c r="Q195" s="38" t="str">
        <f aca="false">IF($A195="","",IFERROR($L195-$P195,""))</f>
        <v/>
      </c>
      <c r="R195" s="38" t="str">
        <f aca="false">IF($A195="","",IFERROR($L195-$H195,""))</f>
        <v/>
      </c>
      <c r="S195" s="39" t="str">
        <f aca="false">IF($A195="","",IFERROR($R195/$H195,""))</f>
        <v/>
      </c>
      <c r="T195" s="32"/>
      <c r="U195" s="37" t="str">
        <f aca="false">IF($C195="","",IFERROR(INDEX(PR!$A$4:$A$203,MATCH($C195,PR!$C$4:$C$203,0)),""))</f>
        <v/>
      </c>
      <c r="V195" s="32"/>
    </row>
    <row r="196" customFormat="false" ht="15" hidden="false" customHeight="false" outlineLevel="0" collapsed="false">
      <c r="A196" s="32"/>
      <c r="B196" s="33"/>
      <c r="C196" s="32"/>
      <c r="D196" s="37" t="str">
        <f aca="false">IF($C196="","",IFERROR(INDEX('Check giá'!$C$4:$C$203,MATCH($C196,'Check giá'!$A$4:$A$203,0)),""))</f>
        <v/>
      </c>
      <c r="E196" s="37" t="str">
        <f aca="false">IF($C196="","",IFERROR(INDEX('Check giá'!$D$4:$D$203,MATCH($C196,'Check giá'!$A$4:$A$203,0)),""))</f>
        <v/>
      </c>
      <c r="F196" s="37" t="str">
        <f aca="false">IF($C196="","",IFERROR(INDEX('Check giá'!$F$4:$F$203,MATCH($C196,'Check giá'!$A$4:$A$203,0)),""))</f>
        <v/>
      </c>
      <c r="G196" s="38" t="str">
        <f aca="false">IF($C196="","",IFERROR(INDEX('Check giá'!$H$4:$H$203,MATCH($C196,'Check giá'!$A$4:$A$203,0)),""))</f>
        <v/>
      </c>
      <c r="H196" s="38" t="str">
        <f aca="false">IF($C196="","",IFERROR(INDEX('Check giá'!$J$4:$J$203,MATCH($C196,'Check giá'!$A$4:$A$203,0)),""))</f>
        <v/>
      </c>
      <c r="I196" s="32"/>
      <c r="J196" s="37" t="str">
        <f aca="false">IF($I196="","",IFERROR(INDEX('Nhà cung cấp'!$B$4:$B$203,MATCH($I196,'Nhà cung cấp'!$A$4:$A$203,0)),""))</f>
        <v/>
      </c>
      <c r="K196" s="34"/>
      <c r="L196" s="38" t="str">
        <f aca="false">IF($A196="","",IFERROR($G196*$K196,""))</f>
        <v/>
      </c>
      <c r="M196" s="34"/>
      <c r="N196" s="38" t="str">
        <f aca="false">IF($I196="","",IFERROR(INDEX('Nhà cung cấp'!$G$4:$G$203,MATCH($I196,'Nhà cung cấp'!$A$4:$A$203,0)),""))</f>
        <v/>
      </c>
      <c r="O196" s="33"/>
      <c r="P196" s="38" t="str">
        <f aca="false">IF($C196="","",IFERROR(_xlfn.MINIFS($L$4:$L$203,$C$4:$C$203,$C196,$L$4:$L$203,"&gt;0"),""))</f>
        <v/>
      </c>
      <c r="Q196" s="38" t="str">
        <f aca="false">IF($A196="","",IFERROR($L196-$P196,""))</f>
        <v/>
      </c>
      <c r="R196" s="38" t="str">
        <f aca="false">IF($A196="","",IFERROR($L196-$H196,""))</f>
        <v/>
      </c>
      <c r="S196" s="39" t="str">
        <f aca="false">IF($A196="","",IFERROR($R196/$H196,""))</f>
        <v/>
      </c>
      <c r="T196" s="32"/>
      <c r="U196" s="37" t="str">
        <f aca="false">IF($C196="","",IFERROR(INDEX(PR!$A$4:$A$203,MATCH($C196,PR!$C$4:$C$203,0)),""))</f>
        <v/>
      </c>
      <c r="V196" s="32"/>
    </row>
    <row r="197" customFormat="false" ht="15" hidden="false" customHeight="false" outlineLevel="0" collapsed="false">
      <c r="A197" s="32"/>
      <c r="B197" s="33"/>
      <c r="C197" s="32"/>
      <c r="D197" s="37" t="str">
        <f aca="false">IF($C197="","",IFERROR(INDEX('Check giá'!$C$4:$C$203,MATCH($C197,'Check giá'!$A$4:$A$203,0)),""))</f>
        <v/>
      </c>
      <c r="E197" s="37" t="str">
        <f aca="false">IF($C197="","",IFERROR(INDEX('Check giá'!$D$4:$D$203,MATCH($C197,'Check giá'!$A$4:$A$203,0)),""))</f>
        <v/>
      </c>
      <c r="F197" s="37" t="str">
        <f aca="false">IF($C197="","",IFERROR(INDEX('Check giá'!$F$4:$F$203,MATCH($C197,'Check giá'!$A$4:$A$203,0)),""))</f>
        <v/>
      </c>
      <c r="G197" s="38" t="str">
        <f aca="false">IF($C197="","",IFERROR(INDEX('Check giá'!$H$4:$H$203,MATCH($C197,'Check giá'!$A$4:$A$203,0)),""))</f>
        <v/>
      </c>
      <c r="H197" s="38" t="str">
        <f aca="false">IF($C197="","",IFERROR(INDEX('Check giá'!$J$4:$J$203,MATCH($C197,'Check giá'!$A$4:$A$203,0)),""))</f>
        <v/>
      </c>
      <c r="I197" s="32"/>
      <c r="J197" s="37" t="str">
        <f aca="false">IF($I197="","",IFERROR(INDEX('Nhà cung cấp'!$B$4:$B$203,MATCH($I197,'Nhà cung cấp'!$A$4:$A$203,0)),""))</f>
        <v/>
      </c>
      <c r="K197" s="34"/>
      <c r="L197" s="38" t="str">
        <f aca="false">IF($A197="","",IFERROR($G197*$K197,""))</f>
        <v/>
      </c>
      <c r="M197" s="34"/>
      <c r="N197" s="38" t="str">
        <f aca="false">IF($I197="","",IFERROR(INDEX('Nhà cung cấp'!$G$4:$G$203,MATCH($I197,'Nhà cung cấp'!$A$4:$A$203,0)),""))</f>
        <v/>
      </c>
      <c r="O197" s="33"/>
      <c r="P197" s="38" t="str">
        <f aca="false">IF($C197="","",IFERROR(_xlfn.MINIFS($L$4:$L$203,$C$4:$C$203,$C197,$L$4:$L$203,"&gt;0"),""))</f>
        <v/>
      </c>
      <c r="Q197" s="38" t="str">
        <f aca="false">IF($A197="","",IFERROR($L197-$P197,""))</f>
        <v/>
      </c>
      <c r="R197" s="38" t="str">
        <f aca="false">IF($A197="","",IFERROR($L197-$H197,""))</f>
        <v/>
      </c>
      <c r="S197" s="39" t="str">
        <f aca="false">IF($A197="","",IFERROR($R197/$H197,""))</f>
        <v/>
      </c>
      <c r="T197" s="32"/>
      <c r="U197" s="37" t="str">
        <f aca="false">IF($C197="","",IFERROR(INDEX(PR!$A$4:$A$203,MATCH($C197,PR!$C$4:$C$203,0)),""))</f>
        <v/>
      </c>
      <c r="V197" s="32"/>
    </row>
    <row r="198" customFormat="false" ht="15" hidden="false" customHeight="false" outlineLevel="0" collapsed="false">
      <c r="A198" s="32"/>
      <c r="B198" s="33"/>
      <c r="C198" s="32"/>
      <c r="D198" s="37" t="str">
        <f aca="false">IF($C198="","",IFERROR(INDEX('Check giá'!$C$4:$C$203,MATCH($C198,'Check giá'!$A$4:$A$203,0)),""))</f>
        <v/>
      </c>
      <c r="E198" s="37" t="str">
        <f aca="false">IF($C198="","",IFERROR(INDEX('Check giá'!$D$4:$D$203,MATCH($C198,'Check giá'!$A$4:$A$203,0)),""))</f>
        <v/>
      </c>
      <c r="F198" s="37" t="str">
        <f aca="false">IF($C198="","",IFERROR(INDEX('Check giá'!$F$4:$F$203,MATCH($C198,'Check giá'!$A$4:$A$203,0)),""))</f>
        <v/>
      </c>
      <c r="G198" s="38" t="str">
        <f aca="false">IF($C198="","",IFERROR(INDEX('Check giá'!$H$4:$H$203,MATCH($C198,'Check giá'!$A$4:$A$203,0)),""))</f>
        <v/>
      </c>
      <c r="H198" s="38" t="str">
        <f aca="false">IF($C198="","",IFERROR(INDEX('Check giá'!$J$4:$J$203,MATCH($C198,'Check giá'!$A$4:$A$203,0)),""))</f>
        <v/>
      </c>
      <c r="I198" s="32"/>
      <c r="J198" s="37" t="str">
        <f aca="false">IF($I198="","",IFERROR(INDEX('Nhà cung cấp'!$B$4:$B$203,MATCH($I198,'Nhà cung cấp'!$A$4:$A$203,0)),""))</f>
        <v/>
      </c>
      <c r="K198" s="34"/>
      <c r="L198" s="38" t="str">
        <f aca="false">IF($A198="","",IFERROR($G198*$K198,""))</f>
        <v/>
      </c>
      <c r="M198" s="34"/>
      <c r="N198" s="38" t="str">
        <f aca="false">IF($I198="","",IFERROR(INDEX('Nhà cung cấp'!$G$4:$G$203,MATCH($I198,'Nhà cung cấp'!$A$4:$A$203,0)),""))</f>
        <v/>
      </c>
      <c r="O198" s="33"/>
      <c r="P198" s="38" t="str">
        <f aca="false">IF($C198="","",IFERROR(_xlfn.MINIFS($L$4:$L$203,$C$4:$C$203,$C198,$L$4:$L$203,"&gt;0"),""))</f>
        <v/>
      </c>
      <c r="Q198" s="38" t="str">
        <f aca="false">IF($A198="","",IFERROR($L198-$P198,""))</f>
        <v/>
      </c>
      <c r="R198" s="38" t="str">
        <f aca="false">IF($A198="","",IFERROR($L198-$H198,""))</f>
        <v/>
      </c>
      <c r="S198" s="39" t="str">
        <f aca="false">IF($A198="","",IFERROR($R198/$H198,""))</f>
        <v/>
      </c>
      <c r="T198" s="32"/>
      <c r="U198" s="37" t="str">
        <f aca="false">IF($C198="","",IFERROR(INDEX(PR!$A$4:$A$203,MATCH($C198,PR!$C$4:$C$203,0)),""))</f>
        <v/>
      </c>
      <c r="V198" s="32"/>
    </row>
    <row r="199" customFormat="false" ht="15" hidden="false" customHeight="false" outlineLevel="0" collapsed="false">
      <c r="A199" s="32"/>
      <c r="B199" s="33"/>
      <c r="C199" s="32"/>
      <c r="D199" s="37" t="str">
        <f aca="false">IF($C199="","",IFERROR(INDEX('Check giá'!$C$4:$C$203,MATCH($C199,'Check giá'!$A$4:$A$203,0)),""))</f>
        <v/>
      </c>
      <c r="E199" s="37" t="str">
        <f aca="false">IF($C199="","",IFERROR(INDEX('Check giá'!$D$4:$D$203,MATCH($C199,'Check giá'!$A$4:$A$203,0)),""))</f>
        <v/>
      </c>
      <c r="F199" s="37" t="str">
        <f aca="false">IF($C199="","",IFERROR(INDEX('Check giá'!$F$4:$F$203,MATCH($C199,'Check giá'!$A$4:$A$203,0)),""))</f>
        <v/>
      </c>
      <c r="G199" s="38" t="str">
        <f aca="false">IF($C199="","",IFERROR(INDEX('Check giá'!$H$4:$H$203,MATCH($C199,'Check giá'!$A$4:$A$203,0)),""))</f>
        <v/>
      </c>
      <c r="H199" s="38" t="str">
        <f aca="false">IF($C199="","",IFERROR(INDEX('Check giá'!$J$4:$J$203,MATCH($C199,'Check giá'!$A$4:$A$203,0)),""))</f>
        <v/>
      </c>
      <c r="I199" s="32"/>
      <c r="J199" s="37" t="str">
        <f aca="false">IF($I199="","",IFERROR(INDEX('Nhà cung cấp'!$B$4:$B$203,MATCH($I199,'Nhà cung cấp'!$A$4:$A$203,0)),""))</f>
        <v/>
      </c>
      <c r="K199" s="34"/>
      <c r="L199" s="38" t="str">
        <f aca="false">IF($A199="","",IFERROR($G199*$K199,""))</f>
        <v/>
      </c>
      <c r="M199" s="34"/>
      <c r="N199" s="38" t="str">
        <f aca="false">IF($I199="","",IFERROR(INDEX('Nhà cung cấp'!$G$4:$G$203,MATCH($I199,'Nhà cung cấp'!$A$4:$A$203,0)),""))</f>
        <v/>
      </c>
      <c r="O199" s="33"/>
      <c r="P199" s="38" t="str">
        <f aca="false">IF($C199="","",IFERROR(_xlfn.MINIFS($L$4:$L$203,$C$4:$C$203,$C199,$L$4:$L$203,"&gt;0"),""))</f>
        <v/>
      </c>
      <c r="Q199" s="38" t="str">
        <f aca="false">IF($A199="","",IFERROR($L199-$P199,""))</f>
        <v/>
      </c>
      <c r="R199" s="38" t="str">
        <f aca="false">IF($A199="","",IFERROR($L199-$H199,""))</f>
        <v/>
      </c>
      <c r="S199" s="39" t="str">
        <f aca="false">IF($A199="","",IFERROR($R199/$H199,""))</f>
        <v/>
      </c>
      <c r="T199" s="32"/>
      <c r="U199" s="37" t="str">
        <f aca="false">IF($C199="","",IFERROR(INDEX(PR!$A$4:$A$203,MATCH($C199,PR!$C$4:$C$203,0)),""))</f>
        <v/>
      </c>
      <c r="V199" s="32"/>
    </row>
    <row r="200" customFormat="false" ht="15" hidden="false" customHeight="false" outlineLevel="0" collapsed="false">
      <c r="A200" s="32"/>
      <c r="B200" s="33"/>
      <c r="C200" s="32"/>
      <c r="D200" s="37" t="str">
        <f aca="false">IF($C200="","",IFERROR(INDEX('Check giá'!$C$4:$C$203,MATCH($C200,'Check giá'!$A$4:$A$203,0)),""))</f>
        <v/>
      </c>
      <c r="E200" s="37" t="str">
        <f aca="false">IF($C200="","",IFERROR(INDEX('Check giá'!$D$4:$D$203,MATCH($C200,'Check giá'!$A$4:$A$203,0)),""))</f>
        <v/>
      </c>
      <c r="F200" s="37" t="str">
        <f aca="false">IF($C200="","",IFERROR(INDEX('Check giá'!$F$4:$F$203,MATCH($C200,'Check giá'!$A$4:$A$203,0)),""))</f>
        <v/>
      </c>
      <c r="G200" s="38" t="str">
        <f aca="false">IF($C200="","",IFERROR(INDEX('Check giá'!$H$4:$H$203,MATCH($C200,'Check giá'!$A$4:$A$203,0)),""))</f>
        <v/>
      </c>
      <c r="H200" s="38" t="str">
        <f aca="false">IF($C200="","",IFERROR(INDEX('Check giá'!$J$4:$J$203,MATCH($C200,'Check giá'!$A$4:$A$203,0)),""))</f>
        <v/>
      </c>
      <c r="I200" s="32"/>
      <c r="J200" s="37" t="str">
        <f aca="false">IF($I200="","",IFERROR(INDEX('Nhà cung cấp'!$B$4:$B$203,MATCH($I200,'Nhà cung cấp'!$A$4:$A$203,0)),""))</f>
        <v/>
      </c>
      <c r="K200" s="34"/>
      <c r="L200" s="38" t="str">
        <f aca="false">IF($A200="","",IFERROR($G200*$K200,""))</f>
        <v/>
      </c>
      <c r="M200" s="34"/>
      <c r="N200" s="38" t="str">
        <f aca="false">IF($I200="","",IFERROR(INDEX('Nhà cung cấp'!$G$4:$G$203,MATCH($I200,'Nhà cung cấp'!$A$4:$A$203,0)),""))</f>
        <v/>
      </c>
      <c r="O200" s="33"/>
      <c r="P200" s="38" t="str">
        <f aca="false">IF($C200="","",IFERROR(_xlfn.MINIFS($L$4:$L$203,$C$4:$C$203,$C200,$L$4:$L$203,"&gt;0"),""))</f>
        <v/>
      </c>
      <c r="Q200" s="38" t="str">
        <f aca="false">IF($A200="","",IFERROR($L200-$P200,""))</f>
        <v/>
      </c>
      <c r="R200" s="38" t="str">
        <f aca="false">IF($A200="","",IFERROR($L200-$H200,""))</f>
        <v/>
      </c>
      <c r="S200" s="39" t="str">
        <f aca="false">IF($A200="","",IFERROR($R200/$H200,""))</f>
        <v/>
      </c>
      <c r="T200" s="32"/>
      <c r="U200" s="37" t="str">
        <f aca="false">IF($C200="","",IFERROR(INDEX(PR!$A$4:$A$203,MATCH($C200,PR!$C$4:$C$203,0)),""))</f>
        <v/>
      </c>
      <c r="V200" s="32"/>
    </row>
    <row r="201" customFormat="false" ht="15" hidden="false" customHeight="false" outlineLevel="0" collapsed="false">
      <c r="A201" s="32"/>
      <c r="B201" s="33"/>
      <c r="C201" s="32"/>
      <c r="D201" s="37" t="str">
        <f aca="false">IF($C201="","",IFERROR(INDEX('Check giá'!$C$4:$C$203,MATCH($C201,'Check giá'!$A$4:$A$203,0)),""))</f>
        <v/>
      </c>
      <c r="E201" s="37" t="str">
        <f aca="false">IF($C201="","",IFERROR(INDEX('Check giá'!$D$4:$D$203,MATCH($C201,'Check giá'!$A$4:$A$203,0)),""))</f>
        <v/>
      </c>
      <c r="F201" s="37" t="str">
        <f aca="false">IF($C201="","",IFERROR(INDEX('Check giá'!$F$4:$F$203,MATCH($C201,'Check giá'!$A$4:$A$203,0)),""))</f>
        <v/>
      </c>
      <c r="G201" s="38" t="str">
        <f aca="false">IF($C201="","",IFERROR(INDEX('Check giá'!$H$4:$H$203,MATCH($C201,'Check giá'!$A$4:$A$203,0)),""))</f>
        <v/>
      </c>
      <c r="H201" s="38" t="str">
        <f aca="false">IF($C201="","",IFERROR(INDEX('Check giá'!$J$4:$J$203,MATCH($C201,'Check giá'!$A$4:$A$203,0)),""))</f>
        <v/>
      </c>
      <c r="I201" s="32"/>
      <c r="J201" s="37" t="str">
        <f aca="false">IF($I201="","",IFERROR(INDEX('Nhà cung cấp'!$B$4:$B$203,MATCH($I201,'Nhà cung cấp'!$A$4:$A$203,0)),""))</f>
        <v/>
      </c>
      <c r="K201" s="34"/>
      <c r="L201" s="38" t="str">
        <f aca="false">IF($A201="","",IFERROR($G201*$K201,""))</f>
        <v/>
      </c>
      <c r="M201" s="34"/>
      <c r="N201" s="38" t="str">
        <f aca="false">IF($I201="","",IFERROR(INDEX('Nhà cung cấp'!$G$4:$G$203,MATCH($I201,'Nhà cung cấp'!$A$4:$A$203,0)),""))</f>
        <v/>
      </c>
      <c r="O201" s="33"/>
      <c r="P201" s="38" t="str">
        <f aca="false">IF($C201="","",IFERROR(_xlfn.MINIFS($L$4:$L$203,$C$4:$C$203,$C201,$L$4:$L$203,"&gt;0"),""))</f>
        <v/>
      </c>
      <c r="Q201" s="38" t="str">
        <f aca="false">IF($A201="","",IFERROR($L201-$P201,""))</f>
        <v/>
      </c>
      <c r="R201" s="38" t="str">
        <f aca="false">IF($A201="","",IFERROR($L201-$H201,""))</f>
        <v/>
      </c>
      <c r="S201" s="39" t="str">
        <f aca="false">IF($A201="","",IFERROR($R201/$H201,""))</f>
        <v/>
      </c>
      <c r="T201" s="32"/>
      <c r="U201" s="37" t="str">
        <f aca="false">IF($C201="","",IFERROR(INDEX(PR!$A$4:$A$203,MATCH($C201,PR!$C$4:$C$203,0)),""))</f>
        <v/>
      </c>
      <c r="V201" s="32"/>
    </row>
    <row r="202" customFormat="false" ht="15" hidden="false" customHeight="false" outlineLevel="0" collapsed="false">
      <c r="A202" s="32"/>
      <c r="B202" s="33"/>
      <c r="C202" s="32"/>
      <c r="D202" s="37" t="str">
        <f aca="false">IF($C202="","",IFERROR(INDEX('Check giá'!$C$4:$C$203,MATCH($C202,'Check giá'!$A$4:$A$203,0)),""))</f>
        <v/>
      </c>
      <c r="E202" s="37" t="str">
        <f aca="false">IF($C202="","",IFERROR(INDEX('Check giá'!$D$4:$D$203,MATCH($C202,'Check giá'!$A$4:$A$203,0)),""))</f>
        <v/>
      </c>
      <c r="F202" s="37" t="str">
        <f aca="false">IF($C202="","",IFERROR(INDEX('Check giá'!$F$4:$F$203,MATCH($C202,'Check giá'!$A$4:$A$203,0)),""))</f>
        <v/>
      </c>
      <c r="G202" s="38" t="str">
        <f aca="false">IF($C202="","",IFERROR(INDEX('Check giá'!$H$4:$H$203,MATCH($C202,'Check giá'!$A$4:$A$203,0)),""))</f>
        <v/>
      </c>
      <c r="H202" s="38" t="str">
        <f aca="false">IF($C202="","",IFERROR(INDEX('Check giá'!$J$4:$J$203,MATCH($C202,'Check giá'!$A$4:$A$203,0)),""))</f>
        <v/>
      </c>
      <c r="I202" s="32"/>
      <c r="J202" s="37" t="str">
        <f aca="false">IF($I202="","",IFERROR(INDEX('Nhà cung cấp'!$B$4:$B$203,MATCH($I202,'Nhà cung cấp'!$A$4:$A$203,0)),""))</f>
        <v/>
      </c>
      <c r="K202" s="34"/>
      <c r="L202" s="38" t="str">
        <f aca="false">IF($A202="","",IFERROR($G202*$K202,""))</f>
        <v/>
      </c>
      <c r="M202" s="34"/>
      <c r="N202" s="38" t="str">
        <f aca="false">IF($I202="","",IFERROR(INDEX('Nhà cung cấp'!$G$4:$G$203,MATCH($I202,'Nhà cung cấp'!$A$4:$A$203,0)),""))</f>
        <v/>
      </c>
      <c r="O202" s="33"/>
      <c r="P202" s="38" t="str">
        <f aca="false">IF($C202="","",IFERROR(_xlfn.MINIFS($L$4:$L$203,$C$4:$C$203,$C202,$L$4:$L$203,"&gt;0"),""))</f>
        <v/>
      </c>
      <c r="Q202" s="38" t="str">
        <f aca="false">IF($A202="","",IFERROR($L202-$P202,""))</f>
        <v/>
      </c>
      <c r="R202" s="38" t="str">
        <f aca="false">IF($A202="","",IFERROR($L202-$H202,""))</f>
        <v/>
      </c>
      <c r="S202" s="39" t="str">
        <f aca="false">IF($A202="","",IFERROR($R202/$H202,""))</f>
        <v/>
      </c>
      <c r="T202" s="32"/>
      <c r="U202" s="37" t="str">
        <f aca="false">IF($C202="","",IFERROR(INDEX(PR!$A$4:$A$203,MATCH($C202,PR!$C$4:$C$203,0)),""))</f>
        <v/>
      </c>
      <c r="V202" s="32"/>
    </row>
    <row r="203" customFormat="false" ht="15" hidden="false" customHeight="false" outlineLevel="0" collapsed="false">
      <c r="A203" s="32"/>
      <c r="B203" s="33"/>
      <c r="C203" s="32"/>
      <c r="D203" s="37" t="str">
        <f aca="false">IF($C203="","",IFERROR(INDEX('Check giá'!$C$4:$C$203,MATCH($C203,'Check giá'!$A$4:$A$203,0)),""))</f>
        <v/>
      </c>
      <c r="E203" s="37" t="str">
        <f aca="false">IF($C203="","",IFERROR(INDEX('Check giá'!$D$4:$D$203,MATCH($C203,'Check giá'!$A$4:$A$203,0)),""))</f>
        <v/>
      </c>
      <c r="F203" s="37" t="str">
        <f aca="false">IF($C203="","",IFERROR(INDEX('Check giá'!$F$4:$F$203,MATCH($C203,'Check giá'!$A$4:$A$203,0)),""))</f>
        <v/>
      </c>
      <c r="G203" s="38" t="str">
        <f aca="false">IF($C203="","",IFERROR(INDEX('Check giá'!$H$4:$H$203,MATCH($C203,'Check giá'!$A$4:$A$203,0)),""))</f>
        <v/>
      </c>
      <c r="H203" s="38" t="str">
        <f aca="false">IF($C203="","",IFERROR(INDEX('Check giá'!$J$4:$J$203,MATCH($C203,'Check giá'!$A$4:$A$203,0)),""))</f>
        <v/>
      </c>
      <c r="I203" s="32"/>
      <c r="J203" s="37" t="str">
        <f aca="false">IF($I203="","",IFERROR(INDEX('Nhà cung cấp'!$B$4:$B$203,MATCH($I203,'Nhà cung cấp'!$A$4:$A$203,0)),""))</f>
        <v/>
      </c>
      <c r="K203" s="34"/>
      <c r="L203" s="38" t="str">
        <f aca="false">IF($A203="","",IFERROR($G203*$K203,""))</f>
        <v/>
      </c>
      <c r="M203" s="34"/>
      <c r="N203" s="38" t="str">
        <f aca="false">IF($I203="","",IFERROR(INDEX('Nhà cung cấp'!$G$4:$G$203,MATCH($I203,'Nhà cung cấp'!$A$4:$A$203,0)),""))</f>
        <v/>
      </c>
      <c r="O203" s="33"/>
      <c r="P203" s="38" t="str">
        <f aca="false">IF($C203="","",IFERROR(_xlfn.MINIFS($L$4:$L$203,$C$4:$C$203,$C203,$L$4:$L$203,"&gt;0"),""))</f>
        <v/>
      </c>
      <c r="Q203" s="38" t="str">
        <f aca="false">IF($A203="","",IFERROR($L203-$P203,""))</f>
        <v/>
      </c>
      <c r="R203" s="38" t="str">
        <f aca="false">IF($A203="","",IFERROR($L203-$H203,""))</f>
        <v/>
      </c>
      <c r="S203" s="39" t="str">
        <f aca="false">IF($A203="","",IFERROR($R203/$H203,""))</f>
        <v/>
      </c>
      <c r="T203" s="32"/>
      <c r="U203" s="37" t="str">
        <f aca="false">IF($C203="","",IFERROR(INDEX(PR!$A$4:$A$203,MATCH($C203,PR!$C$4:$C$203,0)),""))</f>
        <v/>
      </c>
      <c r="V203" s="32"/>
    </row>
  </sheetData>
  <autoFilter ref="A3:V203"/>
  <conditionalFormatting sqref="A4:V203">
    <cfRule type="expression" priority="2" aboveAverage="0" equalAverage="0" bottom="0" percent="0" rank="0" text="" dxfId="10">
      <formula>$T4="x"</formula>
    </cfRule>
  </conditionalFormatting>
  <conditionalFormatting sqref="Q4:Q203">
    <cfRule type="expression" priority="3" aboveAverage="0" equalAverage="0" bottom="0" percent="0" rank="0" text="" dxfId="11">
      <formula>AND($A4&lt;&gt;"",$Q4=0)</formula>
    </cfRule>
  </conditionalFormatting>
  <dataValidations count="1">
    <dataValidation allowBlank="true" errorStyle="stop" operator="between" showDropDown="false" showErrorMessage="false" showInputMessage="false" sqref="T4:T203" type="list">
      <formula1>"x"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Q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4"/>
    <col collapsed="false" customWidth="true" hidden="false" outlineLevel="0" max="4" min="4" style="0" width="13"/>
    <col collapsed="false" customWidth="true" hidden="false" outlineLevel="0" max="5" min="5" style="0" width="30"/>
    <col collapsed="false" customWidth="true" hidden="false" outlineLevel="0" max="6" min="6" style="0" width="22"/>
    <col collapsed="false" customWidth="true" hidden="false" outlineLevel="0" max="7" min="7" style="0" width="32"/>
    <col collapsed="false" customWidth="true" hidden="false" outlineLevel="0" max="8" min="8" style="0" width="8"/>
    <col collapsed="false" customWidth="true" hidden="false" outlineLevel="0" max="9" min="9" style="0" width="15"/>
    <col collapsed="false" customWidth="true" hidden="false" outlineLevel="0" max="10" min="10" style="0" width="11"/>
    <col collapsed="false" customWidth="true" hidden="false" outlineLevel="0" max="11" min="11" style="0" width="15"/>
    <col collapsed="false" customWidth="true" hidden="false" outlineLevel="0" max="12" min="12" style="0" width="16"/>
    <col collapsed="false" customWidth="true" hidden="false" outlineLevel="0" max="13" min="13" style="0" width="13"/>
    <col collapsed="false" customWidth="true" hidden="false" outlineLevel="0" max="14" min="14" style="0" width="14"/>
    <col collapsed="false" customWidth="true" hidden="false" outlineLevel="0" max="15" min="15" style="0" width="18"/>
    <col collapsed="false" customWidth="true" hidden="false" outlineLevel="0" max="16" min="16" style="0" width="13"/>
    <col collapsed="false" customWidth="true" hidden="false" outlineLevel="0" max="17" min="17" style="0" width="28"/>
  </cols>
  <sheetData>
    <row r="1" customFormat="false" ht="17.35" hidden="false" customHeight="false" outlineLevel="0" collapsed="false">
      <c r="A1" s="30" t="s">
        <v>243</v>
      </c>
    </row>
    <row r="2" customFormat="false" ht="15" hidden="false" customHeight="false" outlineLevel="0" collapsed="false">
      <c r="A2" s="8" t="s">
        <v>244</v>
      </c>
    </row>
    <row r="3" customFormat="false" ht="33.75" hidden="false" customHeight="true" outlineLevel="0" collapsed="false">
      <c r="A3" s="40" t="s">
        <v>245</v>
      </c>
      <c r="B3" s="40" t="s">
        <v>246</v>
      </c>
      <c r="C3" s="40" t="s">
        <v>194</v>
      </c>
      <c r="D3" s="40" t="s">
        <v>116</v>
      </c>
      <c r="E3" s="40" t="s">
        <v>135</v>
      </c>
      <c r="F3" s="40" t="s">
        <v>247</v>
      </c>
      <c r="G3" s="40" t="s">
        <v>248</v>
      </c>
      <c r="H3" s="40" t="s">
        <v>198</v>
      </c>
      <c r="I3" s="40" t="s">
        <v>249</v>
      </c>
      <c r="J3" s="40" t="s">
        <v>199</v>
      </c>
      <c r="K3" s="40" t="s">
        <v>200</v>
      </c>
      <c r="L3" s="40" t="s">
        <v>201</v>
      </c>
      <c r="M3" s="40" t="s">
        <v>250</v>
      </c>
      <c r="N3" s="40" t="s">
        <v>251</v>
      </c>
      <c r="O3" s="40" t="s">
        <v>252</v>
      </c>
      <c r="P3" s="40" t="s">
        <v>253</v>
      </c>
      <c r="Q3" s="40" t="s">
        <v>142</v>
      </c>
    </row>
    <row r="4" customFormat="false" ht="15" hidden="false" customHeight="false" outlineLevel="0" collapsed="false">
      <c r="A4" s="32" t="s">
        <v>254</v>
      </c>
      <c r="B4" s="33" t="n">
        <v>46034</v>
      </c>
      <c r="C4" s="32" t="s">
        <v>212</v>
      </c>
      <c r="D4" s="37" t="str">
        <f aca="false">IF($C4="","",IFERROR(INDEX('Check giá'!$C$4:$C$203,MATCH($C4,'Check giá'!$A$4:$A$203,0)),""))</f>
        <v>DA-2026-01</v>
      </c>
      <c r="E4" s="37" t="str">
        <f aca="false">IF($C4="","",IFERROR(INDEX('Check giá'!$D$4:$D$203,MATCH($C4,'Check giá'!$A$4:$A$203,0)),""))</f>
        <v>Nhà máy Bao bì Tân Uyên – Giai đoạn 2</v>
      </c>
      <c r="F4" s="37" t="str">
        <f aca="false">IF($C4="","",IFERROR(INDEX('Check giá'!$E$4:$E$203,MATCH($C4,'Check giá'!$A$4:$A$203,0)),""))</f>
        <v>Phòng Dự án – Trần Văn Nam</v>
      </c>
      <c r="G4" s="37" t="str">
        <f aca="false">IF($C4="","",IFERROR(INDEX('Check giá'!$F$4:$F$203,MATCH($C4,'Check giá'!$A$4:$A$203,0)),""))</f>
        <v>Thép tấm SS400 dày 10mm (1500x6000)</v>
      </c>
      <c r="H4" s="37" t="str">
        <f aca="false">IF($C4="","",IFERROR(INDEX('Check giá'!$G$4:$G$203,MATCH($C4,'Check giá'!$A$4:$A$203,0)),""))</f>
        <v>Tấm</v>
      </c>
      <c r="I4" s="38" t="n">
        <f aca="false">IF($C4="","",IFERROR(INDEX('Check giá'!$Q$4:$Q$203,MATCH($C4,'Check giá'!$A$4:$A$203,0)),""))</f>
        <v>1180000</v>
      </c>
      <c r="J4" s="34" t="n">
        <v>200</v>
      </c>
      <c r="K4" s="34" t="n">
        <v>1250000</v>
      </c>
      <c r="L4" s="38" t="n">
        <f aca="false">IF($A4="","",$J4*$K4)</f>
        <v>250000000</v>
      </c>
      <c r="M4" s="33" t="n">
        <v>46073</v>
      </c>
      <c r="N4" s="32" t="s">
        <v>255</v>
      </c>
      <c r="O4" s="32" t="s">
        <v>256</v>
      </c>
      <c r="P4" s="33" t="n">
        <v>46035</v>
      </c>
      <c r="Q4" s="35" t="s">
        <v>148</v>
      </c>
    </row>
    <row r="5" customFormat="false" ht="15" hidden="false" customHeight="false" outlineLevel="0" collapsed="false">
      <c r="A5" s="32"/>
      <c r="B5" s="33"/>
      <c r="C5" s="32"/>
      <c r="D5" s="37" t="str">
        <f aca="false">IF($C5="","",IFERROR(INDEX('Check giá'!$C$4:$C$203,MATCH($C5,'Check giá'!$A$4:$A$203,0)),""))</f>
        <v/>
      </c>
      <c r="E5" s="37" t="str">
        <f aca="false">IF($C5="","",IFERROR(INDEX('Check giá'!$D$4:$D$203,MATCH($C5,'Check giá'!$A$4:$A$203,0)),""))</f>
        <v/>
      </c>
      <c r="F5" s="37" t="str">
        <f aca="false">IF($C5="","",IFERROR(INDEX('Check giá'!$E$4:$E$203,MATCH($C5,'Check giá'!$A$4:$A$203,0)),""))</f>
        <v/>
      </c>
      <c r="G5" s="37" t="str">
        <f aca="false">IF($C5="","",IFERROR(INDEX('Check giá'!$F$4:$F$203,MATCH($C5,'Check giá'!$A$4:$A$203,0)),""))</f>
        <v/>
      </c>
      <c r="H5" s="37" t="str">
        <f aca="false">IF($C5="","",IFERROR(INDEX('Check giá'!$G$4:$G$203,MATCH($C5,'Check giá'!$A$4:$A$203,0)),""))</f>
        <v/>
      </c>
      <c r="I5" s="38" t="str">
        <f aca="false">IF($C5="","",IFERROR(INDEX('Check giá'!$Q$4:$Q$203,MATCH($C5,'Check giá'!$A$4:$A$203,0)),""))</f>
        <v/>
      </c>
      <c r="J5" s="34"/>
      <c r="K5" s="34"/>
      <c r="L5" s="38" t="str">
        <f aca="false">IF($A5="","",$J5*$K5)</f>
        <v/>
      </c>
      <c r="M5" s="33"/>
      <c r="N5" s="32"/>
      <c r="O5" s="32"/>
      <c r="P5" s="33"/>
      <c r="Q5" s="32"/>
    </row>
    <row r="6" customFormat="false" ht="15" hidden="false" customHeight="false" outlineLevel="0" collapsed="false">
      <c r="A6" s="32"/>
      <c r="B6" s="33"/>
      <c r="C6" s="32"/>
      <c r="D6" s="37" t="str">
        <f aca="false">IF($C6="","",IFERROR(INDEX('Check giá'!$C$4:$C$203,MATCH($C6,'Check giá'!$A$4:$A$203,0)),""))</f>
        <v/>
      </c>
      <c r="E6" s="37" t="str">
        <f aca="false">IF($C6="","",IFERROR(INDEX('Check giá'!$D$4:$D$203,MATCH($C6,'Check giá'!$A$4:$A$203,0)),""))</f>
        <v/>
      </c>
      <c r="F6" s="37" t="str">
        <f aca="false">IF($C6="","",IFERROR(INDEX('Check giá'!$E$4:$E$203,MATCH($C6,'Check giá'!$A$4:$A$203,0)),""))</f>
        <v/>
      </c>
      <c r="G6" s="37" t="str">
        <f aca="false">IF($C6="","",IFERROR(INDEX('Check giá'!$F$4:$F$203,MATCH($C6,'Check giá'!$A$4:$A$203,0)),""))</f>
        <v/>
      </c>
      <c r="H6" s="37" t="str">
        <f aca="false">IF($C6="","",IFERROR(INDEX('Check giá'!$G$4:$G$203,MATCH($C6,'Check giá'!$A$4:$A$203,0)),""))</f>
        <v/>
      </c>
      <c r="I6" s="38" t="str">
        <f aca="false">IF($C6="","",IFERROR(INDEX('Check giá'!$Q$4:$Q$203,MATCH($C6,'Check giá'!$A$4:$A$203,0)),""))</f>
        <v/>
      </c>
      <c r="J6" s="34"/>
      <c r="K6" s="34"/>
      <c r="L6" s="38" t="str">
        <f aca="false">IF($A6="","",$J6*$K6)</f>
        <v/>
      </c>
      <c r="M6" s="33"/>
      <c r="N6" s="32"/>
      <c r="O6" s="32"/>
      <c r="P6" s="33"/>
      <c r="Q6" s="32"/>
    </row>
    <row r="7" customFormat="false" ht="15" hidden="false" customHeight="false" outlineLevel="0" collapsed="false">
      <c r="A7" s="32"/>
      <c r="B7" s="33"/>
      <c r="C7" s="32"/>
      <c r="D7" s="37" t="str">
        <f aca="false">IF($C7="","",IFERROR(INDEX('Check giá'!$C$4:$C$203,MATCH($C7,'Check giá'!$A$4:$A$203,0)),""))</f>
        <v/>
      </c>
      <c r="E7" s="37" t="str">
        <f aca="false">IF($C7="","",IFERROR(INDEX('Check giá'!$D$4:$D$203,MATCH($C7,'Check giá'!$A$4:$A$203,0)),""))</f>
        <v/>
      </c>
      <c r="F7" s="37" t="str">
        <f aca="false">IF($C7="","",IFERROR(INDEX('Check giá'!$E$4:$E$203,MATCH($C7,'Check giá'!$A$4:$A$203,0)),""))</f>
        <v/>
      </c>
      <c r="G7" s="37" t="str">
        <f aca="false">IF($C7="","",IFERROR(INDEX('Check giá'!$F$4:$F$203,MATCH($C7,'Check giá'!$A$4:$A$203,0)),""))</f>
        <v/>
      </c>
      <c r="H7" s="37" t="str">
        <f aca="false">IF($C7="","",IFERROR(INDEX('Check giá'!$G$4:$G$203,MATCH($C7,'Check giá'!$A$4:$A$203,0)),""))</f>
        <v/>
      </c>
      <c r="I7" s="38" t="str">
        <f aca="false">IF($C7="","",IFERROR(INDEX('Check giá'!$Q$4:$Q$203,MATCH($C7,'Check giá'!$A$4:$A$203,0)),""))</f>
        <v/>
      </c>
      <c r="J7" s="34"/>
      <c r="K7" s="34"/>
      <c r="L7" s="38" t="str">
        <f aca="false">IF($A7="","",$J7*$K7)</f>
        <v/>
      </c>
      <c r="M7" s="33"/>
      <c r="N7" s="32"/>
      <c r="O7" s="32"/>
      <c r="P7" s="33"/>
      <c r="Q7" s="32"/>
    </row>
    <row r="8" customFormat="false" ht="15" hidden="false" customHeight="false" outlineLevel="0" collapsed="false">
      <c r="A8" s="32"/>
      <c r="B8" s="33"/>
      <c r="C8" s="32"/>
      <c r="D8" s="37" t="str">
        <f aca="false">IF($C8="","",IFERROR(INDEX('Check giá'!$C$4:$C$203,MATCH($C8,'Check giá'!$A$4:$A$203,0)),""))</f>
        <v/>
      </c>
      <c r="E8" s="37" t="str">
        <f aca="false">IF($C8="","",IFERROR(INDEX('Check giá'!$D$4:$D$203,MATCH($C8,'Check giá'!$A$4:$A$203,0)),""))</f>
        <v/>
      </c>
      <c r="F8" s="37" t="str">
        <f aca="false">IF($C8="","",IFERROR(INDEX('Check giá'!$E$4:$E$203,MATCH($C8,'Check giá'!$A$4:$A$203,0)),""))</f>
        <v/>
      </c>
      <c r="G8" s="37" t="str">
        <f aca="false">IF($C8="","",IFERROR(INDEX('Check giá'!$F$4:$F$203,MATCH($C8,'Check giá'!$A$4:$A$203,0)),""))</f>
        <v/>
      </c>
      <c r="H8" s="37" t="str">
        <f aca="false">IF($C8="","",IFERROR(INDEX('Check giá'!$G$4:$G$203,MATCH($C8,'Check giá'!$A$4:$A$203,0)),""))</f>
        <v/>
      </c>
      <c r="I8" s="38" t="str">
        <f aca="false">IF($C8="","",IFERROR(INDEX('Check giá'!$Q$4:$Q$203,MATCH($C8,'Check giá'!$A$4:$A$203,0)),""))</f>
        <v/>
      </c>
      <c r="J8" s="34"/>
      <c r="K8" s="34"/>
      <c r="L8" s="38" t="str">
        <f aca="false">IF($A8="","",$J8*$K8)</f>
        <v/>
      </c>
      <c r="M8" s="33"/>
      <c r="N8" s="32"/>
      <c r="O8" s="32"/>
      <c r="P8" s="33"/>
      <c r="Q8" s="32"/>
    </row>
    <row r="9" customFormat="false" ht="15" hidden="false" customHeight="false" outlineLevel="0" collapsed="false">
      <c r="A9" s="32"/>
      <c r="B9" s="33"/>
      <c r="C9" s="32"/>
      <c r="D9" s="37" t="str">
        <f aca="false">IF($C9="","",IFERROR(INDEX('Check giá'!$C$4:$C$203,MATCH($C9,'Check giá'!$A$4:$A$203,0)),""))</f>
        <v/>
      </c>
      <c r="E9" s="37" t="str">
        <f aca="false">IF($C9="","",IFERROR(INDEX('Check giá'!$D$4:$D$203,MATCH($C9,'Check giá'!$A$4:$A$203,0)),""))</f>
        <v/>
      </c>
      <c r="F9" s="37" t="str">
        <f aca="false">IF($C9="","",IFERROR(INDEX('Check giá'!$E$4:$E$203,MATCH($C9,'Check giá'!$A$4:$A$203,0)),""))</f>
        <v/>
      </c>
      <c r="G9" s="37" t="str">
        <f aca="false">IF($C9="","",IFERROR(INDEX('Check giá'!$F$4:$F$203,MATCH($C9,'Check giá'!$A$4:$A$203,0)),""))</f>
        <v/>
      </c>
      <c r="H9" s="37" t="str">
        <f aca="false">IF($C9="","",IFERROR(INDEX('Check giá'!$G$4:$G$203,MATCH($C9,'Check giá'!$A$4:$A$203,0)),""))</f>
        <v/>
      </c>
      <c r="I9" s="38" t="str">
        <f aca="false">IF($C9="","",IFERROR(INDEX('Check giá'!$Q$4:$Q$203,MATCH($C9,'Check giá'!$A$4:$A$203,0)),""))</f>
        <v/>
      </c>
      <c r="J9" s="34"/>
      <c r="K9" s="34"/>
      <c r="L9" s="38" t="str">
        <f aca="false">IF($A9="","",$J9*$K9)</f>
        <v/>
      </c>
      <c r="M9" s="33"/>
      <c r="N9" s="32"/>
      <c r="O9" s="32"/>
      <c r="P9" s="33"/>
      <c r="Q9" s="32"/>
    </row>
    <row r="10" customFormat="false" ht="15" hidden="false" customHeight="false" outlineLevel="0" collapsed="false">
      <c r="A10" s="32"/>
      <c r="B10" s="33"/>
      <c r="C10" s="32"/>
      <c r="D10" s="37" t="str">
        <f aca="false">IF($C10="","",IFERROR(INDEX('Check giá'!$C$4:$C$203,MATCH($C10,'Check giá'!$A$4:$A$203,0)),""))</f>
        <v/>
      </c>
      <c r="E10" s="37" t="str">
        <f aca="false">IF($C10="","",IFERROR(INDEX('Check giá'!$D$4:$D$203,MATCH($C10,'Check giá'!$A$4:$A$203,0)),""))</f>
        <v/>
      </c>
      <c r="F10" s="37" t="str">
        <f aca="false">IF($C10="","",IFERROR(INDEX('Check giá'!$E$4:$E$203,MATCH($C10,'Check giá'!$A$4:$A$203,0)),""))</f>
        <v/>
      </c>
      <c r="G10" s="37" t="str">
        <f aca="false">IF($C10="","",IFERROR(INDEX('Check giá'!$F$4:$F$203,MATCH($C10,'Check giá'!$A$4:$A$203,0)),""))</f>
        <v/>
      </c>
      <c r="H10" s="37" t="str">
        <f aca="false">IF($C10="","",IFERROR(INDEX('Check giá'!$G$4:$G$203,MATCH($C10,'Check giá'!$A$4:$A$203,0)),""))</f>
        <v/>
      </c>
      <c r="I10" s="38" t="str">
        <f aca="false">IF($C10="","",IFERROR(INDEX('Check giá'!$Q$4:$Q$203,MATCH($C10,'Check giá'!$A$4:$A$203,0)),""))</f>
        <v/>
      </c>
      <c r="J10" s="34"/>
      <c r="K10" s="34"/>
      <c r="L10" s="38" t="str">
        <f aca="false">IF($A10="","",$J10*$K10)</f>
        <v/>
      </c>
      <c r="M10" s="33"/>
      <c r="N10" s="32"/>
      <c r="O10" s="32"/>
      <c r="P10" s="33"/>
      <c r="Q10" s="32"/>
    </row>
    <row r="11" customFormat="false" ht="15" hidden="false" customHeight="false" outlineLevel="0" collapsed="false">
      <c r="A11" s="32"/>
      <c r="B11" s="33"/>
      <c r="C11" s="32"/>
      <c r="D11" s="37" t="str">
        <f aca="false">IF($C11="","",IFERROR(INDEX('Check giá'!$C$4:$C$203,MATCH($C11,'Check giá'!$A$4:$A$203,0)),""))</f>
        <v/>
      </c>
      <c r="E11" s="37" t="str">
        <f aca="false">IF($C11="","",IFERROR(INDEX('Check giá'!$D$4:$D$203,MATCH($C11,'Check giá'!$A$4:$A$203,0)),""))</f>
        <v/>
      </c>
      <c r="F11" s="37" t="str">
        <f aca="false">IF($C11="","",IFERROR(INDEX('Check giá'!$E$4:$E$203,MATCH($C11,'Check giá'!$A$4:$A$203,0)),""))</f>
        <v/>
      </c>
      <c r="G11" s="37" t="str">
        <f aca="false">IF($C11="","",IFERROR(INDEX('Check giá'!$F$4:$F$203,MATCH($C11,'Check giá'!$A$4:$A$203,0)),""))</f>
        <v/>
      </c>
      <c r="H11" s="37" t="str">
        <f aca="false">IF($C11="","",IFERROR(INDEX('Check giá'!$G$4:$G$203,MATCH($C11,'Check giá'!$A$4:$A$203,0)),""))</f>
        <v/>
      </c>
      <c r="I11" s="38" t="str">
        <f aca="false">IF($C11="","",IFERROR(INDEX('Check giá'!$Q$4:$Q$203,MATCH($C11,'Check giá'!$A$4:$A$203,0)),""))</f>
        <v/>
      </c>
      <c r="J11" s="34"/>
      <c r="K11" s="34"/>
      <c r="L11" s="38" t="str">
        <f aca="false">IF($A11="","",$J11*$K11)</f>
        <v/>
      </c>
      <c r="M11" s="33"/>
      <c r="N11" s="32"/>
      <c r="O11" s="32"/>
      <c r="P11" s="33"/>
      <c r="Q11" s="32"/>
    </row>
    <row r="12" customFormat="false" ht="15" hidden="false" customHeight="false" outlineLevel="0" collapsed="false">
      <c r="A12" s="32"/>
      <c r="B12" s="33"/>
      <c r="C12" s="32"/>
      <c r="D12" s="37" t="str">
        <f aca="false">IF($C12="","",IFERROR(INDEX('Check giá'!$C$4:$C$203,MATCH($C12,'Check giá'!$A$4:$A$203,0)),""))</f>
        <v/>
      </c>
      <c r="E12" s="37" t="str">
        <f aca="false">IF($C12="","",IFERROR(INDEX('Check giá'!$D$4:$D$203,MATCH($C12,'Check giá'!$A$4:$A$203,0)),""))</f>
        <v/>
      </c>
      <c r="F12" s="37" t="str">
        <f aca="false">IF($C12="","",IFERROR(INDEX('Check giá'!$E$4:$E$203,MATCH($C12,'Check giá'!$A$4:$A$203,0)),""))</f>
        <v/>
      </c>
      <c r="G12" s="37" t="str">
        <f aca="false">IF($C12="","",IFERROR(INDEX('Check giá'!$F$4:$F$203,MATCH($C12,'Check giá'!$A$4:$A$203,0)),""))</f>
        <v/>
      </c>
      <c r="H12" s="37" t="str">
        <f aca="false">IF($C12="","",IFERROR(INDEX('Check giá'!$G$4:$G$203,MATCH($C12,'Check giá'!$A$4:$A$203,0)),""))</f>
        <v/>
      </c>
      <c r="I12" s="38" t="str">
        <f aca="false">IF($C12="","",IFERROR(INDEX('Check giá'!$Q$4:$Q$203,MATCH($C12,'Check giá'!$A$4:$A$203,0)),""))</f>
        <v/>
      </c>
      <c r="J12" s="34"/>
      <c r="K12" s="34"/>
      <c r="L12" s="38" t="str">
        <f aca="false">IF($A12="","",$J12*$K12)</f>
        <v/>
      </c>
      <c r="M12" s="33"/>
      <c r="N12" s="32"/>
      <c r="O12" s="32"/>
      <c r="P12" s="33"/>
      <c r="Q12" s="32"/>
    </row>
    <row r="13" customFormat="false" ht="15" hidden="false" customHeight="false" outlineLevel="0" collapsed="false">
      <c r="A13" s="32"/>
      <c r="B13" s="33"/>
      <c r="C13" s="32"/>
      <c r="D13" s="37" t="str">
        <f aca="false">IF($C13="","",IFERROR(INDEX('Check giá'!$C$4:$C$203,MATCH($C13,'Check giá'!$A$4:$A$203,0)),""))</f>
        <v/>
      </c>
      <c r="E13" s="37" t="str">
        <f aca="false">IF($C13="","",IFERROR(INDEX('Check giá'!$D$4:$D$203,MATCH($C13,'Check giá'!$A$4:$A$203,0)),""))</f>
        <v/>
      </c>
      <c r="F13" s="37" t="str">
        <f aca="false">IF($C13="","",IFERROR(INDEX('Check giá'!$E$4:$E$203,MATCH($C13,'Check giá'!$A$4:$A$203,0)),""))</f>
        <v/>
      </c>
      <c r="G13" s="37" t="str">
        <f aca="false">IF($C13="","",IFERROR(INDEX('Check giá'!$F$4:$F$203,MATCH($C13,'Check giá'!$A$4:$A$203,0)),""))</f>
        <v/>
      </c>
      <c r="H13" s="37" t="str">
        <f aca="false">IF($C13="","",IFERROR(INDEX('Check giá'!$G$4:$G$203,MATCH($C13,'Check giá'!$A$4:$A$203,0)),""))</f>
        <v/>
      </c>
      <c r="I13" s="38" t="str">
        <f aca="false">IF($C13="","",IFERROR(INDEX('Check giá'!$Q$4:$Q$203,MATCH($C13,'Check giá'!$A$4:$A$203,0)),""))</f>
        <v/>
      </c>
      <c r="J13" s="34"/>
      <c r="K13" s="34"/>
      <c r="L13" s="38" t="str">
        <f aca="false">IF($A13="","",$J13*$K13)</f>
        <v/>
      </c>
      <c r="M13" s="33"/>
      <c r="N13" s="32"/>
      <c r="O13" s="32"/>
      <c r="P13" s="33"/>
      <c r="Q13" s="32"/>
    </row>
    <row r="14" customFormat="false" ht="15" hidden="false" customHeight="false" outlineLevel="0" collapsed="false">
      <c r="A14" s="32"/>
      <c r="B14" s="33"/>
      <c r="C14" s="32"/>
      <c r="D14" s="37" t="str">
        <f aca="false">IF($C14="","",IFERROR(INDEX('Check giá'!$C$4:$C$203,MATCH($C14,'Check giá'!$A$4:$A$203,0)),""))</f>
        <v/>
      </c>
      <c r="E14" s="37" t="str">
        <f aca="false">IF($C14="","",IFERROR(INDEX('Check giá'!$D$4:$D$203,MATCH($C14,'Check giá'!$A$4:$A$203,0)),""))</f>
        <v/>
      </c>
      <c r="F14" s="37" t="str">
        <f aca="false">IF($C14="","",IFERROR(INDEX('Check giá'!$E$4:$E$203,MATCH($C14,'Check giá'!$A$4:$A$203,0)),""))</f>
        <v/>
      </c>
      <c r="G14" s="37" t="str">
        <f aca="false">IF($C14="","",IFERROR(INDEX('Check giá'!$F$4:$F$203,MATCH($C14,'Check giá'!$A$4:$A$203,0)),""))</f>
        <v/>
      </c>
      <c r="H14" s="37" t="str">
        <f aca="false">IF($C14="","",IFERROR(INDEX('Check giá'!$G$4:$G$203,MATCH($C14,'Check giá'!$A$4:$A$203,0)),""))</f>
        <v/>
      </c>
      <c r="I14" s="38" t="str">
        <f aca="false">IF($C14="","",IFERROR(INDEX('Check giá'!$Q$4:$Q$203,MATCH($C14,'Check giá'!$A$4:$A$203,0)),""))</f>
        <v/>
      </c>
      <c r="J14" s="34"/>
      <c r="K14" s="34"/>
      <c r="L14" s="38" t="str">
        <f aca="false">IF($A14="","",$J14*$K14)</f>
        <v/>
      </c>
      <c r="M14" s="33"/>
      <c r="N14" s="32"/>
      <c r="O14" s="32"/>
      <c r="P14" s="33"/>
      <c r="Q14" s="32"/>
    </row>
    <row r="15" customFormat="false" ht="15" hidden="false" customHeight="false" outlineLevel="0" collapsed="false">
      <c r="A15" s="32"/>
      <c r="B15" s="33"/>
      <c r="C15" s="32"/>
      <c r="D15" s="37" t="str">
        <f aca="false">IF($C15="","",IFERROR(INDEX('Check giá'!$C$4:$C$203,MATCH($C15,'Check giá'!$A$4:$A$203,0)),""))</f>
        <v/>
      </c>
      <c r="E15" s="37" t="str">
        <f aca="false">IF($C15="","",IFERROR(INDEX('Check giá'!$D$4:$D$203,MATCH($C15,'Check giá'!$A$4:$A$203,0)),""))</f>
        <v/>
      </c>
      <c r="F15" s="37" t="str">
        <f aca="false">IF($C15="","",IFERROR(INDEX('Check giá'!$E$4:$E$203,MATCH($C15,'Check giá'!$A$4:$A$203,0)),""))</f>
        <v/>
      </c>
      <c r="G15" s="37" t="str">
        <f aca="false">IF($C15="","",IFERROR(INDEX('Check giá'!$F$4:$F$203,MATCH($C15,'Check giá'!$A$4:$A$203,0)),""))</f>
        <v/>
      </c>
      <c r="H15" s="37" t="str">
        <f aca="false">IF($C15="","",IFERROR(INDEX('Check giá'!$G$4:$G$203,MATCH($C15,'Check giá'!$A$4:$A$203,0)),""))</f>
        <v/>
      </c>
      <c r="I15" s="38" t="str">
        <f aca="false">IF($C15="","",IFERROR(INDEX('Check giá'!$Q$4:$Q$203,MATCH($C15,'Check giá'!$A$4:$A$203,0)),""))</f>
        <v/>
      </c>
      <c r="J15" s="34"/>
      <c r="K15" s="34"/>
      <c r="L15" s="38" t="str">
        <f aca="false">IF($A15="","",$J15*$K15)</f>
        <v/>
      </c>
      <c r="M15" s="33"/>
      <c r="N15" s="32"/>
      <c r="O15" s="32"/>
      <c r="P15" s="33"/>
      <c r="Q15" s="32"/>
    </row>
    <row r="16" customFormat="false" ht="15" hidden="false" customHeight="false" outlineLevel="0" collapsed="false">
      <c r="A16" s="32"/>
      <c r="B16" s="33"/>
      <c r="C16" s="32"/>
      <c r="D16" s="37" t="str">
        <f aca="false">IF($C16="","",IFERROR(INDEX('Check giá'!$C$4:$C$203,MATCH($C16,'Check giá'!$A$4:$A$203,0)),""))</f>
        <v/>
      </c>
      <c r="E16" s="37" t="str">
        <f aca="false">IF($C16="","",IFERROR(INDEX('Check giá'!$D$4:$D$203,MATCH($C16,'Check giá'!$A$4:$A$203,0)),""))</f>
        <v/>
      </c>
      <c r="F16" s="37" t="str">
        <f aca="false">IF($C16="","",IFERROR(INDEX('Check giá'!$E$4:$E$203,MATCH($C16,'Check giá'!$A$4:$A$203,0)),""))</f>
        <v/>
      </c>
      <c r="G16" s="37" t="str">
        <f aca="false">IF($C16="","",IFERROR(INDEX('Check giá'!$F$4:$F$203,MATCH($C16,'Check giá'!$A$4:$A$203,0)),""))</f>
        <v/>
      </c>
      <c r="H16" s="37" t="str">
        <f aca="false">IF($C16="","",IFERROR(INDEX('Check giá'!$G$4:$G$203,MATCH($C16,'Check giá'!$A$4:$A$203,0)),""))</f>
        <v/>
      </c>
      <c r="I16" s="38" t="str">
        <f aca="false">IF($C16="","",IFERROR(INDEX('Check giá'!$Q$4:$Q$203,MATCH($C16,'Check giá'!$A$4:$A$203,0)),""))</f>
        <v/>
      </c>
      <c r="J16" s="34"/>
      <c r="K16" s="34"/>
      <c r="L16" s="38" t="str">
        <f aca="false">IF($A16="","",$J16*$K16)</f>
        <v/>
      </c>
      <c r="M16" s="33"/>
      <c r="N16" s="32"/>
      <c r="O16" s="32"/>
      <c r="P16" s="33"/>
      <c r="Q16" s="32"/>
    </row>
    <row r="17" customFormat="false" ht="15" hidden="false" customHeight="false" outlineLevel="0" collapsed="false">
      <c r="A17" s="32"/>
      <c r="B17" s="33"/>
      <c r="C17" s="32"/>
      <c r="D17" s="37" t="str">
        <f aca="false">IF($C17="","",IFERROR(INDEX('Check giá'!$C$4:$C$203,MATCH($C17,'Check giá'!$A$4:$A$203,0)),""))</f>
        <v/>
      </c>
      <c r="E17" s="37" t="str">
        <f aca="false">IF($C17="","",IFERROR(INDEX('Check giá'!$D$4:$D$203,MATCH($C17,'Check giá'!$A$4:$A$203,0)),""))</f>
        <v/>
      </c>
      <c r="F17" s="37" t="str">
        <f aca="false">IF($C17="","",IFERROR(INDEX('Check giá'!$E$4:$E$203,MATCH($C17,'Check giá'!$A$4:$A$203,0)),""))</f>
        <v/>
      </c>
      <c r="G17" s="37" t="str">
        <f aca="false">IF($C17="","",IFERROR(INDEX('Check giá'!$F$4:$F$203,MATCH($C17,'Check giá'!$A$4:$A$203,0)),""))</f>
        <v/>
      </c>
      <c r="H17" s="37" t="str">
        <f aca="false">IF($C17="","",IFERROR(INDEX('Check giá'!$G$4:$G$203,MATCH($C17,'Check giá'!$A$4:$A$203,0)),""))</f>
        <v/>
      </c>
      <c r="I17" s="38" t="str">
        <f aca="false">IF($C17="","",IFERROR(INDEX('Check giá'!$Q$4:$Q$203,MATCH($C17,'Check giá'!$A$4:$A$203,0)),""))</f>
        <v/>
      </c>
      <c r="J17" s="34"/>
      <c r="K17" s="34"/>
      <c r="L17" s="38" t="str">
        <f aca="false">IF($A17="","",$J17*$K17)</f>
        <v/>
      </c>
      <c r="M17" s="33"/>
      <c r="N17" s="32"/>
      <c r="O17" s="32"/>
      <c r="P17" s="33"/>
      <c r="Q17" s="32"/>
    </row>
    <row r="18" customFormat="false" ht="15" hidden="false" customHeight="false" outlineLevel="0" collapsed="false">
      <c r="A18" s="32"/>
      <c r="B18" s="33"/>
      <c r="C18" s="32"/>
      <c r="D18" s="37" t="str">
        <f aca="false">IF($C18="","",IFERROR(INDEX('Check giá'!$C$4:$C$203,MATCH($C18,'Check giá'!$A$4:$A$203,0)),""))</f>
        <v/>
      </c>
      <c r="E18" s="37" t="str">
        <f aca="false">IF($C18="","",IFERROR(INDEX('Check giá'!$D$4:$D$203,MATCH($C18,'Check giá'!$A$4:$A$203,0)),""))</f>
        <v/>
      </c>
      <c r="F18" s="37" t="str">
        <f aca="false">IF($C18="","",IFERROR(INDEX('Check giá'!$E$4:$E$203,MATCH($C18,'Check giá'!$A$4:$A$203,0)),""))</f>
        <v/>
      </c>
      <c r="G18" s="37" t="str">
        <f aca="false">IF($C18="","",IFERROR(INDEX('Check giá'!$F$4:$F$203,MATCH($C18,'Check giá'!$A$4:$A$203,0)),""))</f>
        <v/>
      </c>
      <c r="H18" s="37" t="str">
        <f aca="false">IF($C18="","",IFERROR(INDEX('Check giá'!$G$4:$G$203,MATCH($C18,'Check giá'!$A$4:$A$203,0)),""))</f>
        <v/>
      </c>
      <c r="I18" s="38" t="str">
        <f aca="false">IF($C18="","",IFERROR(INDEX('Check giá'!$Q$4:$Q$203,MATCH($C18,'Check giá'!$A$4:$A$203,0)),""))</f>
        <v/>
      </c>
      <c r="J18" s="34"/>
      <c r="K18" s="34"/>
      <c r="L18" s="38" t="str">
        <f aca="false">IF($A18="","",$J18*$K18)</f>
        <v/>
      </c>
      <c r="M18" s="33"/>
      <c r="N18" s="32"/>
      <c r="O18" s="32"/>
      <c r="P18" s="33"/>
      <c r="Q18" s="32"/>
    </row>
    <row r="19" customFormat="false" ht="15" hidden="false" customHeight="false" outlineLevel="0" collapsed="false">
      <c r="A19" s="32"/>
      <c r="B19" s="33"/>
      <c r="C19" s="32"/>
      <c r="D19" s="37" t="str">
        <f aca="false">IF($C19="","",IFERROR(INDEX('Check giá'!$C$4:$C$203,MATCH($C19,'Check giá'!$A$4:$A$203,0)),""))</f>
        <v/>
      </c>
      <c r="E19" s="37" t="str">
        <f aca="false">IF($C19="","",IFERROR(INDEX('Check giá'!$D$4:$D$203,MATCH($C19,'Check giá'!$A$4:$A$203,0)),""))</f>
        <v/>
      </c>
      <c r="F19" s="37" t="str">
        <f aca="false">IF($C19="","",IFERROR(INDEX('Check giá'!$E$4:$E$203,MATCH($C19,'Check giá'!$A$4:$A$203,0)),""))</f>
        <v/>
      </c>
      <c r="G19" s="37" t="str">
        <f aca="false">IF($C19="","",IFERROR(INDEX('Check giá'!$F$4:$F$203,MATCH($C19,'Check giá'!$A$4:$A$203,0)),""))</f>
        <v/>
      </c>
      <c r="H19" s="37" t="str">
        <f aca="false">IF($C19="","",IFERROR(INDEX('Check giá'!$G$4:$G$203,MATCH($C19,'Check giá'!$A$4:$A$203,0)),""))</f>
        <v/>
      </c>
      <c r="I19" s="38" t="str">
        <f aca="false">IF($C19="","",IFERROR(INDEX('Check giá'!$Q$4:$Q$203,MATCH($C19,'Check giá'!$A$4:$A$203,0)),""))</f>
        <v/>
      </c>
      <c r="J19" s="34"/>
      <c r="K19" s="34"/>
      <c r="L19" s="38" t="str">
        <f aca="false">IF($A19="","",$J19*$K19)</f>
        <v/>
      </c>
      <c r="M19" s="33"/>
      <c r="N19" s="32"/>
      <c r="O19" s="32"/>
      <c r="P19" s="33"/>
      <c r="Q19" s="32"/>
    </row>
    <row r="20" customFormat="false" ht="15" hidden="false" customHeight="false" outlineLevel="0" collapsed="false">
      <c r="A20" s="32"/>
      <c r="B20" s="33"/>
      <c r="C20" s="32"/>
      <c r="D20" s="37" t="str">
        <f aca="false">IF($C20="","",IFERROR(INDEX('Check giá'!$C$4:$C$203,MATCH($C20,'Check giá'!$A$4:$A$203,0)),""))</f>
        <v/>
      </c>
      <c r="E20" s="37" t="str">
        <f aca="false">IF($C20="","",IFERROR(INDEX('Check giá'!$D$4:$D$203,MATCH($C20,'Check giá'!$A$4:$A$203,0)),""))</f>
        <v/>
      </c>
      <c r="F20" s="37" t="str">
        <f aca="false">IF($C20="","",IFERROR(INDEX('Check giá'!$E$4:$E$203,MATCH($C20,'Check giá'!$A$4:$A$203,0)),""))</f>
        <v/>
      </c>
      <c r="G20" s="37" t="str">
        <f aca="false">IF($C20="","",IFERROR(INDEX('Check giá'!$F$4:$F$203,MATCH($C20,'Check giá'!$A$4:$A$203,0)),""))</f>
        <v/>
      </c>
      <c r="H20" s="37" t="str">
        <f aca="false">IF($C20="","",IFERROR(INDEX('Check giá'!$G$4:$G$203,MATCH($C20,'Check giá'!$A$4:$A$203,0)),""))</f>
        <v/>
      </c>
      <c r="I20" s="38" t="str">
        <f aca="false">IF($C20="","",IFERROR(INDEX('Check giá'!$Q$4:$Q$203,MATCH($C20,'Check giá'!$A$4:$A$203,0)),""))</f>
        <v/>
      </c>
      <c r="J20" s="34"/>
      <c r="K20" s="34"/>
      <c r="L20" s="38" t="str">
        <f aca="false">IF($A20="","",$J20*$K20)</f>
        <v/>
      </c>
      <c r="M20" s="33"/>
      <c r="N20" s="32"/>
      <c r="O20" s="32"/>
      <c r="P20" s="33"/>
      <c r="Q20" s="32"/>
    </row>
    <row r="21" customFormat="false" ht="15" hidden="false" customHeight="false" outlineLevel="0" collapsed="false">
      <c r="A21" s="32"/>
      <c r="B21" s="33"/>
      <c r="C21" s="32"/>
      <c r="D21" s="37" t="str">
        <f aca="false">IF($C21="","",IFERROR(INDEX('Check giá'!$C$4:$C$203,MATCH($C21,'Check giá'!$A$4:$A$203,0)),""))</f>
        <v/>
      </c>
      <c r="E21" s="37" t="str">
        <f aca="false">IF($C21="","",IFERROR(INDEX('Check giá'!$D$4:$D$203,MATCH($C21,'Check giá'!$A$4:$A$203,0)),""))</f>
        <v/>
      </c>
      <c r="F21" s="37" t="str">
        <f aca="false">IF($C21="","",IFERROR(INDEX('Check giá'!$E$4:$E$203,MATCH($C21,'Check giá'!$A$4:$A$203,0)),""))</f>
        <v/>
      </c>
      <c r="G21" s="37" t="str">
        <f aca="false">IF($C21="","",IFERROR(INDEX('Check giá'!$F$4:$F$203,MATCH($C21,'Check giá'!$A$4:$A$203,0)),""))</f>
        <v/>
      </c>
      <c r="H21" s="37" t="str">
        <f aca="false">IF($C21="","",IFERROR(INDEX('Check giá'!$G$4:$G$203,MATCH($C21,'Check giá'!$A$4:$A$203,0)),""))</f>
        <v/>
      </c>
      <c r="I21" s="38" t="str">
        <f aca="false">IF($C21="","",IFERROR(INDEX('Check giá'!$Q$4:$Q$203,MATCH($C21,'Check giá'!$A$4:$A$203,0)),""))</f>
        <v/>
      </c>
      <c r="J21" s="34"/>
      <c r="K21" s="34"/>
      <c r="L21" s="38" t="str">
        <f aca="false">IF($A21="","",$J21*$K21)</f>
        <v/>
      </c>
      <c r="M21" s="33"/>
      <c r="N21" s="32"/>
      <c r="O21" s="32"/>
      <c r="P21" s="33"/>
      <c r="Q21" s="32"/>
    </row>
    <row r="22" customFormat="false" ht="15" hidden="false" customHeight="false" outlineLevel="0" collapsed="false">
      <c r="A22" s="32"/>
      <c r="B22" s="33"/>
      <c r="C22" s="32"/>
      <c r="D22" s="37" t="str">
        <f aca="false">IF($C22="","",IFERROR(INDEX('Check giá'!$C$4:$C$203,MATCH($C22,'Check giá'!$A$4:$A$203,0)),""))</f>
        <v/>
      </c>
      <c r="E22" s="37" t="str">
        <f aca="false">IF($C22="","",IFERROR(INDEX('Check giá'!$D$4:$D$203,MATCH($C22,'Check giá'!$A$4:$A$203,0)),""))</f>
        <v/>
      </c>
      <c r="F22" s="37" t="str">
        <f aca="false">IF($C22="","",IFERROR(INDEX('Check giá'!$E$4:$E$203,MATCH($C22,'Check giá'!$A$4:$A$203,0)),""))</f>
        <v/>
      </c>
      <c r="G22" s="37" t="str">
        <f aca="false">IF($C22="","",IFERROR(INDEX('Check giá'!$F$4:$F$203,MATCH($C22,'Check giá'!$A$4:$A$203,0)),""))</f>
        <v/>
      </c>
      <c r="H22" s="37" t="str">
        <f aca="false">IF($C22="","",IFERROR(INDEX('Check giá'!$G$4:$G$203,MATCH($C22,'Check giá'!$A$4:$A$203,0)),""))</f>
        <v/>
      </c>
      <c r="I22" s="38" t="str">
        <f aca="false">IF($C22="","",IFERROR(INDEX('Check giá'!$Q$4:$Q$203,MATCH($C22,'Check giá'!$A$4:$A$203,0)),""))</f>
        <v/>
      </c>
      <c r="J22" s="34"/>
      <c r="K22" s="34"/>
      <c r="L22" s="38" t="str">
        <f aca="false">IF($A22="","",$J22*$K22)</f>
        <v/>
      </c>
      <c r="M22" s="33"/>
      <c r="N22" s="32"/>
      <c r="O22" s="32"/>
      <c r="P22" s="33"/>
      <c r="Q22" s="32"/>
    </row>
    <row r="23" customFormat="false" ht="15" hidden="false" customHeight="false" outlineLevel="0" collapsed="false">
      <c r="A23" s="32"/>
      <c r="B23" s="33"/>
      <c r="C23" s="32"/>
      <c r="D23" s="37" t="str">
        <f aca="false">IF($C23="","",IFERROR(INDEX('Check giá'!$C$4:$C$203,MATCH($C23,'Check giá'!$A$4:$A$203,0)),""))</f>
        <v/>
      </c>
      <c r="E23" s="37" t="str">
        <f aca="false">IF($C23="","",IFERROR(INDEX('Check giá'!$D$4:$D$203,MATCH($C23,'Check giá'!$A$4:$A$203,0)),""))</f>
        <v/>
      </c>
      <c r="F23" s="37" t="str">
        <f aca="false">IF($C23="","",IFERROR(INDEX('Check giá'!$E$4:$E$203,MATCH($C23,'Check giá'!$A$4:$A$203,0)),""))</f>
        <v/>
      </c>
      <c r="G23" s="37" t="str">
        <f aca="false">IF($C23="","",IFERROR(INDEX('Check giá'!$F$4:$F$203,MATCH($C23,'Check giá'!$A$4:$A$203,0)),""))</f>
        <v/>
      </c>
      <c r="H23" s="37" t="str">
        <f aca="false">IF($C23="","",IFERROR(INDEX('Check giá'!$G$4:$G$203,MATCH($C23,'Check giá'!$A$4:$A$203,0)),""))</f>
        <v/>
      </c>
      <c r="I23" s="38" t="str">
        <f aca="false">IF($C23="","",IFERROR(INDEX('Check giá'!$Q$4:$Q$203,MATCH($C23,'Check giá'!$A$4:$A$203,0)),""))</f>
        <v/>
      </c>
      <c r="J23" s="34"/>
      <c r="K23" s="34"/>
      <c r="L23" s="38" t="str">
        <f aca="false">IF($A23="","",$J23*$K23)</f>
        <v/>
      </c>
      <c r="M23" s="33"/>
      <c r="N23" s="32"/>
      <c r="O23" s="32"/>
      <c r="P23" s="33"/>
      <c r="Q23" s="32"/>
    </row>
    <row r="24" customFormat="false" ht="15" hidden="false" customHeight="false" outlineLevel="0" collapsed="false">
      <c r="A24" s="32"/>
      <c r="B24" s="33"/>
      <c r="C24" s="32"/>
      <c r="D24" s="37" t="str">
        <f aca="false">IF($C24="","",IFERROR(INDEX('Check giá'!$C$4:$C$203,MATCH($C24,'Check giá'!$A$4:$A$203,0)),""))</f>
        <v/>
      </c>
      <c r="E24" s="37" t="str">
        <f aca="false">IF($C24="","",IFERROR(INDEX('Check giá'!$D$4:$D$203,MATCH($C24,'Check giá'!$A$4:$A$203,0)),""))</f>
        <v/>
      </c>
      <c r="F24" s="37" t="str">
        <f aca="false">IF($C24="","",IFERROR(INDEX('Check giá'!$E$4:$E$203,MATCH($C24,'Check giá'!$A$4:$A$203,0)),""))</f>
        <v/>
      </c>
      <c r="G24" s="37" t="str">
        <f aca="false">IF($C24="","",IFERROR(INDEX('Check giá'!$F$4:$F$203,MATCH($C24,'Check giá'!$A$4:$A$203,0)),""))</f>
        <v/>
      </c>
      <c r="H24" s="37" t="str">
        <f aca="false">IF($C24="","",IFERROR(INDEX('Check giá'!$G$4:$G$203,MATCH($C24,'Check giá'!$A$4:$A$203,0)),""))</f>
        <v/>
      </c>
      <c r="I24" s="38" t="str">
        <f aca="false">IF($C24="","",IFERROR(INDEX('Check giá'!$Q$4:$Q$203,MATCH($C24,'Check giá'!$A$4:$A$203,0)),""))</f>
        <v/>
      </c>
      <c r="J24" s="34"/>
      <c r="K24" s="34"/>
      <c r="L24" s="38" t="str">
        <f aca="false">IF($A24="","",$J24*$K24)</f>
        <v/>
      </c>
      <c r="M24" s="33"/>
      <c r="N24" s="32"/>
      <c r="O24" s="32"/>
      <c r="P24" s="33"/>
      <c r="Q24" s="32"/>
    </row>
    <row r="25" customFormat="false" ht="15" hidden="false" customHeight="false" outlineLevel="0" collapsed="false">
      <c r="A25" s="32"/>
      <c r="B25" s="33"/>
      <c r="C25" s="32"/>
      <c r="D25" s="37" t="str">
        <f aca="false">IF($C25="","",IFERROR(INDEX('Check giá'!$C$4:$C$203,MATCH($C25,'Check giá'!$A$4:$A$203,0)),""))</f>
        <v/>
      </c>
      <c r="E25" s="37" t="str">
        <f aca="false">IF($C25="","",IFERROR(INDEX('Check giá'!$D$4:$D$203,MATCH($C25,'Check giá'!$A$4:$A$203,0)),""))</f>
        <v/>
      </c>
      <c r="F25" s="37" t="str">
        <f aca="false">IF($C25="","",IFERROR(INDEX('Check giá'!$E$4:$E$203,MATCH($C25,'Check giá'!$A$4:$A$203,0)),""))</f>
        <v/>
      </c>
      <c r="G25" s="37" t="str">
        <f aca="false">IF($C25="","",IFERROR(INDEX('Check giá'!$F$4:$F$203,MATCH($C25,'Check giá'!$A$4:$A$203,0)),""))</f>
        <v/>
      </c>
      <c r="H25" s="37" t="str">
        <f aca="false">IF($C25="","",IFERROR(INDEX('Check giá'!$G$4:$G$203,MATCH($C25,'Check giá'!$A$4:$A$203,0)),""))</f>
        <v/>
      </c>
      <c r="I25" s="38" t="str">
        <f aca="false">IF($C25="","",IFERROR(INDEX('Check giá'!$Q$4:$Q$203,MATCH($C25,'Check giá'!$A$4:$A$203,0)),""))</f>
        <v/>
      </c>
      <c r="J25" s="34"/>
      <c r="K25" s="34"/>
      <c r="L25" s="38" t="str">
        <f aca="false">IF($A25="","",$J25*$K25)</f>
        <v/>
      </c>
      <c r="M25" s="33"/>
      <c r="N25" s="32"/>
      <c r="O25" s="32"/>
      <c r="P25" s="33"/>
      <c r="Q25" s="32"/>
    </row>
    <row r="26" customFormat="false" ht="15" hidden="false" customHeight="false" outlineLevel="0" collapsed="false">
      <c r="A26" s="32"/>
      <c r="B26" s="33"/>
      <c r="C26" s="32"/>
      <c r="D26" s="37" t="str">
        <f aca="false">IF($C26="","",IFERROR(INDEX('Check giá'!$C$4:$C$203,MATCH($C26,'Check giá'!$A$4:$A$203,0)),""))</f>
        <v/>
      </c>
      <c r="E26" s="37" t="str">
        <f aca="false">IF($C26="","",IFERROR(INDEX('Check giá'!$D$4:$D$203,MATCH($C26,'Check giá'!$A$4:$A$203,0)),""))</f>
        <v/>
      </c>
      <c r="F26" s="37" t="str">
        <f aca="false">IF($C26="","",IFERROR(INDEX('Check giá'!$E$4:$E$203,MATCH($C26,'Check giá'!$A$4:$A$203,0)),""))</f>
        <v/>
      </c>
      <c r="G26" s="37" t="str">
        <f aca="false">IF($C26="","",IFERROR(INDEX('Check giá'!$F$4:$F$203,MATCH($C26,'Check giá'!$A$4:$A$203,0)),""))</f>
        <v/>
      </c>
      <c r="H26" s="37" t="str">
        <f aca="false">IF($C26="","",IFERROR(INDEX('Check giá'!$G$4:$G$203,MATCH($C26,'Check giá'!$A$4:$A$203,0)),""))</f>
        <v/>
      </c>
      <c r="I26" s="38" t="str">
        <f aca="false">IF($C26="","",IFERROR(INDEX('Check giá'!$Q$4:$Q$203,MATCH($C26,'Check giá'!$A$4:$A$203,0)),""))</f>
        <v/>
      </c>
      <c r="J26" s="34"/>
      <c r="K26" s="34"/>
      <c r="L26" s="38" t="str">
        <f aca="false">IF($A26="","",$J26*$K26)</f>
        <v/>
      </c>
      <c r="M26" s="33"/>
      <c r="N26" s="32"/>
      <c r="O26" s="32"/>
      <c r="P26" s="33"/>
      <c r="Q26" s="32"/>
    </row>
    <row r="27" customFormat="false" ht="15" hidden="false" customHeight="false" outlineLevel="0" collapsed="false">
      <c r="A27" s="32"/>
      <c r="B27" s="33"/>
      <c r="C27" s="32"/>
      <c r="D27" s="37" t="str">
        <f aca="false">IF($C27="","",IFERROR(INDEX('Check giá'!$C$4:$C$203,MATCH($C27,'Check giá'!$A$4:$A$203,0)),""))</f>
        <v/>
      </c>
      <c r="E27" s="37" t="str">
        <f aca="false">IF($C27="","",IFERROR(INDEX('Check giá'!$D$4:$D$203,MATCH($C27,'Check giá'!$A$4:$A$203,0)),""))</f>
        <v/>
      </c>
      <c r="F27" s="37" t="str">
        <f aca="false">IF($C27="","",IFERROR(INDEX('Check giá'!$E$4:$E$203,MATCH($C27,'Check giá'!$A$4:$A$203,0)),""))</f>
        <v/>
      </c>
      <c r="G27" s="37" t="str">
        <f aca="false">IF($C27="","",IFERROR(INDEX('Check giá'!$F$4:$F$203,MATCH($C27,'Check giá'!$A$4:$A$203,0)),""))</f>
        <v/>
      </c>
      <c r="H27" s="37" t="str">
        <f aca="false">IF($C27="","",IFERROR(INDEX('Check giá'!$G$4:$G$203,MATCH($C27,'Check giá'!$A$4:$A$203,0)),""))</f>
        <v/>
      </c>
      <c r="I27" s="38" t="str">
        <f aca="false">IF($C27="","",IFERROR(INDEX('Check giá'!$Q$4:$Q$203,MATCH($C27,'Check giá'!$A$4:$A$203,0)),""))</f>
        <v/>
      </c>
      <c r="J27" s="34"/>
      <c r="K27" s="34"/>
      <c r="L27" s="38" t="str">
        <f aca="false">IF($A27="","",$J27*$K27)</f>
        <v/>
      </c>
      <c r="M27" s="33"/>
      <c r="N27" s="32"/>
      <c r="O27" s="32"/>
      <c r="P27" s="33"/>
      <c r="Q27" s="32"/>
    </row>
    <row r="28" customFormat="false" ht="15" hidden="false" customHeight="false" outlineLevel="0" collapsed="false">
      <c r="A28" s="32"/>
      <c r="B28" s="33"/>
      <c r="C28" s="32"/>
      <c r="D28" s="37" t="str">
        <f aca="false">IF($C28="","",IFERROR(INDEX('Check giá'!$C$4:$C$203,MATCH($C28,'Check giá'!$A$4:$A$203,0)),""))</f>
        <v/>
      </c>
      <c r="E28" s="37" t="str">
        <f aca="false">IF($C28="","",IFERROR(INDEX('Check giá'!$D$4:$D$203,MATCH($C28,'Check giá'!$A$4:$A$203,0)),""))</f>
        <v/>
      </c>
      <c r="F28" s="37" t="str">
        <f aca="false">IF($C28="","",IFERROR(INDEX('Check giá'!$E$4:$E$203,MATCH($C28,'Check giá'!$A$4:$A$203,0)),""))</f>
        <v/>
      </c>
      <c r="G28" s="37" t="str">
        <f aca="false">IF($C28="","",IFERROR(INDEX('Check giá'!$F$4:$F$203,MATCH($C28,'Check giá'!$A$4:$A$203,0)),""))</f>
        <v/>
      </c>
      <c r="H28" s="37" t="str">
        <f aca="false">IF($C28="","",IFERROR(INDEX('Check giá'!$G$4:$G$203,MATCH($C28,'Check giá'!$A$4:$A$203,0)),""))</f>
        <v/>
      </c>
      <c r="I28" s="38" t="str">
        <f aca="false">IF($C28="","",IFERROR(INDEX('Check giá'!$Q$4:$Q$203,MATCH($C28,'Check giá'!$A$4:$A$203,0)),""))</f>
        <v/>
      </c>
      <c r="J28" s="34"/>
      <c r="K28" s="34"/>
      <c r="L28" s="38" t="str">
        <f aca="false">IF($A28="","",$J28*$K28)</f>
        <v/>
      </c>
      <c r="M28" s="33"/>
      <c r="N28" s="32"/>
      <c r="O28" s="32"/>
      <c r="P28" s="33"/>
      <c r="Q28" s="32"/>
    </row>
    <row r="29" customFormat="false" ht="15" hidden="false" customHeight="false" outlineLevel="0" collapsed="false">
      <c r="A29" s="32"/>
      <c r="B29" s="33"/>
      <c r="C29" s="32"/>
      <c r="D29" s="37" t="str">
        <f aca="false">IF($C29="","",IFERROR(INDEX('Check giá'!$C$4:$C$203,MATCH($C29,'Check giá'!$A$4:$A$203,0)),""))</f>
        <v/>
      </c>
      <c r="E29" s="37" t="str">
        <f aca="false">IF($C29="","",IFERROR(INDEX('Check giá'!$D$4:$D$203,MATCH($C29,'Check giá'!$A$4:$A$203,0)),""))</f>
        <v/>
      </c>
      <c r="F29" s="37" t="str">
        <f aca="false">IF($C29="","",IFERROR(INDEX('Check giá'!$E$4:$E$203,MATCH($C29,'Check giá'!$A$4:$A$203,0)),""))</f>
        <v/>
      </c>
      <c r="G29" s="37" t="str">
        <f aca="false">IF($C29="","",IFERROR(INDEX('Check giá'!$F$4:$F$203,MATCH($C29,'Check giá'!$A$4:$A$203,0)),""))</f>
        <v/>
      </c>
      <c r="H29" s="37" t="str">
        <f aca="false">IF($C29="","",IFERROR(INDEX('Check giá'!$G$4:$G$203,MATCH($C29,'Check giá'!$A$4:$A$203,0)),""))</f>
        <v/>
      </c>
      <c r="I29" s="38" t="str">
        <f aca="false">IF($C29="","",IFERROR(INDEX('Check giá'!$Q$4:$Q$203,MATCH($C29,'Check giá'!$A$4:$A$203,0)),""))</f>
        <v/>
      </c>
      <c r="J29" s="34"/>
      <c r="K29" s="34"/>
      <c r="L29" s="38" t="str">
        <f aca="false">IF($A29="","",$J29*$K29)</f>
        <v/>
      </c>
      <c r="M29" s="33"/>
      <c r="N29" s="32"/>
      <c r="O29" s="32"/>
      <c r="P29" s="33"/>
      <c r="Q29" s="32"/>
    </row>
    <row r="30" customFormat="false" ht="15" hidden="false" customHeight="false" outlineLevel="0" collapsed="false">
      <c r="A30" s="32"/>
      <c r="B30" s="33"/>
      <c r="C30" s="32"/>
      <c r="D30" s="37" t="str">
        <f aca="false">IF($C30="","",IFERROR(INDEX('Check giá'!$C$4:$C$203,MATCH($C30,'Check giá'!$A$4:$A$203,0)),""))</f>
        <v/>
      </c>
      <c r="E30" s="37" t="str">
        <f aca="false">IF($C30="","",IFERROR(INDEX('Check giá'!$D$4:$D$203,MATCH($C30,'Check giá'!$A$4:$A$203,0)),""))</f>
        <v/>
      </c>
      <c r="F30" s="37" t="str">
        <f aca="false">IF($C30="","",IFERROR(INDEX('Check giá'!$E$4:$E$203,MATCH($C30,'Check giá'!$A$4:$A$203,0)),""))</f>
        <v/>
      </c>
      <c r="G30" s="37" t="str">
        <f aca="false">IF($C30="","",IFERROR(INDEX('Check giá'!$F$4:$F$203,MATCH($C30,'Check giá'!$A$4:$A$203,0)),""))</f>
        <v/>
      </c>
      <c r="H30" s="37" t="str">
        <f aca="false">IF($C30="","",IFERROR(INDEX('Check giá'!$G$4:$G$203,MATCH($C30,'Check giá'!$A$4:$A$203,0)),""))</f>
        <v/>
      </c>
      <c r="I30" s="38" t="str">
        <f aca="false">IF($C30="","",IFERROR(INDEX('Check giá'!$Q$4:$Q$203,MATCH($C30,'Check giá'!$A$4:$A$203,0)),""))</f>
        <v/>
      </c>
      <c r="J30" s="34"/>
      <c r="K30" s="34"/>
      <c r="L30" s="38" t="str">
        <f aca="false">IF($A30="","",$J30*$K30)</f>
        <v/>
      </c>
      <c r="M30" s="33"/>
      <c r="N30" s="32"/>
      <c r="O30" s="32"/>
      <c r="P30" s="33"/>
      <c r="Q30" s="32"/>
    </row>
    <row r="31" customFormat="false" ht="15" hidden="false" customHeight="false" outlineLevel="0" collapsed="false">
      <c r="A31" s="32"/>
      <c r="B31" s="33"/>
      <c r="C31" s="32"/>
      <c r="D31" s="37" t="str">
        <f aca="false">IF($C31="","",IFERROR(INDEX('Check giá'!$C$4:$C$203,MATCH($C31,'Check giá'!$A$4:$A$203,0)),""))</f>
        <v/>
      </c>
      <c r="E31" s="37" t="str">
        <f aca="false">IF($C31="","",IFERROR(INDEX('Check giá'!$D$4:$D$203,MATCH($C31,'Check giá'!$A$4:$A$203,0)),""))</f>
        <v/>
      </c>
      <c r="F31" s="37" t="str">
        <f aca="false">IF($C31="","",IFERROR(INDEX('Check giá'!$E$4:$E$203,MATCH($C31,'Check giá'!$A$4:$A$203,0)),""))</f>
        <v/>
      </c>
      <c r="G31" s="37" t="str">
        <f aca="false">IF($C31="","",IFERROR(INDEX('Check giá'!$F$4:$F$203,MATCH($C31,'Check giá'!$A$4:$A$203,0)),""))</f>
        <v/>
      </c>
      <c r="H31" s="37" t="str">
        <f aca="false">IF($C31="","",IFERROR(INDEX('Check giá'!$G$4:$G$203,MATCH($C31,'Check giá'!$A$4:$A$203,0)),""))</f>
        <v/>
      </c>
      <c r="I31" s="38" t="str">
        <f aca="false">IF($C31="","",IFERROR(INDEX('Check giá'!$Q$4:$Q$203,MATCH($C31,'Check giá'!$A$4:$A$203,0)),""))</f>
        <v/>
      </c>
      <c r="J31" s="34"/>
      <c r="K31" s="34"/>
      <c r="L31" s="38" t="str">
        <f aca="false">IF($A31="","",$J31*$K31)</f>
        <v/>
      </c>
      <c r="M31" s="33"/>
      <c r="N31" s="32"/>
      <c r="O31" s="32"/>
      <c r="P31" s="33"/>
      <c r="Q31" s="32"/>
    </row>
    <row r="32" customFormat="false" ht="15" hidden="false" customHeight="false" outlineLevel="0" collapsed="false">
      <c r="A32" s="32"/>
      <c r="B32" s="33"/>
      <c r="C32" s="32"/>
      <c r="D32" s="37" t="str">
        <f aca="false">IF($C32="","",IFERROR(INDEX('Check giá'!$C$4:$C$203,MATCH($C32,'Check giá'!$A$4:$A$203,0)),""))</f>
        <v/>
      </c>
      <c r="E32" s="37" t="str">
        <f aca="false">IF($C32="","",IFERROR(INDEX('Check giá'!$D$4:$D$203,MATCH($C32,'Check giá'!$A$4:$A$203,0)),""))</f>
        <v/>
      </c>
      <c r="F32" s="37" t="str">
        <f aca="false">IF($C32="","",IFERROR(INDEX('Check giá'!$E$4:$E$203,MATCH($C32,'Check giá'!$A$4:$A$203,0)),""))</f>
        <v/>
      </c>
      <c r="G32" s="37" t="str">
        <f aca="false">IF($C32="","",IFERROR(INDEX('Check giá'!$F$4:$F$203,MATCH($C32,'Check giá'!$A$4:$A$203,0)),""))</f>
        <v/>
      </c>
      <c r="H32" s="37" t="str">
        <f aca="false">IF($C32="","",IFERROR(INDEX('Check giá'!$G$4:$G$203,MATCH($C32,'Check giá'!$A$4:$A$203,0)),""))</f>
        <v/>
      </c>
      <c r="I32" s="38" t="str">
        <f aca="false">IF($C32="","",IFERROR(INDEX('Check giá'!$Q$4:$Q$203,MATCH($C32,'Check giá'!$A$4:$A$203,0)),""))</f>
        <v/>
      </c>
      <c r="J32" s="34"/>
      <c r="K32" s="34"/>
      <c r="L32" s="38" t="str">
        <f aca="false">IF($A32="","",$J32*$K32)</f>
        <v/>
      </c>
      <c r="M32" s="33"/>
      <c r="N32" s="32"/>
      <c r="O32" s="32"/>
      <c r="P32" s="33"/>
      <c r="Q32" s="32"/>
    </row>
    <row r="33" customFormat="false" ht="15" hidden="false" customHeight="false" outlineLevel="0" collapsed="false">
      <c r="A33" s="32"/>
      <c r="B33" s="33"/>
      <c r="C33" s="32"/>
      <c r="D33" s="37" t="str">
        <f aca="false">IF($C33="","",IFERROR(INDEX('Check giá'!$C$4:$C$203,MATCH($C33,'Check giá'!$A$4:$A$203,0)),""))</f>
        <v/>
      </c>
      <c r="E33" s="37" t="str">
        <f aca="false">IF($C33="","",IFERROR(INDEX('Check giá'!$D$4:$D$203,MATCH($C33,'Check giá'!$A$4:$A$203,0)),""))</f>
        <v/>
      </c>
      <c r="F33" s="37" t="str">
        <f aca="false">IF($C33="","",IFERROR(INDEX('Check giá'!$E$4:$E$203,MATCH($C33,'Check giá'!$A$4:$A$203,0)),""))</f>
        <v/>
      </c>
      <c r="G33" s="37" t="str">
        <f aca="false">IF($C33="","",IFERROR(INDEX('Check giá'!$F$4:$F$203,MATCH($C33,'Check giá'!$A$4:$A$203,0)),""))</f>
        <v/>
      </c>
      <c r="H33" s="37" t="str">
        <f aca="false">IF($C33="","",IFERROR(INDEX('Check giá'!$G$4:$G$203,MATCH($C33,'Check giá'!$A$4:$A$203,0)),""))</f>
        <v/>
      </c>
      <c r="I33" s="38" t="str">
        <f aca="false">IF($C33="","",IFERROR(INDEX('Check giá'!$Q$4:$Q$203,MATCH($C33,'Check giá'!$A$4:$A$203,0)),""))</f>
        <v/>
      </c>
      <c r="J33" s="34"/>
      <c r="K33" s="34"/>
      <c r="L33" s="38" t="str">
        <f aca="false">IF($A33="","",$J33*$K33)</f>
        <v/>
      </c>
      <c r="M33" s="33"/>
      <c r="N33" s="32"/>
      <c r="O33" s="32"/>
      <c r="P33" s="33"/>
      <c r="Q33" s="32"/>
    </row>
    <row r="34" customFormat="false" ht="15" hidden="false" customHeight="false" outlineLevel="0" collapsed="false">
      <c r="A34" s="32"/>
      <c r="B34" s="33"/>
      <c r="C34" s="32"/>
      <c r="D34" s="37" t="str">
        <f aca="false">IF($C34="","",IFERROR(INDEX('Check giá'!$C$4:$C$203,MATCH($C34,'Check giá'!$A$4:$A$203,0)),""))</f>
        <v/>
      </c>
      <c r="E34" s="37" t="str">
        <f aca="false">IF($C34="","",IFERROR(INDEX('Check giá'!$D$4:$D$203,MATCH($C34,'Check giá'!$A$4:$A$203,0)),""))</f>
        <v/>
      </c>
      <c r="F34" s="37" t="str">
        <f aca="false">IF($C34="","",IFERROR(INDEX('Check giá'!$E$4:$E$203,MATCH($C34,'Check giá'!$A$4:$A$203,0)),""))</f>
        <v/>
      </c>
      <c r="G34" s="37" t="str">
        <f aca="false">IF($C34="","",IFERROR(INDEX('Check giá'!$F$4:$F$203,MATCH($C34,'Check giá'!$A$4:$A$203,0)),""))</f>
        <v/>
      </c>
      <c r="H34" s="37" t="str">
        <f aca="false">IF($C34="","",IFERROR(INDEX('Check giá'!$G$4:$G$203,MATCH($C34,'Check giá'!$A$4:$A$203,0)),""))</f>
        <v/>
      </c>
      <c r="I34" s="38" t="str">
        <f aca="false">IF($C34="","",IFERROR(INDEX('Check giá'!$Q$4:$Q$203,MATCH($C34,'Check giá'!$A$4:$A$203,0)),""))</f>
        <v/>
      </c>
      <c r="J34" s="34"/>
      <c r="K34" s="34"/>
      <c r="L34" s="38" t="str">
        <f aca="false">IF($A34="","",$J34*$K34)</f>
        <v/>
      </c>
      <c r="M34" s="33"/>
      <c r="N34" s="32"/>
      <c r="O34" s="32"/>
      <c r="P34" s="33"/>
      <c r="Q34" s="32"/>
    </row>
    <row r="35" customFormat="false" ht="15" hidden="false" customHeight="false" outlineLevel="0" collapsed="false">
      <c r="A35" s="32"/>
      <c r="B35" s="33"/>
      <c r="C35" s="32"/>
      <c r="D35" s="37" t="str">
        <f aca="false">IF($C35="","",IFERROR(INDEX('Check giá'!$C$4:$C$203,MATCH($C35,'Check giá'!$A$4:$A$203,0)),""))</f>
        <v/>
      </c>
      <c r="E35" s="37" t="str">
        <f aca="false">IF($C35="","",IFERROR(INDEX('Check giá'!$D$4:$D$203,MATCH($C35,'Check giá'!$A$4:$A$203,0)),""))</f>
        <v/>
      </c>
      <c r="F35" s="37" t="str">
        <f aca="false">IF($C35="","",IFERROR(INDEX('Check giá'!$E$4:$E$203,MATCH($C35,'Check giá'!$A$4:$A$203,0)),""))</f>
        <v/>
      </c>
      <c r="G35" s="37" t="str">
        <f aca="false">IF($C35="","",IFERROR(INDEX('Check giá'!$F$4:$F$203,MATCH($C35,'Check giá'!$A$4:$A$203,0)),""))</f>
        <v/>
      </c>
      <c r="H35" s="37" t="str">
        <f aca="false">IF($C35="","",IFERROR(INDEX('Check giá'!$G$4:$G$203,MATCH($C35,'Check giá'!$A$4:$A$203,0)),""))</f>
        <v/>
      </c>
      <c r="I35" s="38" t="str">
        <f aca="false">IF($C35="","",IFERROR(INDEX('Check giá'!$Q$4:$Q$203,MATCH($C35,'Check giá'!$A$4:$A$203,0)),""))</f>
        <v/>
      </c>
      <c r="J35" s="34"/>
      <c r="K35" s="34"/>
      <c r="L35" s="38" t="str">
        <f aca="false">IF($A35="","",$J35*$K35)</f>
        <v/>
      </c>
      <c r="M35" s="33"/>
      <c r="N35" s="32"/>
      <c r="O35" s="32"/>
      <c r="P35" s="33"/>
      <c r="Q35" s="32"/>
    </row>
    <row r="36" customFormat="false" ht="15" hidden="false" customHeight="false" outlineLevel="0" collapsed="false">
      <c r="A36" s="32"/>
      <c r="B36" s="33"/>
      <c r="C36" s="32"/>
      <c r="D36" s="37" t="str">
        <f aca="false">IF($C36="","",IFERROR(INDEX('Check giá'!$C$4:$C$203,MATCH($C36,'Check giá'!$A$4:$A$203,0)),""))</f>
        <v/>
      </c>
      <c r="E36" s="37" t="str">
        <f aca="false">IF($C36="","",IFERROR(INDEX('Check giá'!$D$4:$D$203,MATCH($C36,'Check giá'!$A$4:$A$203,0)),""))</f>
        <v/>
      </c>
      <c r="F36" s="37" t="str">
        <f aca="false">IF($C36="","",IFERROR(INDEX('Check giá'!$E$4:$E$203,MATCH($C36,'Check giá'!$A$4:$A$203,0)),""))</f>
        <v/>
      </c>
      <c r="G36" s="37" t="str">
        <f aca="false">IF($C36="","",IFERROR(INDEX('Check giá'!$F$4:$F$203,MATCH($C36,'Check giá'!$A$4:$A$203,0)),""))</f>
        <v/>
      </c>
      <c r="H36" s="37" t="str">
        <f aca="false">IF($C36="","",IFERROR(INDEX('Check giá'!$G$4:$G$203,MATCH($C36,'Check giá'!$A$4:$A$203,0)),""))</f>
        <v/>
      </c>
      <c r="I36" s="38" t="str">
        <f aca="false">IF($C36="","",IFERROR(INDEX('Check giá'!$Q$4:$Q$203,MATCH($C36,'Check giá'!$A$4:$A$203,0)),""))</f>
        <v/>
      </c>
      <c r="J36" s="34"/>
      <c r="K36" s="34"/>
      <c r="L36" s="38" t="str">
        <f aca="false">IF($A36="","",$J36*$K36)</f>
        <v/>
      </c>
      <c r="M36" s="33"/>
      <c r="N36" s="32"/>
      <c r="O36" s="32"/>
      <c r="P36" s="33"/>
      <c r="Q36" s="32"/>
    </row>
    <row r="37" customFormat="false" ht="15" hidden="false" customHeight="false" outlineLevel="0" collapsed="false">
      <c r="A37" s="32"/>
      <c r="B37" s="33"/>
      <c r="C37" s="32"/>
      <c r="D37" s="37" t="str">
        <f aca="false">IF($C37="","",IFERROR(INDEX('Check giá'!$C$4:$C$203,MATCH($C37,'Check giá'!$A$4:$A$203,0)),""))</f>
        <v/>
      </c>
      <c r="E37" s="37" t="str">
        <f aca="false">IF($C37="","",IFERROR(INDEX('Check giá'!$D$4:$D$203,MATCH($C37,'Check giá'!$A$4:$A$203,0)),""))</f>
        <v/>
      </c>
      <c r="F37" s="37" t="str">
        <f aca="false">IF($C37="","",IFERROR(INDEX('Check giá'!$E$4:$E$203,MATCH($C37,'Check giá'!$A$4:$A$203,0)),""))</f>
        <v/>
      </c>
      <c r="G37" s="37" t="str">
        <f aca="false">IF($C37="","",IFERROR(INDEX('Check giá'!$F$4:$F$203,MATCH($C37,'Check giá'!$A$4:$A$203,0)),""))</f>
        <v/>
      </c>
      <c r="H37" s="37" t="str">
        <f aca="false">IF($C37="","",IFERROR(INDEX('Check giá'!$G$4:$G$203,MATCH($C37,'Check giá'!$A$4:$A$203,0)),""))</f>
        <v/>
      </c>
      <c r="I37" s="38" t="str">
        <f aca="false">IF($C37="","",IFERROR(INDEX('Check giá'!$Q$4:$Q$203,MATCH($C37,'Check giá'!$A$4:$A$203,0)),""))</f>
        <v/>
      </c>
      <c r="J37" s="34"/>
      <c r="K37" s="34"/>
      <c r="L37" s="38" t="str">
        <f aca="false">IF($A37="","",$J37*$K37)</f>
        <v/>
      </c>
      <c r="M37" s="33"/>
      <c r="N37" s="32"/>
      <c r="O37" s="32"/>
      <c r="P37" s="33"/>
      <c r="Q37" s="32"/>
    </row>
    <row r="38" customFormat="false" ht="15" hidden="false" customHeight="false" outlineLevel="0" collapsed="false">
      <c r="A38" s="32"/>
      <c r="B38" s="33"/>
      <c r="C38" s="32"/>
      <c r="D38" s="37" t="str">
        <f aca="false">IF($C38="","",IFERROR(INDEX('Check giá'!$C$4:$C$203,MATCH($C38,'Check giá'!$A$4:$A$203,0)),""))</f>
        <v/>
      </c>
      <c r="E38" s="37" t="str">
        <f aca="false">IF($C38="","",IFERROR(INDEX('Check giá'!$D$4:$D$203,MATCH($C38,'Check giá'!$A$4:$A$203,0)),""))</f>
        <v/>
      </c>
      <c r="F38" s="37" t="str">
        <f aca="false">IF($C38="","",IFERROR(INDEX('Check giá'!$E$4:$E$203,MATCH($C38,'Check giá'!$A$4:$A$203,0)),""))</f>
        <v/>
      </c>
      <c r="G38" s="37" t="str">
        <f aca="false">IF($C38="","",IFERROR(INDEX('Check giá'!$F$4:$F$203,MATCH($C38,'Check giá'!$A$4:$A$203,0)),""))</f>
        <v/>
      </c>
      <c r="H38" s="37" t="str">
        <f aca="false">IF($C38="","",IFERROR(INDEX('Check giá'!$G$4:$G$203,MATCH($C38,'Check giá'!$A$4:$A$203,0)),""))</f>
        <v/>
      </c>
      <c r="I38" s="38" t="str">
        <f aca="false">IF($C38="","",IFERROR(INDEX('Check giá'!$Q$4:$Q$203,MATCH($C38,'Check giá'!$A$4:$A$203,0)),""))</f>
        <v/>
      </c>
      <c r="J38" s="34"/>
      <c r="K38" s="34"/>
      <c r="L38" s="38" t="str">
        <f aca="false">IF($A38="","",$J38*$K38)</f>
        <v/>
      </c>
      <c r="M38" s="33"/>
      <c r="N38" s="32"/>
      <c r="O38" s="32"/>
      <c r="P38" s="33"/>
      <c r="Q38" s="32"/>
    </row>
    <row r="39" customFormat="false" ht="15" hidden="false" customHeight="false" outlineLevel="0" collapsed="false">
      <c r="A39" s="32"/>
      <c r="B39" s="33"/>
      <c r="C39" s="32"/>
      <c r="D39" s="37" t="str">
        <f aca="false">IF($C39="","",IFERROR(INDEX('Check giá'!$C$4:$C$203,MATCH($C39,'Check giá'!$A$4:$A$203,0)),""))</f>
        <v/>
      </c>
      <c r="E39" s="37" t="str">
        <f aca="false">IF($C39="","",IFERROR(INDEX('Check giá'!$D$4:$D$203,MATCH($C39,'Check giá'!$A$4:$A$203,0)),""))</f>
        <v/>
      </c>
      <c r="F39" s="37" t="str">
        <f aca="false">IF($C39="","",IFERROR(INDEX('Check giá'!$E$4:$E$203,MATCH($C39,'Check giá'!$A$4:$A$203,0)),""))</f>
        <v/>
      </c>
      <c r="G39" s="37" t="str">
        <f aca="false">IF($C39="","",IFERROR(INDEX('Check giá'!$F$4:$F$203,MATCH($C39,'Check giá'!$A$4:$A$203,0)),""))</f>
        <v/>
      </c>
      <c r="H39" s="37" t="str">
        <f aca="false">IF($C39="","",IFERROR(INDEX('Check giá'!$G$4:$G$203,MATCH($C39,'Check giá'!$A$4:$A$203,0)),""))</f>
        <v/>
      </c>
      <c r="I39" s="38" t="str">
        <f aca="false">IF($C39="","",IFERROR(INDEX('Check giá'!$Q$4:$Q$203,MATCH($C39,'Check giá'!$A$4:$A$203,0)),""))</f>
        <v/>
      </c>
      <c r="J39" s="34"/>
      <c r="K39" s="34"/>
      <c r="L39" s="38" t="str">
        <f aca="false">IF($A39="","",$J39*$K39)</f>
        <v/>
      </c>
      <c r="M39" s="33"/>
      <c r="N39" s="32"/>
      <c r="O39" s="32"/>
      <c r="P39" s="33"/>
      <c r="Q39" s="32"/>
    </row>
    <row r="40" customFormat="false" ht="15" hidden="false" customHeight="false" outlineLevel="0" collapsed="false">
      <c r="A40" s="32"/>
      <c r="B40" s="33"/>
      <c r="C40" s="32"/>
      <c r="D40" s="37" t="str">
        <f aca="false">IF($C40="","",IFERROR(INDEX('Check giá'!$C$4:$C$203,MATCH($C40,'Check giá'!$A$4:$A$203,0)),""))</f>
        <v/>
      </c>
      <c r="E40" s="37" t="str">
        <f aca="false">IF($C40="","",IFERROR(INDEX('Check giá'!$D$4:$D$203,MATCH($C40,'Check giá'!$A$4:$A$203,0)),""))</f>
        <v/>
      </c>
      <c r="F40" s="37" t="str">
        <f aca="false">IF($C40="","",IFERROR(INDEX('Check giá'!$E$4:$E$203,MATCH($C40,'Check giá'!$A$4:$A$203,0)),""))</f>
        <v/>
      </c>
      <c r="G40" s="37" t="str">
        <f aca="false">IF($C40="","",IFERROR(INDEX('Check giá'!$F$4:$F$203,MATCH($C40,'Check giá'!$A$4:$A$203,0)),""))</f>
        <v/>
      </c>
      <c r="H40" s="37" t="str">
        <f aca="false">IF($C40="","",IFERROR(INDEX('Check giá'!$G$4:$G$203,MATCH($C40,'Check giá'!$A$4:$A$203,0)),""))</f>
        <v/>
      </c>
      <c r="I40" s="38" t="str">
        <f aca="false">IF($C40="","",IFERROR(INDEX('Check giá'!$Q$4:$Q$203,MATCH($C40,'Check giá'!$A$4:$A$203,0)),""))</f>
        <v/>
      </c>
      <c r="J40" s="34"/>
      <c r="K40" s="34"/>
      <c r="L40" s="38" t="str">
        <f aca="false">IF($A40="","",$J40*$K40)</f>
        <v/>
      </c>
      <c r="M40" s="33"/>
      <c r="N40" s="32"/>
      <c r="O40" s="32"/>
      <c r="P40" s="33"/>
      <c r="Q40" s="32"/>
    </row>
    <row r="41" customFormat="false" ht="15" hidden="false" customHeight="false" outlineLevel="0" collapsed="false">
      <c r="A41" s="32"/>
      <c r="B41" s="33"/>
      <c r="C41" s="32"/>
      <c r="D41" s="37" t="str">
        <f aca="false">IF($C41="","",IFERROR(INDEX('Check giá'!$C$4:$C$203,MATCH($C41,'Check giá'!$A$4:$A$203,0)),""))</f>
        <v/>
      </c>
      <c r="E41" s="37" t="str">
        <f aca="false">IF($C41="","",IFERROR(INDEX('Check giá'!$D$4:$D$203,MATCH($C41,'Check giá'!$A$4:$A$203,0)),""))</f>
        <v/>
      </c>
      <c r="F41" s="37" t="str">
        <f aca="false">IF($C41="","",IFERROR(INDEX('Check giá'!$E$4:$E$203,MATCH($C41,'Check giá'!$A$4:$A$203,0)),""))</f>
        <v/>
      </c>
      <c r="G41" s="37" t="str">
        <f aca="false">IF($C41="","",IFERROR(INDEX('Check giá'!$F$4:$F$203,MATCH($C41,'Check giá'!$A$4:$A$203,0)),""))</f>
        <v/>
      </c>
      <c r="H41" s="37" t="str">
        <f aca="false">IF($C41="","",IFERROR(INDEX('Check giá'!$G$4:$G$203,MATCH($C41,'Check giá'!$A$4:$A$203,0)),""))</f>
        <v/>
      </c>
      <c r="I41" s="38" t="str">
        <f aca="false">IF($C41="","",IFERROR(INDEX('Check giá'!$Q$4:$Q$203,MATCH($C41,'Check giá'!$A$4:$A$203,0)),""))</f>
        <v/>
      </c>
      <c r="J41" s="34"/>
      <c r="K41" s="34"/>
      <c r="L41" s="38" t="str">
        <f aca="false">IF($A41="","",$J41*$K41)</f>
        <v/>
      </c>
      <c r="M41" s="33"/>
      <c r="N41" s="32"/>
      <c r="O41" s="32"/>
      <c r="P41" s="33"/>
      <c r="Q41" s="32"/>
    </row>
    <row r="42" customFormat="false" ht="15" hidden="false" customHeight="false" outlineLevel="0" collapsed="false">
      <c r="A42" s="32"/>
      <c r="B42" s="33"/>
      <c r="C42" s="32"/>
      <c r="D42" s="37" t="str">
        <f aca="false">IF($C42="","",IFERROR(INDEX('Check giá'!$C$4:$C$203,MATCH($C42,'Check giá'!$A$4:$A$203,0)),""))</f>
        <v/>
      </c>
      <c r="E42" s="37" t="str">
        <f aca="false">IF($C42="","",IFERROR(INDEX('Check giá'!$D$4:$D$203,MATCH($C42,'Check giá'!$A$4:$A$203,0)),""))</f>
        <v/>
      </c>
      <c r="F42" s="37" t="str">
        <f aca="false">IF($C42="","",IFERROR(INDEX('Check giá'!$E$4:$E$203,MATCH($C42,'Check giá'!$A$4:$A$203,0)),""))</f>
        <v/>
      </c>
      <c r="G42" s="37" t="str">
        <f aca="false">IF($C42="","",IFERROR(INDEX('Check giá'!$F$4:$F$203,MATCH($C42,'Check giá'!$A$4:$A$203,0)),""))</f>
        <v/>
      </c>
      <c r="H42" s="37" t="str">
        <f aca="false">IF($C42="","",IFERROR(INDEX('Check giá'!$G$4:$G$203,MATCH($C42,'Check giá'!$A$4:$A$203,0)),""))</f>
        <v/>
      </c>
      <c r="I42" s="38" t="str">
        <f aca="false">IF($C42="","",IFERROR(INDEX('Check giá'!$Q$4:$Q$203,MATCH($C42,'Check giá'!$A$4:$A$203,0)),""))</f>
        <v/>
      </c>
      <c r="J42" s="34"/>
      <c r="K42" s="34"/>
      <c r="L42" s="38" t="str">
        <f aca="false">IF($A42="","",$J42*$K42)</f>
        <v/>
      </c>
      <c r="M42" s="33"/>
      <c r="N42" s="32"/>
      <c r="O42" s="32"/>
      <c r="P42" s="33"/>
      <c r="Q42" s="32"/>
    </row>
    <row r="43" customFormat="false" ht="15" hidden="false" customHeight="false" outlineLevel="0" collapsed="false">
      <c r="A43" s="32"/>
      <c r="B43" s="33"/>
      <c r="C43" s="32"/>
      <c r="D43" s="37" t="str">
        <f aca="false">IF($C43="","",IFERROR(INDEX('Check giá'!$C$4:$C$203,MATCH($C43,'Check giá'!$A$4:$A$203,0)),""))</f>
        <v/>
      </c>
      <c r="E43" s="37" t="str">
        <f aca="false">IF($C43="","",IFERROR(INDEX('Check giá'!$D$4:$D$203,MATCH($C43,'Check giá'!$A$4:$A$203,0)),""))</f>
        <v/>
      </c>
      <c r="F43" s="37" t="str">
        <f aca="false">IF($C43="","",IFERROR(INDEX('Check giá'!$E$4:$E$203,MATCH($C43,'Check giá'!$A$4:$A$203,0)),""))</f>
        <v/>
      </c>
      <c r="G43" s="37" t="str">
        <f aca="false">IF($C43="","",IFERROR(INDEX('Check giá'!$F$4:$F$203,MATCH($C43,'Check giá'!$A$4:$A$203,0)),""))</f>
        <v/>
      </c>
      <c r="H43" s="37" t="str">
        <f aca="false">IF($C43="","",IFERROR(INDEX('Check giá'!$G$4:$G$203,MATCH($C43,'Check giá'!$A$4:$A$203,0)),""))</f>
        <v/>
      </c>
      <c r="I43" s="38" t="str">
        <f aca="false">IF($C43="","",IFERROR(INDEX('Check giá'!$Q$4:$Q$203,MATCH($C43,'Check giá'!$A$4:$A$203,0)),""))</f>
        <v/>
      </c>
      <c r="J43" s="34"/>
      <c r="K43" s="34"/>
      <c r="L43" s="38" t="str">
        <f aca="false">IF($A43="","",$J43*$K43)</f>
        <v/>
      </c>
      <c r="M43" s="33"/>
      <c r="N43" s="32"/>
      <c r="O43" s="32"/>
      <c r="P43" s="33"/>
      <c r="Q43" s="32"/>
    </row>
    <row r="44" customFormat="false" ht="15" hidden="false" customHeight="false" outlineLevel="0" collapsed="false">
      <c r="A44" s="32"/>
      <c r="B44" s="33"/>
      <c r="C44" s="32"/>
      <c r="D44" s="37" t="str">
        <f aca="false">IF($C44="","",IFERROR(INDEX('Check giá'!$C$4:$C$203,MATCH($C44,'Check giá'!$A$4:$A$203,0)),""))</f>
        <v/>
      </c>
      <c r="E44" s="37" t="str">
        <f aca="false">IF($C44="","",IFERROR(INDEX('Check giá'!$D$4:$D$203,MATCH($C44,'Check giá'!$A$4:$A$203,0)),""))</f>
        <v/>
      </c>
      <c r="F44" s="37" t="str">
        <f aca="false">IF($C44="","",IFERROR(INDEX('Check giá'!$E$4:$E$203,MATCH($C44,'Check giá'!$A$4:$A$203,0)),""))</f>
        <v/>
      </c>
      <c r="G44" s="37" t="str">
        <f aca="false">IF($C44="","",IFERROR(INDEX('Check giá'!$F$4:$F$203,MATCH($C44,'Check giá'!$A$4:$A$203,0)),""))</f>
        <v/>
      </c>
      <c r="H44" s="37" t="str">
        <f aca="false">IF($C44="","",IFERROR(INDEX('Check giá'!$G$4:$G$203,MATCH($C44,'Check giá'!$A$4:$A$203,0)),""))</f>
        <v/>
      </c>
      <c r="I44" s="38" t="str">
        <f aca="false">IF($C44="","",IFERROR(INDEX('Check giá'!$Q$4:$Q$203,MATCH($C44,'Check giá'!$A$4:$A$203,0)),""))</f>
        <v/>
      </c>
      <c r="J44" s="34"/>
      <c r="K44" s="34"/>
      <c r="L44" s="38" t="str">
        <f aca="false">IF($A44="","",$J44*$K44)</f>
        <v/>
      </c>
      <c r="M44" s="33"/>
      <c r="N44" s="32"/>
      <c r="O44" s="32"/>
      <c r="P44" s="33"/>
      <c r="Q44" s="32"/>
    </row>
    <row r="45" customFormat="false" ht="15" hidden="false" customHeight="false" outlineLevel="0" collapsed="false">
      <c r="A45" s="32"/>
      <c r="B45" s="33"/>
      <c r="C45" s="32"/>
      <c r="D45" s="37" t="str">
        <f aca="false">IF($C45="","",IFERROR(INDEX('Check giá'!$C$4:$C$203,MATCH($C45,'Check giá'!$A$4:$A$203,0)),""))</f>
        <v/>
      </c>
      <c r="E45" s="37" t="str">
        <f aca="false">IF($C45="","",IFERROR(INDEX('Check giá'!$D$4:$D$203,MATCH($C45,'Check giá'!$A$4:$A$203,0)),""))</f>
        <v/>
      </c>
      <c r="F45" s="37" t="str">
        <f aca="false">IF($C45="","",IFERROR(INDEX('Check giá'!$E$4:$E$203,MATCH($C45,'Check giá'!$A$4:$A$203,0)),""))</f>
        <v/>
      </c>
      <c r="G45" s="37" t="str">
        <f aca="false">IF($C45="","",IFERROR(INDEX('Check giá'!$F$4:$F$203,MATCH($C45,'Check giá'!$A$4:$A$203,0)),""))</f>
        <v/>
      </c>
      <c r="H45" s="37" t="str">
        <f aca="false">IF($C45="","",IFERROR(INDEX('Check giá'!$G$4:$G$203,MATCH($C45,'Check giá'!$A$4:$A$203,0)),""))</f>
        <v/>
      </c>
      <c r="I45" s="38" t="str">
        <f aca="false">IF($C45="","",IFERROR(INDEX('Check giá'!$Q$4:$Q$203,MATCH($C45,'Check giá'!$A$4:$A$203,0)),""))</f>
        <v/>
      </c>
      <c r="J45" s="34"/>
      <c r="K45" s="34"/>
      <c r="L45" s="38" t="str">
        <f aca="false">IF($A45="","",$J45*$K45)</f>
        <v/>
      </c>
      <c r="M45" s="33"/>
      <c r="N45" s="32"/>
      <c r="O45" s="32"/>
      <c r="P45" s="33"/>
      <c r="Q45" s="32"/>
    </row>
    <row r="46" customFormat="false" ht="15" hidden="false" customHeight="false" outlineLevel="0" collapsed="false">
      <c r="A46" s="32"/>
      <c r="B46" s="33"/>
      <c r="C46" s="32"/>
      <c r="D46" s="37" t="str">
        <f aca="false">IF($C46="","",IFERROR(INDEX('Check giá'!$C$4:$C$203,MATCH($C46,'Check giá'!$A$4:$A$203,0)),""))</f>
        <v/>
      </c>
      <c r="E46" s="37" t="str">
        <f aca="false">IF($C46="","",IFERROR(INDEX('Check giá'!$D$4:$D$203,MATCH($C46,'Check giá'!$A$4:$A$203,0)),""))</f>
        <v/>
      </c>
      <c r="F46" s="37" t="str">
        <f aca="false">IF($C46="","",IFERROR(INDEX('Check giá'!$E$4:$E$203,MATCH($C46,'Check giá'!$A$4:$A$203,0)),""))</f>
        <v/>
      </c>
      <c r="G46" s="37" t="str">
        <f aca="false">IF($C46="","",IFERROR(INDEX('Check giá'!$F$4:$F$203,MATCH($C46,'Check giá'!$A$4:$A$203,0)),""))</f>
        <v/>
      </c>
      <c r="H46" s="37" t="str">
        <f aca="false">IF($C46="","",IFERROR(INDEX('Check giá'!$G$4:$G$203,MATCH($C46,'Check giá'!$A$4:$A$203,0)),""))</f>
        <v/>
      </c>
      <c r="I46" s="38" t="str">
        <f aca="false">IF($C46="","",IFERROR(INDEX('Check giá'!$Q$4:$Q$203,MATCH($C46,'Check giá'!$A$4:$A$203,0)),""))</f>
        <v/>
      </c>
      <c r="J46" s="34"/>
      <c r="K46" s="34"/>
      <c r="L46" s="38" t="str">
        <f aca="false">IF($A46="","",$J46*$K46)</f>
        <v/>
      </c>
      <c r="M46" s="33"/>
      <c r="N46" s="32"/>
      <c r="O46" s="32"/>
      <c r="P46" s="33"/>
      <c r="Q46" s="32"/>
    </row>
    <row r="47" customFormat="false" ht="15" hidden="false" customHeight="false" outlineLevel="0" collapsed="false">
      <c r="A47" s="32"/>
      <c r="B47" s="33"/>
      <c r="C47" s="32"/>
      <c r="D47" s="37" t="str">
        <f aca="false">IF($C47="","",IFERROR(INDEX('Check giá'!$C$4:$C$203,MATCH($C47,'Check giá'!$A$4:$A$203,0)),""))</f>
        <v/>
      </c>
      <c r="E47" s="37" t="str">
        <f aca="false">IF($C47="","",IFERROR(INDEX('Check giá'!$D$4:$D$203,MATCH($C47,'Check giá'!$A$4:$A$203,0)),""))</f>
        <v/>
      </c>
      <c r="F47" s="37" t="str">
        <f aca="false">IF($C47="","",IFERROR(INDEX('Check giá'!$E$4:$E$203,MATCH($C47,'Check giá'!$A$4:$A$203,0)),""))</f>
        <v/>
      </c>
      <c r="G47" s="37" t="str">
        <f aca="false">IF($C47="","",IFERROR(INDEX('Check giá'!$F$4:$F$203,MATCH($C47,'Check giá'!$A$4:$A$203,0)),""))</f>
        <v/>
      </c>
      <c r="H47" s="37" t="str">
        <f aca="false">IF($C47="","",IFERROR(INDEX('Check giá'!$G$4:$G$203,MATCH($C47,'Check giá'!$A$4:$A$203,0)),""))</f>
        <v/>
      </c>
      <c r="I47" s="38" t="str">
        <f aca="false">IF($C47="","",IFERROR(INDEX('Check giá'!$Q$4:$Q$203,MATCH($C47,'Check giá'!$A$4:$A$203,0)),""))</f>
        <v/>
      </c>
      <c r="J47" s="34"/>
      <c r="K47" s="34"/>
      <c r="L47" s="38" t="str">
        <f aca="false">IF($A47="","",$J47*$K47)</f>
        <v/>
      </c>
      <c r="M47" s="33"/>
      <c r="N47" s="32"/>
      <c r="O47" s="32"/>
      <c r="P47" s="33"/>
      <c r="Q47" s="32"/>
    </row>
    <row r="48" customFormat="false" ht="15" hidden="false" customHeight="false" outlineLevel="0" collapsed="false">
      <c r="A48" s="32"/>
      <c r="B48" s="33"/>
      <c r="C48" s="32"/>
      <c r="D48" s="37" t="str">
        <f aca="false">IF($C48="","",IFERROR(INDEX('Check giá'!$C$4:$C$203,MATCH($C48,'Check giá'!$A$4:$A$203,0)),""))</f>
        <v/>
      </c>
      <c r="E48" s="37" t="str">
        <f aca="false">IF($C48="","",IFERROR(INDEX('Check giá'!$D$4:$D$203,MATCH($C48,'Check giá'!$A$4:$A$203,0)),""))</f>
        <v/>
      </c>
      <c r="F48" s="37" t="str">
        <f aca="false">IF($C48="","",IFERROR(INDEX('Check giá'!$E$4:$E$203,MATCH($C48,'Check giá'!$A$4:$A$203,0)),""))</f>
        <v/>
      </c>
      <c r="G48" s="37" t="str">
        <f aca="false">IF($C48="","",IFERROR(INDEX('Check giá'!$F$4:$F$203,MATCH($C48,'Check giá'!$A$4:$A$203,0)),""))</f>
        <v/>
      </c>
      <c r="H48" s="37" t="str">
        <f aca="false">IF($C48="","",IFERROR(INDEX('Check giá'!$G$4:$G$203,MATCH($C48,'Check giá'!$A$4:$A$203,0)),""))</f>
        <v/>
      </c>
      <c r="I48" s="38" t="str">
        <f aca="false">IF($C48="","",IFERROR(INDEX('Check giá'!$Q$4:$Q$203,MATCH($C48,'Check giá'!$A$4:$A$203,0)),""))</f>
        <v/>
      </c>
      <c r="J48" s="34"/>
      <c r="K48" s="34"/>
      <c r="L48" s="38" t="str">
        <f aca="false">IF($A48="","",$J48*$K48)</f>
        <v/>
      </c>
      <c r="M48" s="33"/>
      <c r="N48" s="32"/>
      <c r="O48" s="32"/>
      <c r="P48" s="33"/>
      <c r="Q48" s="32"/>
    </row>
    <row r="49" customFormat="false" ht="15" hidden="false" customHeight="false" outlineLevel="0" collapsed="false">
      <c r="A49" s="32"/>
      <c r="B49" s="33"/>
      <c r="C49" s="32"/>
      <c r="D49" s="37" t="str">
        <f aca="false">IF($C49="","",IFERROR(INDEX('Check giá'!$C$4:$C$203,MATCH($C49,'Check giá'!$A$4:$A$203,0)),""))</f>
        <v/>
      </c>
      <c r="E49" s="37" t="str">
        <f aca="false">IF($C49="","",IFERROR(INDEX('Check giá'!$D$4:$D$203,MATCH($C49,'Check giá'!$A$4:$A$203,0)),""))</f>
        <v/>
      </c>
      <c r="F49" s="37" t="str">
        <f aca="false">IF($C49="","",IFERROR(INDEX('Check giá'!$E$4:$E$203,MATCH($C49,'Check giá'!$A$4:$A$203,0)),""))</f>
        <v/>
      </c>
      <c r="G49" s="37" t="str">
        <f aca="false">IF($C49="","",IFERROR(INDEX('Check giá'!$F$4:$F$203,MATCH($C49,'Check giá'!$A$4:$A$203,0)),""))</f>
        <v/>
      </c>
      <c r="H49" s="37" t="str">
        <f aca="false">IF($C49="","",IFERROR(INDEX('Check giá'!$G$4:$G$203,MATCH($C49,'Check giá'!$A$4:$A$203,0)),""))</f>
        <v/>
      </c>
      <c r="I49" s="38" t="str">
        <f aca="false">IF($C49="","",IFERROR(INDEX('Check giá'!$Q$4:$Q$203,MATCH($C49,'Check giá'!$A$4:$A$203,0)),""))</f>
        <v/>
      </c>
      <c r="J49" s="34"/>
      <c r="K49" s="34"/>
      <c r="L49" s="38" t="str">
        <f aca="false">IF($A49="","",$J49*$K49)</f>
        <v/>
      </c>
      <c r="M49" s="33"/>
      <c r="N49" s="32"/>
      <c r="O49" s="32"/>
      <c r="P49" s="33"/>
      <c r="Q49" s="32"/>
    </row>
    <row r="50" customFormat="false" ht="15" hidden="false" customHeight="false" outlineLevel="0" collapsed="false">
      <c r="A50" s="32"/>
      <c r="B50" s="33"/>
      <c r="C50" s="32"/>
      <c r="D50" s="37" t="str">
        <f aca="false">IF($C50="","",IFERROR(INDEX('Check giá'!$C$4:$C$203,MATCH($C50,'Check giá'!$A$4:$A$203,0)),""))</f>
        <v/>
      </c>
      <c r="E50" s="37" t="str">
        <f aca="false">IF($C50="","",IFERROR(INDEX('Check giá'!$D$4:$D$203,MATCH($C50,'Check giá'!$A$4:$A$203,0)),""))</f>
        <v/>
      </c>
      <c r="F50" s="37" t="str">
        <f aca="false">IF($C50="","",IFERROR(INDEX('Check giá'!$E$4:$E$203,MATCH($C50,'Check giá'!$A$4:$A$203,0)),""))</f>
        <v/>
      </c>
      <c r="G50" s="37" t="str">
        <f aca="false">IF($C50="","",IFERROR(INDEX('Check giá'!$F$4:$F$203,MATCH($C50,'Check giá'!$A$4:$A$203,0)),""))</f>
        <v/>
      </c>
      <c r="H50" s="37" t="str">
        <f aca="false">IF($C50="","",IFERROR(INDEX('Check giá'!$G$4:$G$203,MATCH($C50,'Check giá'!$A$4:$A$203,0)),""))</f>
        <v/>
      </c>
      <c r="I50" s="38" t="str">
        <f aca="false">IF($C50="","",IFERROR(INDEX('Check giá'!$Q$4:$Q$203,MATCH($C50,'Check giá'!$A$4:$A$203,0)),""))</f>
        <v/>
      </c>
      <c r="J50" s="34"/>
      <c r="K50" s="34"/>
      <c r="L50" s="38" t="str">
        <f aca="false">IF($A50="","",$J50*$K50)</f>
        <v/>
      </c>
      <c r="M50" s="33"/>
      <c r="N50" s="32"/>
      <c r="O50" s="32"/>
      <c r="P50" s="33"/>
      <c r="Q50" s="32"/>
    </row>
    <row r="51" customFormat="false" ht="15" hidden="false" customHeight="false" outlineLevel="0" collapsed="false">
      <c r="A51" s="32"/>
      <c r="B51" s="33"/>
      <c r="C51" s="32"/>
      <c r="D51" s="37" t="str">
        <f aca="false">IF($C51="","",IFERROR(INDEX('Check giá'!$C$4:$C$203,MATCH($C51,'Check giá'!$A$4:$A$203,0)),""))</f>
        <v/>
      </c>
      <c r="E51" s="37" t="str">
        <f aca="false">IF($C51="","",IFERROR(INDEX('Check giá'!$D$4:$D$203,MATCH($C51,'Check giá'!$A$4:$A$203,0)),""))</f>
        <v/>
      </c>
      <c r="F51" s="37" t="str">
        <f aca="false">IF($C51="","",IFERROR(INDEX('Check giá'!$E$4:$E$203,MATCH($C51,'Check giá'!$A$4:$A$203,0)),""))</f>
        <v/>
      </c>
      <c r="G51" s="37" t="str">
        <f aca="false">IF($C51="","",IFERROR(INDEX('Check giá'!$F$4:$F$203,MATCH($C51,'Check giá'!$A$4:$A$203,0)),""))</f>
        <v/>
      </c>
      <c r="H51" s="37" t="str">
        <f aca="false">IF($C51="","",IFERROR(INDEX('Check giá'!$G$4:$G$203,MATCH($C51,'Check giá'!$A$4:$A$203,0)),""))</f>
        <v/>
      </c>
      <c r="I51" s="38" t="str">
        <f aca="false">IF($C51="","",IFERROR(INDEX('Check giá'!$Q$4:$Q$203,MATCH($C51,'Check giá'!$A$4:$A$203,0)),""))</f>
        <v/>
      </c>
      <c r="J51" s="34"/>
      <c r="K51" s="34"/>
      <c r="L51" s="38" t="str">
        <f aca="false">IF($A51="","",$J51*$K51)</f>
        <v/>
      </c>
      <c r="M51" s="33"/>
      <c r="N51" s="32"/>
      <c r="O51" s="32"/>
      <c r="P51" s="33"/>
      <c r="Q51" s="32"/>
    </row>
    <row r="52" customFormat="false" ht="15" hidden="false" customHeight="false" outlineLevel="0" collapsed="false">
      <c r="A52" s="32"/>
      <c r="B52" s="33"/>
      <c r="C52" s="32"/>
      <c r="D52" s="37" t="str">
        <f aca="false">IF($C52="","",IFERROR(INDEX('Check giá'!$C$4:$C$203,MATCH($C52,'Check giá'!$A$4:$A$203,0)),""))</f>
        <v/>
      </c>
      <c r="E52" s="37" t="str">
        <f aca="false">IF($C52="","",IFERROR(INDEX('Check giá'!$D$4:$D$203,MATCH($C52,'Check giá'!$A$4:$A$203,0)),""))</f>
        <v/>
      </c>
      <c r="F52" s="37" t="str">
        <f aca="false">IF($C52="","",IFERROR(INDEX('Check giá'!$E$4:$E$203,MATCH($C52,'Check giá'!$A$4:$A$203,0)),""))</f>
        <v/>
      </c>
      <c r="G52" s="37" t="str">
        <f aca="false">IF($C52="","",IFERROR(INDEX('Check giá'!$F$4:$F$203,MATCH($C52,'Check giá'!$A$4:$A$203,0)),""))</f>
        <v/>
      </c>
      <c r="H52" s="37" t="str">
        <f aca="false">IF($C52="","",IFERROR(INDEX('Check giá'!$G$4:$G$203,MATCH($C52,'Check giá'!$A$4:$A$203,0)),""))</f>
        <v/>
      </c>
      <c r="I52" s="38" t="str">
        <f aca="false">IF($C52="","",IFERROR(INDEX('Check giá'!$Q$4:$Q$203,MATCH($C52,'Check giá'!$A$4:$A$203,0)),""))</f>
        <v/>
      </c>
      <c r="J52" s="34"/>
      <c r="K52" s="34"/>
      <c r="L52" s="38" t="str">
        <f aca="false">IF($A52="","",$J52*$K52)</f>
        <v/>
      </c>
      <c r="M52" s="33"/>
      <c r="N52" s="32"/>
      <c r="O52" s="32"/>
      <c r="P52" s="33"/>
      <c r="Q52" s="32"/>
    </row>
    <row r="53" customFormat="false" ht="15" hidden="false" customHeight="false" outlineLevel="0" collapsed="false">
      <c r="A53" s="32"/>
      <c r="B53" s="33"/>
      <c r="C53" s="32"/>
      <c r="D53" s="37" t="str">
        <f aca="false">IF($C53="","",IFERROR(INDEX('Check giá'!$C$4:$C$203,MATCH($C53,'Check giá'!$A$4:$A$203,0)),""))</f>
        <v/>
      </c>
      <c r="E53" s="37" t="str">
        <f aca="false">IF($C53="","",IFERROR(INDEX('Check giá'!$D$4:$D$203,MATCH($C53,'Check giá'!$A$4:$A$203,0)),""))</f>
        <v/>
      </c>
      <c r="F53" s="37" t="str">
        <f aca="false">IF($C53="","",IFERROR(INDEX('Check giá'!$E$4:$E$203,MATCH($C53,'Check giá'!$A$4:$A$203,0)),""))</f>
        <v/>
      </c>
      <c r="G53" s="37" t="str">
        <f aca="false">IF($C53="","",IFERROR(INDEX('Check giá'!$F$4:$F$203,MATCH($C53,'Check giá'!$A$4:$A$203,0)),""))</f>
        <v/>
      </c>
      <c r="H53" s="37" t="str">
        <f aca="false">IF($C53="","",IFERROR(INDEX('Check giá'!$G$4:$G$203,MATCH($C53,'Check giá'!$A$4:$A$203,0)),""))</f>
        <v/>
      </c>
      <c r="I53" s="38" t="str">
        <f aca="false">IF($C53="","",IFERROR(INDEX('Check giá'!$Q$4:$Q$203,MATCH($C53,'Check giá'!$A$4:$A$203,0)),""))</f>
        <v/>
      </c>
      <c r="J53" s="34"/>
      <c r="K53" s="34"/>
      <c r="L53" s="38" t="str">
        <f aca="false">IF($A53="","",$J53*$K53)</f>
        <v/>
      </c>
      <c r="M53" s="33"/>
      <c r="N53" s="32"/>
      <c r="O53" s="32"/>
      <c r="P53" s="33"/>
      <c r="Q53" s="32"/>
    </row>
    <row r="54" customFormat="false" ht="15" hidden="false" customHeight="false" outlineLevel="0" collapsed="false">
      <c r="A54" s="32"/>
      <c r="B54" s="33"/>
      <c r="C54" s="32"/>
      <c r="D54" s="37" t="str">
        <f aca="false">IF($C54="","",IFERROR(INDEX('Check giá'!$C$4:$C$203,MATCH($C54,'Check giá'!$A$4:$A$203,0)),""))</f>
        <v/>
      </c>
      <c r="E54" s="37" t="str">
        <f aca="false">IF($C54="","",IFERROR(INDEX('Check giá'!$D$4:$D$203,MATCH($C54,'Check giá'!$A$4:$A$203,0)),""))</f>
        <v/>
      </c>
      <c r="F54" s="37" t="str">
        <f aca="false">IF($C54="","",IFERROR(INDEX('Check giá'!$E$4:$E$203,MATCH($C54,'Check giá'!$A$4:$A$203,0)),""))</f>
        <v/>
      </c>
      <c r="G54" s="37" t="str">
        <f aca="false">IF($C54="","",IFERROR(INDEX('Check giá'!$F$4:$F$203,MATCH($C54,'Check giá'!$A$4:$A$203,0)),""))</f>
        <v/>
      </c>
      <c r="H54" s="37" t="str">
        <f aca="false">IF($C54="","",IFERROR(INDEX('Check giá'!$G$4:$G$203,MATCH($C54,'Check giá'!$A$4:$A$203,0)),""))</f>
        <v/>
      </c>
      <c r="I54" s="38" t="str">
        <f aca="false">IF($C54="","",IFERROR(INDEX('Check giá'!$Q$4:$Q$203,MATCH($C54,'Check giá'!$A$4:$A$203,0)),""))</f>
        <v/>
      </c>
      <c r="J54" s="34"/>
      <c r="K54" s="34"/>
      <c r="L54" s="38" t="str">
        <f aca="false">IF($A54="","",$J54*$K54)</f>
        <v/>
      </c>
      <c r="M54" s="33"/>
      <c r="N54" s="32"/>
      <c r="O54" s="32"/>
      <c r="P54" s="33"/>
      <c r="Q54" s="32"/>
    </row>
    <row r="55" customFormat="false" ht="15" hidden="false" customHeight="false" outlineLevel="0" collapsed="false">
      <c r="A55" s="32"/>
      <c r="B55" s="33"/>
      <c r="C55" s="32"/>
      <c r="D55" s="37" t="str">
        <f aca="false">IF($C55="","",IFERROR(INDEX('Check giá'!$C$4:$C$203,MATCH($C55,'Check giá'!$A$4:$A$203,0)),""))</f>
        <v/>
      </c>
      <c r="E55" s="37" t="str">
        <f aca="false">IF($C55="","",IFERROR(INDEX('Check giá'!$D$4:$D$203,MATCH($C55,'Check giá'!$A$4:$A$203,0)),""))</f>
        <v/>
      </c>
      <c r="F55" s="37" t="str">
        <f aca="false">IF($C55="","",IFERROR(INDEX('Check giá'!$E$4:$E$203,MATCH($C55,'Check giá'!$A$4:$A$203,0)),""))</f>
        <v/>
      </c>
      <c r="G55" s="37" t="str">
        <f aca="false">IF($C55="","",IFERROR(INDEX('Check giá'!$F$4:$F$203,MATCH($C55,'Check giá'!$A$4:$A$203,0)),""))</f>
        <v/>
      </c>
      <c r="H55" s="37" t="str">
        <f aca="false">IF($C55="","",IFERROR(INDEX('Check giá'!$G$4:$G$203,MATCH($C55,'Check giá'!$A$4:$A$203,0)),""))</f>
        <v/>
      </c>
      <c r="I55" s="38" t="str">
        <f aca="false">IF($C55="","",IFERROR(INDEX('Check giá'!$Q$4:$Q$203,MATCH($C55,'Check giá'!$A$4:$A$203,0)),""))</f>
        <v/>
      </c>
      <c r="J55" s="34"/>
      <c r="K55" s="34"/>
      <c r="L55" s="38" t="str">
        <f aca="false">IF($A55="","",$J55*$K55)</f>
        <v/>
      </c>
      <c r="M55" s="33"/>
      <c r="N55" s="32"/>
      <c r="O55" s="32"/>
      <c r="P55" s="33"/>
      <c r="Q55" s="32"/>
    </row>
    <row r="56" customFormat="false" ht="15" hidden="false" customHeight="false" outlineLevel="0" collapsed="false">
      <c r="A56" s="32"/>
      <c r="B56" s="33"/>
      <c r="C56" s="32"/>
      <c r="D56" s="37" t="str">
        <f aca="false">IF($C56="","",IFERROR(INDEX('Check giá'!$C$4:$C$203,MATCH($C56,'Check giá'!$A$4:$A$203,0)),""))</f>
        <v/>
      </c>
      <c r="E56" s="37" t="str">
        <f aca="false">IF($C56="","",IFERROR(INDEX('Check giá'!$D$4:$D$203,MATCH($C56,'Check giá'!$A$4:$A$203,0)),""))</f>
        <v/>
      </c>
      <c r="F56" s="37" t="str">
        <f aca="false">IF($C56="","",IFERROR(INDEX('Check giá'!$E$4:$E$203,MATCH($C56,'Check giá'!$A$4:$A$203,0)),""))</f>
        <v/>
      </c>
      <c r="G56" s="37" t="str">
        <f aca="false">IF($C56="","",IFERROR(INDEX('Check giá'!$F$4:$F$203,MATCH($C56,'Check giá'!$A$4:$A$203,0)),""))</f>
        <v/>
      </c>
      <c r="H56" s="37" t="str">
        <f aca="false">IF($C56="","",IFERROR(INDEX('Check giá'!$G$4:$G$203,MATCH($C56,'Check giá'!$A$4:$A$203,0)),""))</f>
        <v/>
      </c>
      <c r="I56" s="38" t="str">
        <f aca="false">IF($C56="","",IFERROR(INDEX('Check giá'!$Q$4:$Q$203,MATCH($C56,'Check giá'!$A$4:$A$203,0)),""))</f>
        <v/>
      </c>
      <c r="J56" s="34"/>
      <c r="K56" s="34"/>
      <c r="L56" s="38" t="str">
        <f aca="false">IF($A56="","",$J56*$K56)</f>
        <v/>
      </c>
      <c r="M56" s="33"/>
      <c r="N56" s="32"/>
      <c r="O56" s="32"/>
      <c r="P56" s="33"/>
      <c r="Q56" s="32"/>
    </row>
    <row r="57" customFormat="false" ht="15" hidden="false" customHeight="false" outlineLevel="0" collapsed="false">
      <c r="A57" s="32"/>
      <c r="B57" s="33"/>
      <c r="C57" s="32"/>
      <c r="D57" s="37" t="str">
        <f aca="false">IF($C57="","",IFERROR(INDEX('Check giá'!$C$4:$C$203,MATCH($C57,'Check giá'!$A$4:$A$203,0)),""))</f>
        <v/>
      </c>
      <c r="E57" s="37" t="str">
        <f aca="false">IF($C57="","",IFERROR(INDEX('Check giá'!$D$4:$D$203,MATCH($C57,'Check giá'!$A$4:$A$203,0)),""))</f>
        <v/>
      </c>
      <c r="F57" s="37" t="str">
        <f aca="false">IF($C57="","",IFERROR(INDEX('Check giá'!$E$4:$E$203,MATCH($C57,'Check giá'!$A$4:$A$203,0)),""))</f>
        <v/>
      </c>
      <c r="G57" s="37" t="str">
        <f aca="false">IF($C57="","",IFERROR(INDEX('Check giá'!$F$4:$F$203,MATCH($C57,'Check giá'!$A$4:$A$203,0)),""))</f>
        <v/>
      </c>
      <c r="H57" s="37" t="str">
        <f aca="false">IF($C57="","",IFERROR(INDEX('Check giá'!$G$4:$G$203,MATCH($C57,'Check giá'!$A$4:$A$203,0)),""))</f>
        <v/>
      </c>
      <c r="I57" s="38" t="str">
        <f aca="false">IF($C57="","",IFERROR(INDEX('Check giá'!$Q$4:$Q$203,MATCH($C57,'Check giá'!$A$4:$A$203,0)),""))</f>
        <v/>
      </c>
      <c r="J57" s="34"/>
      <c r="K57" s="34"/>
      <c r="L57" s="38" t="str">
        <f aca="false">IF($A57="","",$J57*$K57)</f>
        <v/>
      </c>
      <c r="M57" s="33"/>
      <c r="N57" s="32"/>
      <c r="O57" s="32"/>
      <c r="P57" s="33"/>
      <c r="Q57" s="32"/>
    </row>
    <row r="58" customFormat="false" ht="15" hidden="false" customHeight="false" outlineLevel="0" collapsed="false">
      <c r="A58" s="32"/>
      <c r="B58" s="33"/>
      <c r="C58" s="32"/>
      <c r="D58" s="37" t="str">
        <f aca="false">IF($C58="","",IFERROR(INDEX('Check giá'!$C$4:$C$203,MATCH($C58,'Check giá'!$A$4:$A$203,0)),""))</f>
        <v/>
      </c>
      <c r="E58" s="37" t="str">
        <f aca="false">IF($C58="","",IFERROR(INDEX('Check giá'!$D$4:$D$203,MATCH($C58,'Check giá'!$A$4:$A$203,0)),""))</f>
        <v/>
      </c>
      <c r="F58" s="37" t="str">
        <f aca="false">IF($C58="","",IFERROR(INDEX('Check giá'!$E$4:$E$203,MATCH($C58,'Check giá'!$A$4:$A$203,0)),""))</f>
        <v/>
      </c>
      <c r="G58" s="37" t="str">
        <f aca="false">IF($C58="","",IFERROR(INDEX('Check giá'!$F$4:$F$203,MATCH($C58,'Check giá'!$A$4:$A$203,0)),""))</f>
        <v/>
      </c>
      <c r="H58" s="37" t="str">
        <f aca="false">IF($C58="","",IFERROR(INDEX('Check giá'!$G$4:$G$203,MATCH($C58,'Check giá'!$A$4:$A$203,0)),""))</f>
        <v/>
      </c>
      <c r="I58" s="38" t="str">
        <f aca="false">IF($C58="","",IFERROR(INDEX('Check giá'!$Q$4:$Q$203,MATCH($C58,'Check giá'!$A$4:$A$203,0)),""))</f>
        <v/>
      </c>
      <c r="J58" s="34"/>
      <c r="K58" s="34"/>
      <c r="L58" s="38" t="str">
        <f aca="false">IF($A58="","",$J58*$K58)</f>
        <v/>
      </c>
      <c r="M58" s="33"/>
      <c r="N58" s="32"/>
      <c r="O58" s="32"/>
      <c r="P58" s="33"/>
      <c r="Q58" s="32"/>
    </row>
    <row r="59" customFormat="false" ht="15" hidden="false" customHeight="false" outlineLevel="0" collapsed="false">
      <c r="A59" s="32"/>
      <c r="B59" s="33"/>
      <c r="C59" s="32"/>
      <c r="D59" s="37" t="str">
        <f aca="false">IF($C59="","",IFERROR(INDEX('Check giá'!$C$4:$C$203,MATCH($C59,'Check giá'!$A$4:$A$203,0)),""))</f>
        <v/>
      </c>
      <c r="E59" s="37" t="str">
        <f aca="false">IF($C59="","",IFERROR(INDEX('Check giá'!$D$4:$D$203,MATCH($C59,'Check giá'!$A$4:$A$203,0)),""))</f>
        <v/>
      </c>
      <c r="F59" s="37" t="str">
        <f aca="false">IF($C59="","",IFERROR(INDEX('Check giá'!$E$4:$E$203,MATCH($C59,'Check giá'!$A$4:$A$203,0)),""))</f>
        <v/>
      </c>
      <c r="G59" s="37" t="str">
        <f aca="false">IF($C59="","",IFERROR(INDEX('Check giá'!$F$4:$F$203,MATCH($C59,'Check giá'!$A$4:$A$203,0)),""))</f>
        <v/>
      </c>
      <c r="H59" s="37" t="str">
        <f aca="false">IF($C59="","",IFERROR(INDEX('Check giá'!$G$4:$G$203,MATCH($C59,'Check giá'!$A$4:$A$203,0)),""))</f>
        <v/>
      </c>
      <c r="I59" s="38" t="str">
        <f aca="false">IF($C59="","",IFERROR(INDEX('Check giá'!$Q$4:$Q$203,MATCH($C59,'Check giá'!$A$4:$A$203,0)),""))</f>
        <v/>
      </c>
      <c r="J59" s="34"/>
      <c r="K59" s="34"/>
      <c r="L59" s="38" t="str">
        <f aca="false">IF($A59="","",$J59*$K59)</f>
        <v/>
      </c>
      <c r="M59" s="33"/>
      <c r="N59" s="32"/>
      <c r="O59" s="32"/>
      <c r="P59" s="33"/>
      <c r="Q59" s="32"/>
    </row>
    <row r="60" customFormat="false" ht="15" hidden="false" customHeight="false" outlineLevel="0" collapsed="false">
      <c r="A60" s="32"/>
      <c r="B60" s="33"/>
      <c r="C60" s="32"/>
      <c r="D60" s="37" t="str">
        <f aca="false">IF($C60="","",IFERROR(INDEX('Check giá'!$C$4:$C$203,MATCH($C60,'Check giá'!$A$4:$A$203,0)),""))</f>
        <v/>
      </c>
      <c r="E60" s="37" t="str">
        <f aca="false">IF($C60="","",IFERROR(INDEX('Check giá'!$D$4:$D$203,MATCH($C60,'Check giá'!$A$4:$A$203,0)),""))</f>
        <v/>
      </c>
      <c r="F60" s="37" t="str">
        <f aca="false">IF($C60="","",IFERROR(INDEX('Check giá'!$E$4:$E$203,MATCH($C60,'Check giá'!$A$4:$A$203,0)),""))</f>
        <v/>
      </c>
      <c r="G60" s="37" t="str">
        <f aca="false">IF($C60="","",IFERROR(INDEX('Check giá'!$F$4:$F$203,MATCH($C60,'Check giá'!$A$4:$A$203,0)),""))</f>
        <v/>
      </c>
      <c r="H60" s="37" t="str">
        <f aca="false">IF($C60="","",IFERROR(INDEX('Check giá'!$G$4:$G$203,MATCH($C60,'Check giá'!$A$4:$A$203,0)),""))</f>
        <v/>
      </c>
      <c r="I60" s="38" t="str">
        <f aca="false">IF($C60="","",IFERROR(INDEX('Check giá'!$Q$4:$Q$203,MATCH($C60,'Check giá'!$A$4:$A$203,0)),""))</f>
        <v/>
      </c>
      <c r="J60" s="34"/>
      <c r="K60" s="34"/>
      <c r="L60" s="38" t="str">
        <f aca="false">IF($A60="","",$J60*$K60)</f>
        <v/>
      </c>
      <c r="M60" s="33"/>
      <c r="N60" s="32"/>
      <c r="O60" s="32"/>
      <c r="P60" s="33"/>
      <c r="Q60" s="32"/>
    </row>
    <row r="61" customFormat="false" ht="15" hidden="false" customHeight="false" outlineLevel="0" collapsed="false">
      <c r="A61" s="32"/>
      <c r="B61" s="33"/>
      <c r="C61" s="32"/>
      <c r="D61" s="37" t="str">
        <f aca="false">IF($C61="","",IFERROR(INDEX('Check giá'!$C$4:$C$203,MATCH($C61,'Check giá'!$A$4:$A$203,0)),""))</f>
        <v/>
      </c>
      <c r="E61" s="37" t="str">
        <f aca="false">IF($C61="","",IFERROR(INDEX('Check giá'!$D$4:$D$203,MATCH($C61,'Check giá'!$A$4:$A$203,0)),""))</f>
        <v/>
      </c>
      <c r="F61" s="37" t="str">
        <f aca="false">IF($C61="","",IFERROR(INDEX('Check giá'!$E$4:$E$203,MATCH($C61,'Check giá'!$A$4:$A$203,0)),""))</f>
        <v/>
      </c>
      <c r="G61" s="37" t="str">
        <f aca="false">IF($C61="","",IFERROR(INDEX('Check giá'!$F$4:$F$203,MATCH($C61,'Check giá'!$A$4:$A$203,0)),""))</f>
        <v/>
      </c>
      <c r="H61" s="37" t="str">
        <f aca="false">IF($C61="","",IFERROR(INDEX('Check giá'!$G$4:$G$203,MATCH($C61,'Check giá'!$A$4:$A$203,0)),""))</f>
        <v/>
      </c>
      <c r="I61" s="38" t="str">
        <f aca="false">IF($C61="","",IFERROR(INDEX('Check giá'!$Q$4:$Q$203,MATCH($C61,'Check giá'!$A$4:$A$203,0)),""))</f>
        <v/>
      </c>
      <c r="J61" s="34"/>
      <c r="K61" s="34"/>
      <c r="L61" s="38" t="str">
        <f aca="false">IF($A61="","",$J61*$K61)</f>
        <v/>
      </c>
      <c r="M61" s="33"/>
      <c r="N61" s="32"/>
      <c r="O61" s="32"/>
      <c r="P61" s="33"/>
      <c r="Q61" s="32"/>
    </row>
    <row r="62" customFormat="false" ht="15" hidden="false" customHeight="false" outlineLevel="0" collapsed="false">
      <c r="A62" s="32"/>
      <c r="B62" s="33"/>
      <c r="C62" s="32"/>
      <c r="D62" s="37" t="str">
        <f aca="false">IF($C62="","",IFERROR(INDEX('Check giá'!$C$4:$C$203,MATCH($C62,'Check giá'!$A$4:$A$203,0)),""))</f>
        <v/>
      </c>
      <c r="E62" s="37" t="str">
        <f aca="false">IF($C62="","",IFERROR(INDEX('Check giá'!$D$4:$D$203,MATCH($C62,'Check giá'!$A$4:$A$203,0)),""))</f>
        <v/>
      </c>
      <c r="F62" s="37" t="str">
        <f aca="false">IF($C62="","",IFERROR(INDEX('Check giá'!$E$4:$E$203,MATCH($C62,'Check giá'!$A$4:$A$203,0)),""))</f>
        <v/>
      </c>
      <c r="G62" s="37" t="str">
        <f aca="false">IF($C62="","",IFERROR(INDEX('Check giá'!$F$4:$F$203,MATCH($C62,'Check giá'!$A$4:$A$203,0)),""))</f>
        <v/>
      </c>
      <c r="H62" s="37" t="str">
        <f aca="false">IF($C62="","",IFERROR(INDEX('Check giá'!$G$4:$G$203,MATCH($C62,'Check giá'!$A$4:$A$203,0)),""))</f>
        <v/>
      </c>
      <c r="I62" s="38" t="str">
        <f aca="false">IF($C62="","",IFERROR(INDEX('Check giá'!$Q$4:$Q$203,MATCH($C62,'Check giá'!$A$4:$A$203,0)),""))</f>
        <v/>
      </c>
      <c r="J62" s="34"/>
      <c r="K62" s="34"/>
      <c r="L62" s="38" t="str">
        <f aca="false">IF($A62="","",$J62*$K62)</f>
        <v/>
      </c>
      <c r="M62" s="33"/>
      <c r="N62" s="32"/>
      <c r="O62" s="32"/>
      <c r="P62" s="33"/>
      <c r="Q62" s="32"/>
    </row>
    <row r="63" customFormat="false" ht="15" hidden="false" customHeight="false" outlineLevel="0" collapsed="false">
      <c r="A63" s="32"/>
      <c r="B63" s="33"/>
      <c r="C63" s="32"/>
      <c r="D63" s="37" t="str">
        <f aca="false">IF($C63="","",IFERROR(INDEX('Check giá'!$C$4:$C$203,MATCH($C63,'Check giá'!$A$4:$A$203,0)),""))</f>
        <v/>
      </c>
      <c r="E63" s="37" t="str">
        <f aca="false">IF($C63="","",IFERROR(INDEX('Check giá'!$D$4:$D$203,MATCH($C63,'Check giá'!$A$4:$A$203,0)),""))</f>
        <v/>
      </c>
      <c r="F63" s="37" t="str">
        <f aca="false">IF($C63="","",IFERROR(INDEX('Check giá'!$E$4:$E$203,MATCH($C63,'Check giá'!$A$4:$A$203,0)),""))</f>
        <v/>
      </c>
      <c r="G63" s="37" t="str">
        <f aca="false">IF($C63="","",IFERROR(INDEX('Check giá'!$F$4:$F$203,MATCH($C63,'Check giá'!$A$4:$A$203,0)),""))</f>
        <v/>
      </c>
      <c r="H63" s="37" t="str">
        <f aca="false">IF($C63="","",IFERROR(INDEX('Check giá'!$G$4:$G$203,MATCH($C63,'Check giá'!$A$4:$A$203,0)),""))</f>
        <v/>
      </c>
      <c r="I63" s="38" t="str">
        <f aca="false">IF($C63="","",IFERROR(INDEX('Check giá'!$Q$4:$Q$203,MATCH($C63,'Check giá'!$A$4:$A$203,0)),""))</f>
        <v/>
      </c>
      <c r="J63" s="34"/>
      <c r="K63" s="34"/>
      <c r="L63" s="38" t="str">
        <f aca="false">IF($A63="","",$J63*$K63)</f>
        <v/>
      </c>
      <c r="M63" s="33"/>
      <c r="N63" s="32"/>
      <c r="O63" s="32"/>
      <c r="P63" s="33"/>
      <c r="Q63" s="32"/>
    </row>
    <row r="64" customFormat="false" ht="15" hidden="false" customHeight="false" outlineLevel="0" collapsed="false">
      <c r="A64" s="32"/>
      <c r="B64" s="33"/>
      <c r="C64" s="32"/>
      <c r="D64" s="37" t="str">
        <f aca="false">IF($C64="","",IFERROR(INDEX('Check giá'!$C$4:$C$203,MATCH($C64,'Check giá'!$A$4:$A$203,0)),""))</f>
        <v/>
      </c>
      <c r="E64" s="37" t="str">
        <f aca="false">IF($C64="","",IFERROR(INDEX('Check giá'!$D$4:$D$203,MATCH($C64,'Check giá'!$A$4:$A$203,0)),""))</f>
        <v/>
      </c>
      <c r="F64" s="37" t="str">
        <f aca="false">IF($C64="","",IFERROR(INDEX('Check giá'!$E$4:$E$203,MATCH($C64,'Check giá'!$A$4:$A$203,0)),""))</f>
        <v/>
      </c>
      <c r="G64" s="37" t="str">
        <f aca="false">IF($C64="","",IFERROR(INDEX('Check giá'!$F$4:$F$203,MATCH($C64,'Check giá'!$A$4:$A$203,0)),""))</f>
        <v/>
      </c>
      <c r="H64" s="37" t="str">
        <f aca="false">IF($C64="","",IFERROR(INDEX('Check giá'!$G$4:$G$203,MATCH($C64,'Check giá'!$A$4:$A$203,0)),""))</f>
        <v/>
      </c>
      <c r="I64" s="38" t="str">
        <f aca="false">IF($C64="","",IFERROR(INDEX('Check giá'!$Q$4:$Q$203,MATCH($C64,'Check giá'!$A$4:$A$203,0)),""))</f>
        <v/>
      </c>
      <c r="J64" s="34"/>
      <c r="K64" s="34"/>
      <c r="L64" s="38" t="str">
        <f aca="false">IF($A64="","",$J64*$K64)</f>
        <v/>
      </c>
      <c r="M64" s="33"/>
      <c r="N64" s="32"/>
      <c r="O64" s="32"/>
      <c r="P64" s="33"/>
      <c r="Q64" s="32"/>
    </row>
    <row r="65" customFormat="false" ht="15" hidden="false" customHeight="false" outlineLevel="0" collapsed="false">
      <c r="A65" s="32"/>
      <c r="B65" s="33"/>
      <c r="C65" s="32"/>
      <c r="D65" s="37" t="str">
        <f aca="false">IF($C65="","",IFERROR(INDEX('Check giá'!$C$4:$C$203,MATCH($C65,'Check giá'!$A$4:$A$203,0)),""))</f>
        <v/>
      </c>
      <c r="E65" s="37" t="str">
        <f aca="false">IF($C65="","",IFERROR(INDEX('Check giá'!$D$4:$D$203,MATCH($C65,'Check giá'!$A$4:$A$203,0)),""))</f>
        <v/>
      </c>
      <c r="F65" s="37" t="str">
        <f aca="false">IF($C65="","",IFERROR(INDEX('Check giá'!$E$4:$E$203,MATCH($C65,'Check giá'!$A$4:$A$203,0)),""))</f>
        <v/>
      </c>
      <c r="G65" s="37" t="str">
        <f aca="false">IF($C65="","",IFERROR(INDEX('Check giá'!$F$4:$F$203,MATCH($C65,'Check giá'!$A$4:$A$203,0)),""))</f>
        <v/>
      </c>
      <c r="H65" s="37" t="str">
        <f aca="false">IF($C65="","",IFERROR(INDEX('Check giá'!$G$4:$G$203,MATCH($C65,'Check giá'!$A$4:$A$203,0)),""))</f>
        <v/>
      </c>
      <c r="I65" s="38" t="str">
        <f aca="false">IF($C65="","",IFERROR(INDEX('Check giá'!$Q$4:$Q$203,MATCH($C65,'Check giá'!$A$4:$A$203,0)),""))</f>
        <v/>
      </c>
      <c r="J65" s="34"/>
      <c r="K65" s="34"/>
      <c r="L65" s="38" t="str">
        <f aca="false">IF($A65="","",$J65*$K65)</f>
        <v/>
      </c>
      <c r="M65" s="33"/>
      <c r="N65" s="32"/>
      <c r="O65" s="32"/>
      <c r="P65" s="33"/>
      <c r="Q65" s="32"/>
    </row>
    <row r="66" customFormat="false" ht="15" hidden="false" customHeight="false" outlineLevel="0" collapsed="false">
      <c r="A66" s="32"/>
      <c r="B66" s="33"/>
      <c r="C66" s="32"/>
      <c r="D66" s="37" t="str">
        <f aca="false">IF($C66="","",IFERROR(INDEX('Check giá'!$C$4:$C$203,MATCH($C66,'Check giá'!$A$4:$A$203,0)),""))</f>
        <v/>
      </c>
      <c r="E66" s="37" t="str">
        <f aca="false">IF($C66="","",IFERROR(INDEX('Check giá'!$D$4:$D$203,MATCH($C66,'Check giá'!$A$4:$A$203,0)),""))</f>
        <v/>
      </c>
      <c r="F66" s="37" t="str">
        <f aca="false">IF($C66="","",IFERROR(INDEX('Check giá'!$E$4:$E$203,MATCH($C66,'Check giá'!$A$4:$A$203,0)),""))</f>
        <v/>
      </c>
      <c r="G66" s="37" t="str">
        <f aca="false">IF($C66="","",IFERROR(INDEX('Check giá'!$F$4:$F$203,MATCH($C66,'Check giá'!$A$4:$A$203,0)),""))</f>
        <v/>
      </c>
      <c r="H66" s="37" t="str">
        <f aca="false">IF($C66="","",IFERROR(INDEX('Check giá'!$G$4:$G$203,MATCH($C66,'Check giá'!$A$4:$A$203,0)),""))</f>
        <v/>
      </c>
      <c r="I66" s="38" t="str">
        <f aca="false">IF($C66="","",IFERROR(INDEX('Check giá'!$Q$4:$Q$203,MATCH($C66,'Check giá'!$A$4:$A$203,0)),""))</f>
        <v/>
      </c>
      <c r="J66" s="34"/>
      <c r="K66" s="34"/>
      <c r="L66" s="38" t="str">
        <f aca="false">IF($A66="","",$J66*$K66)</f>
        <v/>
      </c>
      <c r="M66" s="33"/>
      <c r="N66" s="32"/>
      <c r="O66" s="32"/>
      <c r="P66" s="33"/>
      <c r="Q66" s="32"/>
    </row>
    <row r="67" customFormat="false" ht="15" hidden="false" customHeight="false" outlineLevel="0" collapsed="false">
      <c r="A67" s="32"/>
      <c r="B67" s="33"/>
      <c r="C67" s="32"/>
      <c r="D67" s="37" t="str">
        <f aca="false">IF($C67="","",IFERROR(INDEX('Check giá'!$C$4:$C$203,MATCH($C67,'Check giá'!$A$4:$A$203,0)),""))</f>
        <v/>
      </c>
      <c r="E67" s="37" t="str">
        <f aca="false">IF($C67="","",IFERROR(INDEX('Check giá'!$D$4:$D$203,MATCH($C67,'Check giá'!$A$4:$A$203,0)),""))</f>
        <v/>
      </c>
      <c r="F67" s="37" t="str">
        <f aca="false">IF($C67="","",IFERROR(INDEX('Check giá'!$E$4:$E$203,MATCH($C67,'Check giá'!$A$4:$A$203,0)),""))</f>
        <v/>
      </c>
      <c r="G67" s="37" t="str">
        <f aca="false">IF($C67="","",IFERROR(INDEX('Check giá'!$F$4:$F$203,MATCH($C67,'Check giá'!$A$4:$A$203,0)),""))</f>
        <v/>
      </c>
      <c r="H67" s="37" t="str">
        <f aca="false">IF($C67="","",IFERROR(INDEX('Check giá'!$G$4:$G$203,MATCH($C67,'Check giá'!$A$4:$A$203,0)),""))</f>
        <v/>
      </c>
      <c r="I67" s="38" t="str">
        <f aca="false">IF($C67="","",IFERROR(INDEX('Check giá'!$Q$4:$Q$203,MATCH($C67,'Check giá'!$A$4:$A$203,0)),""))</f>
        <v/>
      </c>
      <c r="J67" s="34"/>
      <c r="K67" s="34"/>
      <c r="L67" s="38" t="str">
        <f aca="false">IF($A67="","",$J67*$K67)</f>
        <v/>
      </c>
      <c r="M67" s="33"/>
      <c r="N67" s="32"/>
      <c r="O67" s="32"/>
      <c r="P67" s="33"/>
      <c r="Q67" s="32"/>
    </row>
    <row r="68" customFormat="false" ht="15" hidden="false" customHeight="false" outlineLevel="0" collapsed="false">
      <c r="A68" s="32"/>
      <c r="B68" s="33"/>
      <c r="C68" s="32"/>
      <c r="D68" s="37" t="str">
        <f aca="false">IF($C68="","",IFERROR(INDEX('Check giá'!$C$4:$C$203,MATCH($C68,'Check giá'!$A$4:$A$203,0)),""))</f>
        <v/>
      </c>
      <c r="E68" s="37" t="str">
        <f aca="false">IF($C68="","",IFERROR(INDEX('Check giá'!$D$4:$D$203,MATCH($C68,'Check giá'!$A$4:$A$203,0)),""))</f>
        <v/>
      </c>
      <c r="F68" s="37" t="str">
        <f aca="false">IF($C68="","",IFERROR(INDEX('Check giá'!$E$4:$E$203,MATCH($C68,'Check giá'!$A$4:$A$203,0)),""))</f>
        <v/>
      </c>
      <c r="G68" s="37" t="str">
        <f aca="false">IF($C68="","",IFERROR(INDEX('Check giá'!$F$4:$F$203,MATCH($C68,'Check giá'!$A$4:$A$203,0)),""))</f>
        <v/>
      </c>
      <c r="H68" s="37" t="str">
        <f aca="false">IF($C68="","",IFERROR(INDEX('Check giá'!$G$4:$G$203,MATCH($C68,'Check giá'!$A$4:$A$203,0)),""))</f>
        <v/>
      </c>
      <c r="I68" s="38" t="str">
        <f aca="false">IF($C68="","",IFERROR(INDEX('Check giá'!$Q$4:$Q$203,MATCH($C68,'Check giá'!$A$4:$A$203,0)),""))</f>
        <v/>
      </c>
      <c r="J68" s="34"/>
      <c r="K68" s="34"/>
      <c r="L68" s="38" t="str">
        <f aca="false">IF($A68="","",$J68*$K68)</f>
        <v/>
      </c>
      <c r="M68" s="33"/>
      <c r="N68" s="32"/>
      <c r="O68" s="32"/>
      <c r="P68" s="33"/>
      <c r="Q68" s="32"/>
    </row>
    <row r="69" customFormat="false" ht="15" hidden="false" customHeight="false" outlineLevel="0" collapsed="false">
      <c r="A69" s="32"/>
      <c r="B69" s="33"/>
      <c r="C69" s="32"/>
      <c r="D69" s="37" t="str">
        <f aca="false">IF($C69="","",IFERROR(INDEX('Check giá'!$C$4:$C$203,MATCH($C69,'Check giá'!$A$4:$A$203,0)),""))</f>
        <v/>
      </c>
      <c r="E69" s="37" t="str">
        <f aca="false">IF($C69="","",IFERROR(INDEX('Check giá'!$D$4:$D$203,MATCH($C69,'Check giá'!$A$4:$A$203,0)),""))</f>
        <v/>
      </c>
      <c r="F69" s="37" t="str">
        <f aca="false">IF($C69="","",IFERROR(INDEX('Check giá'!$E$4:$E$203,MATCH($C69,'Check giá'!$A$4:$A$203,0)),""))</f>
        <v/>
      </c>
      <c r="G69" s="37" t="str">
        <f aca="false">IF($C69="","",IFERROR(INDEX('Check giá'!$F$4:$F$203,MATCH($C69,'Check giá'!$A$4:$A$203,0)),""))</f>
        <v/>
      </c>
      <c r="H69" s="37" t="str">
        <f aca="false">IF($C69="","",IFERROR(INDEX('Check giá'!$G$4:$G$203,MATCH($C69,'Check giá'!$A$4:$A$203,0)),""))</f>
        <v/>
      </c>
      <c r="I69" s="38" t="str">
        <f aca="false">IF($C69="","",IFERROR(INDEX('Check giá'!$Q$4:$Q$203,MATCH($C69,'Check giá'!$A$4:$A$203,0)),""))</f>
        <v/>
      </c>
      <c r="J69" s="34"/>
      <c r="K69" s="34"/>
      <c r="L69" s="38" t="str">
        <f aca="false">IF($A69="","",$J69*$K69)</f>
        <v/>
      </c>
      <c r="M69" s="33"/>
      <c r="N69" s="32"/>
      <c r="O69" s="32"/>
      <c r="P69" s="33"/>
      <c r="Q69" s="32"/>
    </row>
    <row r="70" customFormat="false" ht="15" hidden="false" customHeight="false" outlineLevel="0" collapsed="false">
      <c r="A70" s="32"/>
      <c r="B70" s="33"/>
      <c r="C70" s="32"/>
      <c r="D70" s="37" t="str">
        <f aca="false">IF($C70="","",IFERROR(INDEX('Check giá'!$C$4:$C$203,MATCH($C70,'Check giá'!$A$4:$A$203,0)),""))</f>
        <v/>
      </c>
      <c r="E70" s="37" t="str">
        <f aca="false">IF($C70="","",IFERROR(INDEX('Check giá'!$D$4:$D$203,MATCH($C70,'Check giá'!$A$4:$A$203,0)),""))</f>
        <v/>
      </c>
      <c r="F70" s="37" t="str">
        <f aca="false">IF($C70="","",IFERROR(INDEX('Check giá'!$E$4:$E$203,MATCH($C70,'Check giá'!$A$4:$A$203,0)),""))</f>
        <v/>
      </c>
      <c r="G70" s="37" t="str">
        <f aca="false">IF($C70="","",IFERROR(INDEX('Check giá'!$F$4:$F$203,MATCH($C70,'Check giá'!$A$4:$A$203,0)),""))</f>
        <v/>
      </c>
      <c r="H70" s="37" t="str">
        <f aca="false">IF($C70="","",IFERROR(INDEX('Check giá'!$G$4:$G$203,MATCH($C70,'Check giá'!$A$4:$A$203,0)),""))</f>
        <v/>
      </c>
      <c r="I70" s="38" t="str">
        <f aca="false">IF($C70="","",IFERROR(INDEX('Check giá'!$Q$4:$Q$203,MATCH($C70,'Check giá'!$A$4:$A$203,0)),""))</f>
        <v/>
      </c>
      <c r="J70" s="34"/>
      <c r="K70" s="34"/>
      <c r="L70" s="38" t="str">
        <f aca="false">IF($A70="","",$J70*$K70)</f>
        <v/>
      </c>
      <c r="M70" s="33"/>
      <c r="N70" s="32"/>
      <c r="O70" s="32"/>
      <c r="P70" s="33"/>
      <c r="Q70" s="32"/>
    </row>
    <row r="71" customFormat="false" ht="15" hidden="false" customHeight="false" outlineLevel="0" collapsed="false">
      <c r="A71" s="32"/>
      <c r="B71" s="33"/>
      <c r="C71" s="32"/>
      <c r="D71" s="37" t="str">
        <f aca="false">IF($C71="","",IFERROR(INDEX('Check giá'!$C$4:$C$203,MATCH($C71,'Check giá'!$A$4:$A$203,0)),""))</f>
        <v/>
      </c>
      <c r="E71" s="37" t="str">
        <f aca="false">IF($C71="","",IFERROR(INDEX('Check giá'!$D$4:$D$203,MATCH($C71,'Check giá'!$A$4:$A$203,0)),""))</f>
        <v/>
      </c>
      <c r="F71" s="37" t="str">
        <f aca="false">IF($C71="","",IFERROR(INDEX('Check giá'!$E$4:$E$203,MATCH($C71,'Check giá'!$A$4:$A$203,0)),""))</f>
        <v/>
      </c>
      <c r="G71" s="37" t="str">
        <f aca="false">IF($C71="","",IFERROR(INDEX('Check giá'!$F$4:$F$203,MATCH($C71,'Check giá'!$A$4:$A$203,0)),""))</f>
        <v/>
      </c>
      <c r="H71" s="37" t="str">
        <f aca="false">IF($C71="","",IFERROR(INDEX('Check giá'!$G$4:$G$203,MATCH($C71,'Check giá'!$A$4:$A$203,0)),""))</f>
        <v/>
      </c>
      <c r="I71" s="38" t="str">
        <f aca="false">IF($C71="","",IFERROR(INDEX('Check giá'!$Q$4:$Q$203,MATCH($C71,'Check giá'!$A$4:$A$203,0)),""))</f>
        <v/>
      </c>
      <c r="J71" s="34"/>
      <c r="K71" s="34"/>
      <c r="L71" s="38" t="str">
        <f aca="false">IF($A71="","",$J71*$K71)</f>
        <v/>
      </c>
      <c r="M71" s="33"/>
      <c r="N71" s="32"/>
      <c r="O71" s="32"/>
      <c r="P71" s="33"/>
      <c r="Q71" s="32"/>
    </row>
    <row r="72" customFormat="false" ht="15" hidden="false" customHeight="false" outlineLevel="0" collapsed="false">
      <c r="A72" s="32"/>
      <c r="B72" s="33"/>
      <c r="C72" s="32"/>
      <c r="D72" s="37" t="str">
        <f aca="false">IF($C72="","",IFERROR(INDEX('Check giá'!$C$4:$C$203,MATCH($C72,'Check giá'!$A$4:$A$203,0)),""))</f>
        <v/>
      </c>
      <c r="E72" s="37" t="str">
        <f aca="false">IF($C72="","",IFERROR(INDEX('Check giá'!$D$4:$D$203,MATCH($C72,'Check giá'!$A$4:$A$203,0)),""))</f>
        <v/>
      </c>
      <c r="F72" s="37" t="str">
        <f aca="false">IF($C72="","",IFERROR(INDEX('Check giá'!$E$4:$E$203,MATCH($C72,'Check giá'!$A$4:$A$203,0)),""))</f>
        <v/>
      </c>
      <c r="G72" s="37" t="str">
        <f aca="false">IF($C72="","",IFERROR(INDEX('Check giá'!$F$4:$F$203,MATCH($C72,'Check giá'!$A$4:$A$203,0)),""))</f>
        <v/>
      </c>
      <c r="H72" s="37" t="str">
        <f aca="false">IF($C72="","",IFERROR(INDEX('Check giá'!$G$4:$G$203,MATCH($C72,'Check giá'!$A$4:$A$203,0)),""))</f>
        <v/>
      </c>
      <c r="I72" s="38" t="str">
        <f aca="false">IF($C72="","",IFERROR(INDEX('Check giá'!$Q$4:$Q$203,MATCH($C72,'Check giá'!$A$4:$A$203,0)),""))</f>
        <v/>
      </c>
      <c r="J72" s="34"/>
      <c r="K72" s="34"/>
      <c r="L72" s="38" t="str">
        <f aca="false">IF($A72="","",$J72*$K72)</f>
        <v/>
      </c>
      <c r="M72" s="33"/>
      <c r="N72" s="32"/>
      <c r="O72" s="32"/>
      <c r="P72" s="33"/>
      <c r="Q72" s="32"/>
    </row>
    <row r="73" customFormat="false" ht="15" hidden="false" customHeight="false" outlineLevel="0" collapsed="false">
      <c r="A73" s="32"/>
      <c r="B73" s="33"/>
      <c r="C73" s="32"/>
      <c r="D73" s="37" t="str">
        <f aca="false">IF($C73="","",IFERROR(INDEX('Check giá'!$C$4:$C$203,MATCH($C73,'Check giá'!$A$4:$A$203,0)),""))</f>
        <v/>
      </c>
      <c r="E73" s="37" t="str">
        <f aca="false">IF($C73="","",IFERROR(INDEX('Check giá'!$D$4:$D$203,MATCH($C73,'Check giá'!$A$4:$A$203,0)),""))</f>
        <v/>
      </c>
      <c r="F73" s="37" t="str">
        <f aca="false">IF($C73="","",IFERROR(INDEX('Check giá'!$E$4:$E$203,MATCH($C73,'Check giá'!$A$4:$A$203,0)),""))</f>
        <v/>
      </c>
      <c r="G73" s="37" t="str">
        <f aca="false">IF($C73="","",IFERROR(INDEX('Check giá'!$F$4:$F$203,MATCH($C73,'Check giá'!$A$4:$A$203,0)),""))</f>
        <v/>
      </c>
      <c r="H73" s="37" t="str">
        <f aca="false">IF($C73="","",IFERROR(INDEX('Check giá'!$G$4:$G$203,MATCH($C73,'Check giá'!$A$4:$A$203,0)),""))</f>
        <v/>
      </c>
      <c r="I73" s="38" t="str">
        <f aca="false">IF($C73="","",IFERROR(INDEX('Check giá'!$Q$4:$Q$203,MATCH($C73,'Check giá'!$A$4:$A$203,0)),""))</f>
        <v/>
      </c>
      <c r="J73" s="34"/>
      <c r="K73" s="34"/>
      <c r="L73" s="38" t="str">
        <f aca="false">IF($A73="","",$J73*$K73)</f>
        <v/>
      </c>
      <c r="M73" s="33"/>
      <c r="N73" s="32"/>
      <c r="O73" s="32"/>
      <c r="P73" s="33"/>
      <c r="Q73" s="32"/>
    </row>
    <row r="74" customFormat="false" ht="15" hidden="false" customHeight="false" outlineLevel="0" collapsed="false">
      <c r="A74" s="32"/>
      <c r="B74" s="33"/>
      <c r="C74" s="32"/>
      <c r="D74" s="37" t="str">
        <f aca="false">IF($C74="","",IFERROR(INDEX('Check giá'!$C$4:$C$203,MATCH($C74,'Check giá'!$A$4:$A$203,0)),""))</f>
        <v/>
      </c>
      <c r="E74" s="37" t="str">
        <f aca="false">IF($C74="","",IFERROR(INDEX('Check giá'!$D$4:$D$203,MATCH($C74,'Check giá'!$A$4:$A$203,0)),""))</f>
        <v/>
      </c>
      <c r="F74" s="37" t="str">
        <f aca="false">IF($C74="","",IFERROR(INDEX('Check giá'!$E$4:$E$203,MATCH($C74,'Check giá'!$A$4:$A$203,0)),""))</f>
        <v/>
      </c>
      <c r="G74" s="37" t="str">
        <f aca="false">IF($C74="","",IFERROR(INDEX('Check giá'!$F$4:$F$203,MATCH($C74,'Check giá'!$A$4:$A$203,0)),""))</f>
        <v/>
      </c>
      <c r="H74" s="37" t="str">
        <f aca="false">IF($C74="","",IFERROR(INDEX('Check giá'!$G$4:$G$203,MATCH($C74,'Check giá'!$A$4:$A$203,0)),""))</f>
        <v/>
      </c>
      <c r="I74" s="38" t="str">
        <f aca="false">IF($C74="","",IFERROR(INDEX('Check giá'!$Q$4:$Q$203,MATCH($C74,'Check giá'!$A$4:$A$203,0)),""))</f>
        <v/>
      </c>
      <c r="J74" s="34"/>
      <c r="K74" s="34"/>
      <c r="L74" s="38" t="str">
        <f aca="false">IF($A74="","",$J74*$K74)</f>
        <v/>
      </c>
      <c r="M74" s="33"/>
      <c r="N74" s="32"/>
      <c r="O74" s="32"/>
      <c r="P74" s="33"/>
      <c r="Q74" s="32"/>
    </row>
    <row r="75" customFormat="false" ht="15" hidden="false" customHeight="false" outlineLevel="0" collapsed="false">
      <c r="A75" s="32"/>
      <c r="B75" s="33"/>
      <c r="C75" s="32"/>
      <c r="D75" s="37" t="str">
        <f aca="false">IF($C75="","",IFERROR(INDEX('Check giá'!$C$4:$C$203,MATCH($C75,'Check giá'!$A$4:$A$203,0)),""))</f>
        <v/>
      </c>
      <c r="E75" s="37" t="str">
        <f aca="false">IF($C75="","",IFERROR(INDEX('Check giá'!$D$4:$D$203,MATCH($C75,'Check giá'!$A$4:$A$203,0)),""))</f>
        <v/>
      </c>
      <c r="F75" s="37" t="str">
        <f aca="false">IF($C75="","",IFERROR(INDEX('Check giá'!$E$4:$E$203,MATCH($C75,'Check giá'!$A$4:$A$203,0)),""))</f>
        <v/>
      </c>
      <c r="G75" s="37" t="str">
        <f aca="false">IF($C75="","",IFERROR(INDEX('Check giá'!$F$4:$F$203,MATCH($C75,'Check giá'!$A$4:$A$203,0)),""))</f>
        <v/>
      </c>
      <c r="H75" s="37" t="str">
        <f aca="false">IF($C75="","",IFERROR(INDEX('Check giá'!$G$4:$G$203,MATCH($C75,'Check giá'!$A$4:$A$203,0)),""))</f>
        <v/>
      </c>
      <c r="I75" s="38" t="str">
        <f aca="false">IF($C75="","",IFERROR(INDEX('Check giá'!$Q$4:$Q$203,MATCH($C75,'Check giá'!$A$4:$A$203,0)),""))</f>
        <v/>
      </c>
      <c r="J75" s="34"/>
      <c r="K75" s="34"/>
      <c r="L75" s="38" t="str">
        <f aca="false">IF($A75="","",$J75*$K75)</f>
        <v/>
      </c>
      <c r="M75" s="33"/>
      <c r="N75" s="32"/>
      <c r="O75" s="32"/>
      <c r="P75" s="33"/>
      <c r="Q75" s="32"/>
    </row>
    <row r="76" customFormat="false" ht="15" hidden="false" customHeight="false" outlineLevel="0" collapsed="false">
      <c r="A76" s="32"/>
      <c r="B76" s="33"/>
      <c r="C76" s="32"/>
      <c r="D76" s="37" t="str">
        <f aca="false">IF($C76="","",IFERROR(INDEX('Check giá'!$C$4:$C$203,MATCH($C76,'Check giá'!$A$4:$A$203,0)),""))</f>
        <v/>
      </c>
      <c r="E76" s="37" t="str">
        <f aca="false">IF($C76="","",IFERROR(INDEX('Check giá'!$D$4:$D$203,MATCH($C76,'Check giá'!$A$4:$A$203,0)),""))</f>
        <v/>
      </c>
      <c r="F76" s="37" t="str">
        <f aca="false">IF($C76="","",IFERROR(INDEX('Check giá'!$E$4:$E$203,MATCH($C76,'Check giá'!$A$4:$A$203,0)),""))</f>
        <v/>
      </c>
      <c r="G76" s="37" t="str">
        <f aca="false">IF($C76="","",IFERROR(INDEX('Check giá'!$F$4:$F$203,MATCH($C76,'Check giá'!$A$4:$A$203,0)),""))</f>
        <v/>
      </c>
      <c r="H76" s="37" t="str">
        <f aca="false">IF($C76="","",IFERROR(INDEX('Check giá'!$G$4:$G$203,MATCH($C76,'Check giá'!$A$4:$A$203,0)),""))</f>
        <v/>
      </c>
      <c r="I76" s="38" t="str">
        <f aca="false">IF($C76="","",IFERROR(INDEX('Check giá'!$Q$4:$Q$203,MATCH($C76,'Check giá'!$A$4:$A$203,0)),""))</f>
        <v/>
      </c>
      <c r="J76" s="34"/>
      <c r="K76" s="34"/>
      <c r="L76" s="38" t="str">
        <f aca="false">IF($A76="","",$J76*$K76)</f>
        <v/>
      </c>
      <c r="M76" s="33"/>
      <c r="N76" s="32"/>
      <c r="O76" s="32"/>
      <c r="P76" s="33"/>
      <c r="Q76" s="32"/>
    </row>
    <row r="77" customFormat="false" ht="15" hidden="false" customHeight="false" outlineLevel="0" collapsed="false">
      <c r="A77" s="32"/>
      <c r="B77" s="33"/>
      <c r="C77" s="32"/>
      <c r="D77" s="37" t="str">
        <f aca="false">IF($C77="","",IFERROR(INDEX('Check giá'!$C$4:$C$203,MATCH($C77,'Check giá'!$A$4:$A$203,0)),""))</f>
        <v/>
      </c>
      <c r="E77" s="37" t="str">
        <f aca="false">IF($C77="","",IFERROR(INDEX('Check giá'!$D$4:$D$203,MATCH($C77,'Check giá'!$A$4:$A$203,0)),""))</f>
        <v/>
      </c>
      <c r="F77" s="37" t="str">
        <f aca="false">IF($C77="","",IFERROR(INDEX('Check giá'!$E$4:$E$203,MATCH($C77,'Check giá'!$A$4:$A$203,0)),""))</f>
        <v/>
      </c>
      <c r="G77" s="37" t="str">
        <f aca="false">IF($C77="","",IFERROR(INDEX('Check giá'!$F$4:$F$203,MATCH($C77,'Check giá'!$A$4:$A$203,0)),""))</f>
        <v/>
      </c>
      <c r="H77" s="37" t="str">
        <f aca="false">IF($C77="","",IFERROR(INDEX('Check giá'!$G$4:$G$203,MATCH($C77,'Check giá'!$A$4:$A$203,0)),""))</f>
        <v/>
      </c>
      <c r="I77" s="38" t="str">
        <f aca="false">IF($C77="","",IFERROR(INDEX('Check giá'!$Q$4:$Q$203,MATCH($C77,'Check giá'!$A$4:$A$203,0)),""))</f>
        <v/>
      </c>
      <c r="J77" s="34"/>
      <c r="K77" s="34"/>
      <c r="L77" s="38" t="str">
        <f aca="false">IF($A77="","",$J77*$K77)</f>
        <v/>
      </c>
      <c r="M77" s="33"/>
      <c r="N77" s="32"/>
      <c r="O77" s="32"/>
      <c r="P77" s="33"/>
      <c r="Q77" s="32"/>
    </row>
    <row r="78" customFormat="false" ht="15" hidden="false" customHeight="false" outlineLevel="0" collapsed="false">
      <c r="A78" s="32"/>
      <c r="B78" s="33"/>
      <c r="C78" s="32"/>
      <c r="D78" s="37" t="str">
        <f aca="false">IF($C78="","",IFERROR(INDEX('Check giá'!$C$4:$C$203,MATCH($C78,'Check giá'!$A$4:$A$203,0)),""))</f>
        <v/>
      </c>
      <c r="E78" s="37" t="str">
        <f aca="false">IF($C78="","",IFERROR(INDEX('Check giá'!$D$4:$D$203,MATCH($C78,'Check giá'!$A$4:$A$203,0)),""))</f>
        <v/>
      </c>
      <c r="F78" s="37" t="str">
        <f aca="false">IF($C78="","",IFERROR(INDEX('Check giá'!$E$4:$E$203,MATCH($C78,'Check giá'!$A$4:$A$203,0)),""))</f>
        <v/>
      </c>
      <c r="G78" s="37" t="str">
        <f aca="false">IF($C78="","",IFERROR(INDEX('Check giá'!$F$4:$F$203,MATCH($C78,'Check giá'!$A$4:$A$203,0)),""))</f>
        <v/>
      </c>
      <c r="H78" s="37" t="str">
        <f aca="false">IF($C78="","",IFERROR(INDEX('Check giá'!$G$4:$G$203,MATCH($C78,'Check giá'!$A$4:$A$203,0)),""))</f>
        <v/>
      </c>
      <c r="I78" s="38" t="str">
        <f aca="false">IF($C78="","",IFERROR(INDEX('Check giá'!$Q$4:$Q$203,MATCH($C78,'Check giá'!$A$4:$A$203,0)),""))</f>
        <v/>
      </c>
      <c r="J78" s="34"/>
      <c r="K78" s="34"/>
      <c r="L78" s="38" t="str">
        <f aca="false">IF($A78="","",$J78*$K78)</f>
        <v/>
      </c>
      <c r="M78" s="33"/>
      <c r="N78" s="32"/>
      <c r="O78" s="32"/>
      <c r="P78" s="33"/>
      <c r="Q78" s="32"/>
    </row>
    <row r="79" customFormat="false" ht="15" hidden="false" customHeight="false" outlineLevel="0" collapsed="false">
      <c r="A79" s="32"/>
      <c r="B79" s="33"/>
      <c r="C79" s="32"/>
      <c r="D79" s="37" t="str">
        <f aca="false">IF($C79="","",IFERROR(INDEX('Check giá'!$C$4:$C$203,MATCH($C79,'Check giá'!$A$4:$A$203,0)),""))</f>
        <v/>
      </c>
      <c r="E79" s="37" t="str">
        <f aca="false">IF($C79="","",IFERROR(INDEX('Check giá'!$D$4:$D$203,MATCH($C79,'Check giá'!$A$4:$A$203,0)),""))</f>
        <v/>
      </c>
      <c r="F79" s="37" t="str">
        <f aca="false">IF($C79="","",IFERROR(INDEX('Check giá'!$E$4:$E$203,MATCH($C79,'Check giá'!$A$4:$A$203,0)),""))</f>
        <v/>
      </c>
      <c r="G79" s="37" t="str">
        <f aca="false">IF($C79="","",IFERROR(INDEX('Check giá'!$F$4:$F$203,MATCH($C79,'Check giá'!$A$4:$A$203,0)),""))</f>
        <v/>
      </c>
      <c r="H79" s="37" t="str">
        <f aca="false">IF($C79="","",IFERROR(INDEX('Check giá'!$G$4:$G$203,MATCH($C79,'Check giá'!$A$4:$A$203,0)),""))</f>
        <v/>
      </c>
      <c r="I79" s="38" t="str">
        <f aca="false">IF($C79="","",IFERROR(INDEX('Check giá'!$Q$4:$Q$203,MATCH($C79,'Check giá'!$A$4:$A$203,0)),""))</f>
        <v/>
      </c>
      <c r="J79" s="34"/>
      <c r="K79" s="34"/>
      <c r="L79" s="38" t="str">
        <f aca="false">IF($A79="","",$J79*$K79)</f>
        <v/>
      </c>
      <c r="M79" s="33"/>
      <c r="N79" s="32"/>
      <c r="O79" s="32"/>
      <c r="P79" s="33"/>
      <c r="Q79" s="32"/>
    </row>
    <row r="80" customFormat="false" ht="15" hidden="false" customHeight="false" outlineLevel="0" collapsed="false">
      <c r="A80" s="32"/>
      <c r="B80" s="33"/>
      <c r="C80" s="32"/>
      <c r="D80" s="37" t="str">
        <f aca="false">IF($C80="","",IFERROR(INDEX('Check giá'!$C$4:$C$203,MATCH($C80,'Check giá'!$A$4:$A$203,0)),""))</f>
        <v/>
      </c>
      <c r="E80" s="37" t="str">
        <f aca="false">IF($C80="","",IFERROR(INDEX('Check giá'!$D$4:$D$203,MATCH($C80,'Check giá'!$A$4:$A$203,0)),""))</f>
        <v/>
      </c>
      <c r="F80" s="37" t="str">
        <f aca="false">IF($C80="","",IFERROR(INDEX('Check giá'!$E$4:$E$203,MATCH($C80,'Check giá'!$A$4:$A$203,0)),""))</f>
        <v/>
      </c>
      <c r="G80" s="37" t="str">
        <f aca="false">IF($C80="","",IFERROR(INDEX('Check giá'!$F$4:$F$203,MATCH($C80,'Check giá'!$A$4:$A$203,0)),""))</f>
        <v/>
      </c>
      <c r="H80" s="37" t="str">
        <f aca="false">IF($C80="","",IFERROR(INDEX('Check giá'!$G$4:$G$203,MATCH($C80,'Check giá'!$A$4:$A$203,0)),""))</f>
        <v/>
      </c>
      <c r="I80" s="38" t="str">
        <f aca="false">IF($C80="","",IFERROR(INDEX('Check giá'!$Q$4:$Q$203,MATCH($C80,'Check giá'!$A$4:$A$203,0)),""))</f>
        <v/>
      </c>
      <c r="J80" s="34"/>
      <c r="K80" s="34"/>
      <c r="L80" s="38" t="str">
        <f aca="false">IF($A80="","",$J80*$K80)</f>
        <v/>
      </c>
      <c r="M80" s="33"/>
      <c r="N80" s="32"/>
      <c r="O80" s="32"/>
      <c r="P80" s="33"/>
      <c r="Q80" s="32"/>
    </row>
    <row r="81" customFormat="false" ht="15" hidden="false" customHeight="false" outlineLevel="0" collapsed="false">
      <c r="A81" s="32"/>
      <c r="B81" s="33"/>
      <c r="C81" s="32"/>
      <c r="D81" s="37" t="str">
        <f aca="false">IF($C81="","",IFERROR(INDEX('Check giá'!$C$4:$C$203,MATCH($C81,'Check giá'!$A$4:$A$203,0)),""))</f>
        <v/>
      </c>
      <c r="E81" s="37" t="str">
        <f aca="false">IF($C81="","",IFERROR(INDEX('Check giá'!$D$4:$D$203,MATCH($C81,'Check giá'!$A$4:$A$203,0)),""))</f>
        <v/>
      </c>
      <c r="F81" s="37" t="str">
        <f aca="false">IF($C81="","",IFERROR(INDEX('Check giá'!$E$4:$E$203,MATCH($C81,'Check giá'!$A$4:$A$203,0)),""))</f>
        <v/>
      </c>
      <c r="G81" s="37" t="str">
        <f aca="false">IF($C81="","",IFERROR(INDEX('Check giá'!$F$4:$F$203,MATCH($C81,'Check giá'!$A$4:$A$203,0)),""))</f>
        <v/>
      </c>
      <c r="H81" s="37" t="str">
        <f aca="false">IF($C81="","",IFERROR(INDEX('Check giá'!$G$4:$G$203,MATCH($C81,'Check giá'!$A$4:$A$203,0)),""))</f>
        <v/>
      </c>
      <c r="I81" s="38" t="str">
        <f aca="false">IF($C81="","",IFERROR(INDEX('Check giá'!$Q$4:$Q$203,MATCH($C81,'Check giá'!$A$4:$A$203,0)),""))</f>
        <v/>
      </c>
      <c r="J81" s="34"/>
      <c r="K81" s="34"/>
      <c r="L81" s="38" t="str">
        <f aca="false">IF($A81="","",$J81*$K81)</f>
        <v/>
      </c>
      <c r="M81" s="33"/>
      <c r="N81" s="32"/>
      <c r="O81" s="32"/>
      <c r="P81" s="33"/>
      <c r="Q81" s="32"/>
    </row>
    <row r="82" customFormat="false" ht="15" hidden="false" customHeight="false" outlineLevel="0" collapsed="false">
      <c r="A82" s="32"/>
      <c r="B82" s="33"/>
      <c r="C82" s="32"/>
      <c r="D82" s="37" t="str">
        <f aca="false">IF($C82="","",IFERROR(INDEX('Check giá'!$C$4:$C$203,MATCH($C82,'Check giá'!$A$4:$A$203,0)),""))</f>
        <v/>
      </c>
      <c r="E82" s="37" t="str">
        <f aca="false">IF($C82="","",IFERROR(INDEX('Check giá'!$D$4:$D$203,MATCH($C82,'Check giá'!$A$4:$A$203,0)),""))</f>
        <v/>
      </c>
      <c r="F82" s="37" t="str">
        <f aca="false">IF($C82="","",IFERROR(INDEX('Check giá'!$E$4:$E$203,MATCH($C82,'Check giá'!$A$4:$A$203,0)),""))</f>
        <v/>
      </c>
      <c r="G82" s="37" t="str">
        <f aca="false">IF($C82="","",IFERROR(INDEX('Check giá'!$F$4:$F$203,MATCH($C82,'Check giá'!$A$4:$A$203,0)),""))</f>
        <v/>
      </c>
      <c r="H82" s="37" t="str">
        <f aca="false">IF($C82="","",IFERROR(INDEX('Check giá'!$G$4:$G$203,MATCH($C82,'Check giá'!$A$4:$A$203,0)),""))</f>
        <v/>
      </c>
      <c r="I82" s="38" t="str">
        <f aca="false">IF($C82="","",IFERROR(INDEX('Check giá'!$Q$4:$Q$203,MATCH($C82,'Check giá'!$A$4:$A$203,0)),""))</f>
        <v/>
      </c>
      <c r="J82" s="34"/>
      <c r="K82" s="34"/>
      <c r="L82" s="38" t="str">
        <f aca="false">IF($A82="","",$J82*$K82)</f>
        <v/>
      </c>
      <c r="M82" s="33"/>
      <c r="N82" s="32"/>
      <c r="O82" s="32"/>
      <c r="P82" s="33"/>
      <c r="Q82" s="32"/>
    </row>
    <row r="83" customFormat="false" ht="15" hidden="false" customHeight="false" outlineLevel="0" collapsed="false">
      <c r="A83" s="32"/>
      <c r="B83" s="33"/>
      <c r="C83" s="32"/>
      <c r="D83" s="37" t="str">
        <f aca="false">IF($C83="","",IFERROR(INDEX('Check giá'!$C$4:$C$203,MATCH($C83,'Check giá'!$A$4:$A$203,0)),""))</f>
        <v/>
      </c>
      <c r="E83" s="37" t="str">
        <f aca="false">IF($C83="","",IFERROR(INDEX('Check giá'!$D$4:$D$203,MATCH($C83,'Check giá'!$A$4:$A$203,0)),""))</f>
        <v/>
      </c>
      <c r="F83" s="37" t="str">
        <f aca="false">IF($C83="","",IFERROR(INDEX('Check giá'!$E$4:$E$203,MATCH($C83,'Check giá'!$A$4:$A$203,0)),""))</f>
        <v/>
      </c>
      <c r="G83" s="37" t="str">
        <f aca="false">IF($C83="","",IFERROR(INDEX('Check giá'!$F$4:$F$203,MATCH($C83,'Check giá'!$A$4:$A$203,0)),""))</f>
        <v/>
      </c>
      <c r="H83" s="37" t="str">
        <f aca="false">IF($C83="","",IFERROR(INDEX('Check giá'!$G$4:$G$203,MATCH($C83,'Check giá'!$A$4:$A$203,0)),""))</f>
        <v/>
      </c>
      <c r="I83" s="38" t="str">
        <f aca="false">IF($C83="","",IFERROR(INDEX('Check giá'!$Q$4:$Q$203,MATCH($C83,'Check giá'!$A$4:$A$203,0)),""))</f>
        <v/>
      </c>
      <c r="J83" s="34"/>
      <c r="K83" s="34"/>
      <c r="L83" s="38" t="str">
        <f aca="false">IF($A83="","",$J83*$K83)</f>
        <v/>
      </c>
      <c r="M83" s="33"/>
      <c r="N83" s="32"/>
      <c r="O83" s="32"/>
      <c r="P83" s="33"/>
      <c r="Q83" s="32"/>
    </row>
    <row r="84" customFormat="false" ht="15" hidden="false" customHeight="false" outlineLevel="0" collapsed="false">
      <c r="A84" s="32"/>
      <c r="B84" s="33"/>
      <c r="C84" s="32"/>
      <c r="D84" s="37" t="str">
        <f aca="false">IF($C84="","",IFERROR(INDEX('Check giá'!$C$4:$C$203,MATCH($C84,'Check giá'!$A$4:$A$203,0)),""))</f>
        <v/>
      </c>
      <c r="E84" s="37" t="str">
        <f aca="false">IF($C84="","",IFERROR(INDEX('Check giá'!$D$4:$D$203,MATCH($C84,'Check giá'!$A$4:$A$203,0)),""))</f>
        <v/>
      </c>
      <c r="F84" s="37" t="str">
        <f aca="false">IF($C84="","",IFERROR(INDEX('Check giá'!$E$4:$E$203,MATCH($C84,'Check giá'!$A$4:$A$203,0)),""))</f>
        <v/>
      </c>
      <c r="G84" s="37" t="str">
        <f aca="false">IF($C84="","",IFERROR(INDEX('Check giá'!$F$4:$F$203,MATCH($C84,'Check giá'!$A$4:$A$203,0)),""))</f>
        <v/>
      </c>
      <c r="H84" s="37" t="str">
        <f aca="false">IF($C84="","",IFERROR(INDEX('Check giá'!$G$4:$G$203,MATCH($C84,'Check giá'!$A$4:$A$203,0)),""))</f>
        <v/>
      </c>
      <c r="I84" s="38" t="str">
        <f aca="false">IF($C84="","",IFERROR(INDEX('Check giá'!$Q$4:$Q$203,MATCH($C84,'Check giá'!$A$4:$A$203,0)),""))</f>
        <v/>
      </c>
      <c r="J84" s="34"/>
      <c r="K84" s="34"/>
      <c r="L84" s="38" t="str">
        <f aca="false">IF($A84="","",$J84*$K84)</f>
        <v/>
      </c>
      <c r="M84" s="33"/>
      <c r="N84" s="32"/>
      <c r="O84" s="32"/>
      <c r="P84" s="33"/>
      <c r="Q84" s="32"/>
    </row>
    <row r="85" customFormat="false" ht="15" hidden="false" customHeight="false" outlineLevel="0" collapsed="false">
      <c r="A85" s="32"/>
      <c r="B85" s="33"/>
      <c r="C85" s="32"/>
      <c r="D85" s="37" t="str">
        <f aca="false">IF($C85="","",IFERROR(INDEX('Check giá'!$C$4:$C$203,MATCH($C85,'Check giá'!$A$4:$A$203,0)),""))</f>
        <v/>
      </c>
      <c r="E85" s="37" t="str">
        <f aca="false">IF($C85="","",IFERROR(INDEX('Check giá'!$D$4:$D$203,MATCH($C85,'Check giá'!$A$4:$A$203,0)),""))</f>
        <v/>
      </c>
      <c r="F85" s="37" t="str">
        <f aca="false">IF($C85="","",IFERROR(INDEX('Check giá'!$E$4:$E$203,MATCH($C85,'Check giá'!$A$4:$A$203,0)),""))</f>
        <v/>
      </c>
      <c r="G85" s="37" t="str">
        <f aca="false">IF($C85="","",IFERROR(INDEX('Check giá'!$F$4:$F$203,MATCH($C85,'Check giá'!$A$4:$A$203,0)),""))</f>
        <v/>
      </c>
      <c r="H85" s="37" t="str">
        <f aca="false">IF($C85="","",IFERROR(INDEX('Check giá'!$G$4:$G$203,MATCH($C85,'Check giá'!$A$4:$A$203,0)),""))</f>
        <v/>
      </c>
      <c r="I85" s="38" t="str">
        <f aca="false">IF($C85="","",IFERROR(INDEX('Check giá'!$Q$4:$Q$203,MATCH($C85,'Check giá'!$A$4:$A$203,0)),""))</f>
        <v/>
      </c>
      <c r="J85" s="34"/>
      <c r="K85" s="34"/>
      <c r="L85" s="38" t="str">
        <f aca="false">IF($A85="","",$J85*$K85)</f>
        <v/>
      </c>
      <c r="M85" s="33"/>
      <c r="N85" s="32"/>
      <c r="O85" s="32"/>
      <c r="P85" s="33"/>
      <c r="Q85" s="32"/>
    </row>
    <row r="86" customFormat="false" ht="15" hidden="false" customHeight="false" outlineLevel="0" collapsed="false">
      <c r="A86" s="32"/>
      <c r="B86" s="33"/>
      <c r="C86" s="32"/>
      <c r="D86" s="37" t="str">
        <f aca="false">IF($C86="","",IFERROR(INDEX('Check giá'!$C$4:$C$203,MATCH($C86,'Check giá'!$A$4:$A$203,0)),""))</f>
        <v/>
      </c>
      <c r="E86" s="37" t="str">
        <f aca="false">IF($C86="","",IFERROR(INDEX('Check giá'!$D$4:$D$203,MATCH($C86,'Check giá'!$A$4:$A$203,0)),""))</f>
        <v/>
      </c>
      <c r="F86" s="37" t="str">
        <f aca="false">IF($C86="","",IFERROR(INDEX('Check giá'!$E$4:$E$203,MATCH($C86,'Check giá'!$A$4:$A$203,0)),""))</f>
        <v/>
      </c>
      <c r="G86" s="37" t="str">
        <f aca="false">IF($C86="","",IFERROR(INDEX('Check giá'!$F$4:$F$203,MATCH($C86,'Check giá'!$A$4:$A$203,0)),""))</f>
        <v/>
      </c>
      <c r="H86" s="37" t="str">
        <f aca="false">IF($C86="","",IFERROR(INDEX('Check giá'!$G$4:$G$203,MATCH($C86,'Check giá'!$A$4:$A$203,0)),""))</f>
        <v/>
      </c>
      <c r="I86" s="38" t="str">
        <f aca="false">IF($C86="","",IFERROR(INDEX('Check giá'!$Q$4:$Q$203,MATCH($C86,'Check giá'!$A$4:$A$203,0)),""))</f>
        <v/>
      </c>
      <c r="J86" s="34"/>
      <c r="K86" s="34"/>
      <c r="L86" s="38" t="str">
        <f aca="false">IF($A86="","",$J86*$K86)</f>
        <v/>
      </c>
      <c r="M86" s="33"/>
      <c r="N86" s="32"/>
      <c r="O86" s="32"/>
      <c r="P86" s="33"/>
      <c r="Q86" s="32"/>
    </row>
    <row r="87" customFormat="false" ht="15" hidden="false" customHeight="false" outlineLevel="0" collapsed="false">
      <c r="A87" s="32"/>
      <c r="B87" s="33"/>
      <c r="C87" s="32"/>
      <c r="D87" s="37" t="str">
        <f aca="false">IF($C87="","",IFERROR(INDEX('Check giá'!$C$4:$C$203,MATCH($C87,'Check giá'!$A$4:$A$203,0)),""))</f>
        <v/>
      </c>
      <c r="E87" s="37" t="str">
        <f aca="false">IF($C87="","",IFERROR(INDEX('Check giá'!$D$4:$D$203,MATCH($C87,'Check giá'!$A$4:$A$203,0)),""))</f>
        <v/>
      </c>
      <c r="F87" s="37" t="str">
        <f aca="false">IF($C87="","",IFERROR(INDEX('Check giá'!$E$4:$E$203,MATCH($C87,'Check giá'!$A$4:$A$203,0)),""))</f>
        <v/>
      </c>
      <c r="G87" s="37" t="str">
        <f aca="false">IF($C87="","",IFERROR(INDEX('Check giá'!$F$4:$F$203,MATCH($C87,'Check giá'!$A$4:$A$203,0)),""))</f>
        <v/>
      </c>
      <c r="H87" s="37" t="str">
        <f aca="false">IF($C87="","",IFERROR(INDEX('Check giá'!$G$4:$G$203,MATCH($C87,'Check giá'!$A$4:$A$203,0)),""))</f>
        <v/>
      </c>
      <c r="I87" s="38" t="str">
        <f aca="false">IF($C87="","",IFERROR(INDEX('Check giá'!$Q$4:$Q$203,MATCH($C87,'Check giá'!$A$4:$A$203,0)),""))</f>
        <v/>
      </c>
      <c r="J87" s="34"/>
      <c r="K87" s="34"/>
      <c r="L87" s="38" t="str">
        <f aca="false">IF($A87="","",$J87*$K87)</f>
        <v/>
      </c>
      <c r="M87" s="33"/>
      <c r="N87" s="32"/>
      <c r="O87" s="32"/>
      <c r="P87" s="33"/>
      <c r="Q87" s="32"/>
    </row>
    <row r="88" customFormat="false" ht="15" hidden="false" customHeight="false" outlineLevel="0" collapsed="false">
      <c r="A88" s="32"/>
      <c r="B88" s="33"/>
      <c r="C88" s="32"/>
      <c r="D88" s="37" t="str">
        <f aca="false">IF($C88="","",IFERROR(INDEX('Check giá'!$C$4:$C$203,MATCH($C88,'Check giá'!$A$4:$A$203,0)),""))</f>
        <v/>
      </c>
      <c r="E88" s="37" t="str">
        <f aca="false">IF($C88="","",IFERROR(INDEX('Check giá'!$D$4:$D$203,MATCH($C88,'Check giá'!$A$4:$A$203,0)),""))</f>
        <v/>
      </c>
      <c r="F88" s="37" t="str">
        <f aca="false">IF($C88="","",IFERROR(INDEX('Check giá'!$E$4:$E$203,MATCH($C88,'Check giá'!$A$4:$A$203,0)),""))</f>
        <v/>
      </c>
      <c r="G88" s="37" t="str">
        <f aca="false">IF($C88="","",IFERROR(INDEX('Check giá'!$F$4:$F$203,MATCH($C88,'Check giá'!$A$4:$A$203,0)),""))</f>
        <v/>
      </c>
      <c r="H88" s="37" t="str">
        <f aca="false">IF($C88="","",IFERROR(INDEX('Check giá'!$G$4:$G$203,MATCH($C88,'Check giá'!$A$4:$A$203,0)),""))</f>
        <v/>
      </c>
      <c r="I88" s="38" t="str">
        <f aca="false">IF($C88="","",IFERROR(INDEX('Check giá'!$Q$4:$Q$203,MATCH($C88,'Check giá'!$A$4:$A$203,0)),""))</f>
        <v/>
      </c>
      <c r="J88" s="34"/>
      <c r="K88" s="34"/>
      <c r="L88" s="38" t="str">
        <f aca="false">IF($A88="","",$J88*$K88)</f>
        <v/>
      </c>
      <c r="M88" s="33"/>
      <c r="N88" s="32"/>
      <c r="O88" s="32"/>
      <c r="P88" s="33"/>
      <c r="Q88" s="32"/>
    </row>
    <row r="89" customFormat="false" ht="15" hidden="false" customHeight="false" outlineLevel="0" collapsed="false">
      <c r="A89" s="32"/>
      <c r="B89" s="33"/>
      <c r="C89" s="32"/>
      <c r="D89" s="37" t="str">
        <f aca="false">IF($C89="","",IFERROR(INDEX('Check giá'!$C$4:$C$203,MATCH($C89,'Check giá'!$A$4:$A$203,0)),""))</f>
        <v/>
      </c>
      <c r="E89" s="37" t="str">
        <f aca="false">IF($C89="","",IFERROR(INDEX('Check giá'!$D$4:$D$203,MATCH($C89,'Check giá'!$A$4:$A$203,0)),""))</f>
        <v/>
      </c>
      <c r="F89" s="37" t="str">
        <f aca="false">IF($C89="","",IFERROR(INDEX('Check giá'!$E$4:$E$203,MATCH($C89,'Check giá'!$A$4:$A$203,0)),""))</f>
        <v/>
      </c>
      <c r="G89" s="37" t="str">
        <f aca="false">IF($C89="","",IFERROR(INDEX('Check giá'!$F$4:$F$203,MATCH($C89,'Check giá'!$A$4:$A$203,0)),""))</f>
        <v/>
      </c>
      <c r="H89" s="37" t="str">
        <f aca="false">IF($C89="","",IFERROR(INDEX('Check giá'!$G$4:$G$203,MATCH($C89,'Check giá'!$A$4:$A$203,0)),""))</f>
        <v/>
      </c>
      <c r="I89" s="38" t="str">
        <f aca="false">IF($C89="","",IFERROR(INDEX('Check giá'!$Q$4:$Q$203,MATCH($C89,'Check giá'!$A$4:$A$203,0)),""))</f>
        <v/>
      </c>
      <c r="J89" s="34"/>
      <c r="K89" s="34"/>
      <c r="L89" s="38" t="str">
        <f aca="false">IF($A89="","",$J89*$K89)</f>
        <v/>
      </c>
      <c r="M89" s="33"/>
      <c r="N89" s="32"/>
      <c r="O89" s="32"/>
      <c r="P89" s="33"/>
      <c r="Q89" s="32"/>
    </row>
    <row r="90" customFormat="false" ht="15" hidden="false" customHeight="false" outlineLevel="0" collapsed="false">
      <c r="A90" s="32"/>
      <c r="B90" s="33"/>
      <c r="C90" s="32"/>
      <c r="D90" s="37" t="str">
        <f aca="false">IF($C90="","",IFERROR(INDEX('Check giá'!$C$4:$C$203,MATCH($C90,'Check giá'!$A$4:$A$203,0)),""))</f>
        <v/>
      </c>
      <c r="E90" s="37" t="str">
        <f aca="false">IF($C90="","",IFERROR(INDEX('Check giá'!$D$4:$D$203,MATCH($C90,'Check giá'!$A$4:$A$203,0)),""))</f>
        <v/>
      </c>
      <c r="F90" s="37" t="str">
        <f aca="false">IF($C90="","",IFERROR(INDEX('Check giá'!$E$4:$E$203,MATCH($C90,'Check giá'!$A$4:$A$203,0)),""))</f>
        <v/>
      </c>
      <c r="G90" s="37" t="str">
        <f aca="false">IF($C90="","",IFERROR(INDEX('Check giá'!$F$4:$F$203,MATCH($C90,'Check giá'!$A$4:$A$203,0)),""))</f>
        <v/>
      </c>
      <c r="H90" s="37" t="str">
        <f aca="false">IF($C90="","",IFERROR(INDEX('Check giá'!$G$4:$G$203,MATCH($C90,'Check giá'!$A$4:$A$203,0)),""))</f>
        <v/>
      </c>
      <c r="I90" s="38" t="str">
        <f aca="false">IF($C90="","",IFERROR(INDEX('Check giá'!$Q$4:$Q$203,MATCH($C90,'Check giá'!$A$4:$A$203,0)),""))</f>
        <v/>
      </c>
      <c r="J90" s="34"/>
      <c r="K90" s="34"/>
      <c r="L90" s="38" t="str">
        <f aca="false">IF($A90="","",$J90*$K90)</f>
        <v/>
      </c>
      <c r="M90" s="33"/>
      <c r="N90" s="32"/>
      <c r="O90" s="32"/>
      <c r="P90" s="33"/>
      <c r="Q90" s="32"/>
    </row>
    <row r="91" customFormat="false" ht="15" hidden="false" customHeight="false" outlineLevel="0" collapsed="false">
      <c r="A91" s="32"/>
      <c r="B91" s="33"/>
      <c r="C91" s="32"/>
      <c r="D91" s="37" t="str">
        <f aca="false">IF($C91="","",IFERROR(INDEX('Check giá'!$C$4:$C$203,MATCH($C91,'Check giá'!$A$4:$A$203,0)),""))</f>
        <v/>
      </c>
      <c r="E91" s="37" t="str">
        <f aca="false">IF($C91="","",IFERROR(INDEX('Check giá'!$D$4:$D$203,MATCH($C91,'Check giá'!$A$4:$A$203,0)),""))</f>
        <v/>
      </c>
      <c r="F91" s="37" t="str">
        <f aca="false">IF($C91="","",IFERROR(INDEX('Check giá'!$E$4:$E$203,MATCH($C91,'Check giá'!$A$4:$A$203,0)),""))</f>
        <v/>
      </c>
      <c r="G91" s="37" t="str">
        <f aca="false">IF($C91="","",IFERROR(INDEX('Check giá'!$F$4:$F$203,MATCH($C91,'Check giá'!$A$4:$A$203,0)),""))</f>
        <v/>
      </c>
      <c r="H91" s="37" t="str">
        <f aca="false">IF($C91="","",IFERROR(INDEX('Check giá'!$G$4:$G$203,MATCH($C91,'Check giá'!$A$4:$A$203,0)),""))</f>
        <v/>
      </c>
      <c r="I91" s="38" t="str">
        <f aca="false">IF($C91="","",IFERROR(INDEX('Check giá'!$Q$4:$Q$203,MATCH($C91,'Check giá'!$A$4:$A$203,0)),""))</f>
        <v/>
      </c>
      <c r="J91" s="34"/>
      <c r="K91" s="34"/>
      <c r="L91" s="38" t="str">
        <f aca="false">IF($A91="","",$J91*$K91)</f>
        <v/>
      </c>
      <c r="M91" s="33"/>
      <c r="N91" s="32"/>
      <c r="O91" s="32"/>
      <c r="P91" s="33"/>
      <c r="Q91" s="32"/>
    </row>
    <row r="92" customFormat="false" ht="15" hidden="false" customHeight="false" outlineLevel="0" collapsed="false">
      <c r="A92" s="32"/>
      <c r="B92" s="33"/>
      <c r="C92" s="32"/>
      <c r="D92" s="37" t="str">
        <f aca="false">IF($C92="","",IFERROR(INDEX('Check giá'!$C$4:$C$203,MATCH($C92,'Check giá'!$A$4:$A$203,0)),""))</f>
        <v/>
      </c>
      <c r="E92" s="37" t="str">
        <f aca="false">IF($C92="","",IFERROR(INDEX('Check giá'!$D$4:$D$203,MATCH($C92,'Check giá'!$A$4:$A$203,0)),""))</f>
        <v/>
      </c>
      <c r="F92" s="37" t="str">
        <f aca="false">IF($C92="","",IFERROR(INDEX('Check giá'!$E$4:$E$203,MATCH($C92,'Check giá'!$A$4:$A$203,0)),""))</f>
        <v/>
      </c>
      <c r="G92" s="37" t="str">
        <f aca="false">IF($C92="","",IFERROR(INDEX('Check giá'!$F$4:$F$203,MATCH($C92,'Check giá'!$A$4:$A$203,0)),""))</f>
        <v/>
      </c>
      <c r="H92" s="37" t="str">
        <f aca="false">IF($C92="","",IFERROR(INDEX('Check giá'!$G$4:$G$203,MATCH($C92,'Check giá'!$A$4:$A$203,0)),""))</f>
        <v/>
      </c>
      <c r="I92" s="38" t="str">
        <f aca="false">IF($C92="","",IFERROR(INDEX('Check giá'!$Q$4:$Q$203,MATCH($C92,'Check giá'!$A$4:$A$203,0)),""))</f>
        <v/>
      </c>
      <c r="J92" s="34"/>
      <c r="K92" s="34"/>
      <c r="L92" s="38" t="str">
        <f aca="false">IF($A92="","",$J92*$K92)</f>
        <v/>
      </c>
      <c r="M92" s="33"/>
      <c r="N92" s="32"/>
      <c r="O92" s="32"/>
      <c r="P92" s="33"/>
      <c r="Q92" s="32"/>
    </row>
    <row r="93" customFormat="false" ht="15" hidden="false" customHeight="false" outlineLevel="0" collapsed="false">
      <c r="A93" s="32"/>
      <c r="B93" s="33"/>
      <c r="C93" s="32"/>
      <c r="D93" s="37" t="str">
        <f aca="false">IF($C93="","",IFERROR(INDEX('Check giá'!$C$4:$C$203,MATCH($C93,'Check giá'!$A$4:$A$203,0)),""))</f>
        <v/>
      </c>
      <c r="E93" s="37" t="str">
        <f aca="false">IF($C93="","",IFERROR(INDEX('Check giá'!$D$4:$D$203,MATCH($C93,'Check giá'!$A$4:$A$203,0)),""))</f>
        <v/>
      </c>
      <c r="F93" s="37" t="str">
        <f aca="false">IF($C93="","",IFERROR(INDEX('Check giá'!$E$4:$E$203,MATCH($C93,'Check giá'!$A$4:$A$203,0)),""))</f>
        <v/>
      </c>
      <c r="G93" s="37" t="str">
        <f aca="false">IF($C93="","",IFERROR(INDEX('Check giá'!$F$4:$F$203,MATCH($C93,'Check giá'!$A$4:$A$203,0)),""))</f>
        <v/>
      </c>
      <c r="H93" s="37" t="str">
        <f aca="false">IF($C93="","",IFERROR(INDEX('Check giá'!$G$4:$G$203,MATCH($C93,'Check giá'!$A$4:$A$203,0)),""))</f>
        <v/>
      </c>
      <c r="I93" s="38" t="str">
        <f aca="false">IF($C93="","",IFERROR(INDEX('Check giá'!$Q$4:$Q$203,MATCH($C93,'Check giá'!$A$4:$A$203,0)),""))</f>
        <v/>
      </c>
      <c r="J93" s="34"/>
      <c r="K93" s="34"/>
      <c r="L93" s="38" t="str">
        <f aca="false">IF($A93="","",$J93*$K93)</f>
        <v/>
      </c>
      <c r="M93" s="33"/>
      <c r="N93" s="32"/>
      <c r="O93" s="32"/>
      <c r="P93" s="33"/>
      <c r="Q93" s="32"/>
    </row>
    <row r="94" customFormat="false" ht="15" hidden="false" customHeight="false" outlineLevel="0" collapsed="false">
      <c r="A94" s="32"/>
      <c r="B94" s="33"/>
      <c r="C94" s="32"/>
      <c r="D94" s="37" t="str">
        <f aca="false">IF($C94="","",IFERROR(INDEX('Check giá'!$C$4:$C$203,MATCH($C94,'Check giá'!$A$4:$A$203,0)),""))</f>
        <v/>
      </c>
      <c r="E94" s="37" t="str">
        <f aca="false">IF($C94="","",IFERROR(INDEX('Check giá'!$D$4:$D$203,MATCH($C94,'Check giá'!$A$4:$A$203,0)),""))</f>
        <v/>
      </c>
      <c r="F94" s="37" t="str">
        <f aca="false">IF($C94="","",IFERROR(INDEX('Check giá'!$E$4:$E$203,MATCH($C94,'Check giá'!$A$4:$A$203,0)),""))</f>
        <v/>
      </c>
      <c r="G94" s="37" t="str">
        <f aca="false">IF($C94="","",IFERROR(INDEX('Check giá'!$F$4:$F$203,MATCH($C94,'Check giá'!$A$4:$A$203,0)),""))</f>
        <v/>
      </c>
      <c r="H94" s="37" t="str">
        <f aca="false">IF($C94="","",IFERROR(INDEX('Check giá'!$G$4:$G$203,MATCH($C94,'Check giá'!$A$4:$A$203,0)),""))</f>
        <v/>
      </c>
      <c r="I94" s="38" t="str">
        <f aca="false">IF($C94="","",IFERROR(INDEX('Check giá'!$Q$4:$Q$203,MATCH($C94,'Check giá'!$A$4:$A$203,0)),""))</f>
        <v/>
      </c>
      <c r="J94" s="34"/>
      <c r="K94" s="34"/>
      <c r="L94" s="38" t="str">
        <f aca="false">IF($A94="","",$J94*$K94)</f>
        <v/>
      </c>
      <c r="M94" s="33"/>
      <c r="N94" s="32"/>
      <c r="O94" s="32"/>
      <c r="P94" s="33"/>
      <c r="Q94" s="32"/>
    </row>
    <row r="95" customFormat="false" ht="15" hidden="false" customHeight="false" outlineLevel="0" collapsed="false">
      <c r="A95" s="32"/>
      <c r="B95" s="33"/>
      <c r="C95" s="32"/>
      <c r="D95" s="37" t="str">
        <f aca="false">IF($C95="","",IFERROR(INDEX('Check giá'!$C$4:$C$203,MATCH($C95,'Check giá'!$A$4:$A$203,0)),""))</f>
        <v/>
      </c>
      <c r="E95" s="37" t="str">
        <f aca="false">IF($C95="","",IFERROR(INDEX('Check giá'!$D$4:$D$203,MATCH($C95,'Check giá'!$A$4:$A$203,0)),""))</f>
        <v/>
      </c>
      <c r="F95" s="37" t="str">
        <f aca="false">IF($C95="","",IFERROR(INDEX('Check giá'!$E$4:$E$203,MATCH($C95,'Check giá'!$A$4:$A$203,0)),""))</f>
        <v/>
      </c>
      <c r="G95" s="37" t="str">
        <f aca="false">IF($C95="","",IFERROR(INDEX('Check giá'!$F$4:$F$203,MATCH($C95,'Check giá'!$A$4:$A$203,0)),""))</f>
        <v/>
      </c>
      <c r="H95" s="37" t="str">
        <f aca="false">IF($C95="","",IFERROR(INDEX('Check giá'!$G$4:$G$203,MATCH($C95,'Check giá'!$A$4:$A$203,0)),""))</f>
        <v/>
      </c>
      <c r="I95" s="38" t="str">
        <f aca="false">IF($C95="","",IFERROR(INDEX('Check giá'!$Q$4:$Q$203,MATCH($C95,'Check giá'!$A$4:$A$203,0)),""))</f>
        <v/>
      </c>
      <c r="J95" s="34"/>
      <c r="K95" s="34"/>
      <c r="L95" s="38" t="str">
        <f aca="false">IF($A95="","",$J95*$K95)</f>
        <v/>
      </c>
      <c r="M95" s="33"/>
      <c r="N95" s="32"/>
      <c r="O95" s="32"/>
      <c r="P95" s="33"/>
      <c r="Q95" s="32"/>
    </row>
    <row r="96" customFormat="false" ht="15" hidden="false" customHeight="false" outlineLevel="0" collapsed="false">
      <c r="A96" s="32"/>
      <c r="B96" s="33"/>
      <c r="C96" s="32"/>
      <c r="D96" s="37" t="str">
        <f aca="false">IF($C96="","",IFERROR(INDEX('Check giá'!$C$4:$C$203,MATCH($C96,'Check giá'!$A$4:$A$203,0)),""))</f>
        <v/>
      </c>
      <c r="E96" s="37" t="str">
        <f aca="false">IF($C96="","",IFERROR(INDEX('Check giá'!$D$4:$D$203,MATCH($C96,'Check giá'!$A$4:$A$203,0)),""))</f>
        <v/>
      </c>
      <c r="F96" s="37" t="str">
        <f aca="false">IF($C96="","",IFERROR(INDEX('Check giá'!$E$4:$E$203,MATCH($C96,'Check giá'!$A$4:$A$203,0)),""))</f>
        <v/>
      </c>
      <c r="G96" s="37" t="str">
        <f aca="false">IF($C96="","",IFERROR(INDEX('Check giá'!$F$4:$F$203,MATCH($C96,'Check giá'!$A$4:$A$203,0)),""))</f>
        <v/>
      </c>
      <c r="H96" s="37" t="str">
        <f aca="false">IF($C96="","",IFERROR(INDEX('Check giá'!$G$4:$G$203,MATCH($C96,'Check giá'!$A$4:$A$203,0)),""))</f>
        <v/>
      </c>
      <c r="I96" s="38" t="str">
        <f aca="false">IF($C96="","",IFERROR(INDEX('Check giá'!$Q$4:$Q$203,MATCH($C96,'Check giá'!$A$4:$A$203,0)),""))</f>
        <v/>
      </c>
      <c r="J96" s="34"/>
      <c r="K96" s="34"/>
      <c r="L96" s="38" t="str">
        <f aca="false">IF($A96="","",$J96*$K96)</f>
        <v/>
      </c>
      <c r="M96" s="33"/>
      <c r="N96" s="32"/>
      <c r="O96" s="32"/>
      <c r="P96" s="33"/>
      <c r="Q96" s="32"/>
    </row>
    <row r="97" customFormat="false" ht="15" hidden="false" customHeight="false" outlineLevel="0" collapsed="false">
      <c r="A97" s="32"/>
      <c r="B97" s="33"/>
      <c r="C97" s="32"/>
      <c r="D97" s="37" t="str">
        <f aca="false">IF($C97="","",IFERROR(INDEX('Check giá'!$C$4:$C$203,MATCH($C97,'Check giá'!$A$4:$A$203,0)),""))</f>
        <v/>
      </c>
      <c r="E97" s="37" t="str">
        <f aca="false">IF($C97="","",IFERROR(INDEX('Check giá'!$D$4:$D$203,MATCH($C97,'Check giá'!$A$4:$A$203,0)),""))</f>
        <v/>
      </c>
      <c r="F97" s="37" t="str">
        <f aca="false">IF($C97="","",IFERROR(INDEX('Check giá'!$E$4:$E$203,MATCH($C97,'Check giá'!$A$4:$A$203,0)),""))</f>
        <v/>
      </c>
      <c r="G97" s="37" t="str">
        <f aca="false">IF($C97="","",IFERROR(INDEX('Check giá'!$F$4:$F$203,MATCH($C97,'Check giá'!$A$4:$A$203,0)),""))</f>
        <v/>
      </c>
      <c r="H97" s="37" t="str">
        <f aca="false">IF($C97="","",IFERROR(INDEX('Check giá'!$G$4:$G$203,MATCH($C97,'Check giá'!$A$4:$A$203,0)),""))</f>
        <v/>
      </c>
      <c r="I97" s="38" t="str">
        <f aca="false">IF($C97="","",IFERROR(INDEX('Check giá'!$Q$4:$Q$203,MATCH($C97,'Check giá'!$A$4:$A$203,0)),""))</f>
        <v/>
      </c>
      <c r="J97" s="34"/>
      <c r="K97" s="34"/>
      <c r="L97" s="38" t="str">
        <f aca="false">IF($A97="","",$J97*$K97)</f>
        <v/>
      </c>
      <c r="M97" s="33"/>
      <c r="N97" s="32"/>
      <c r="O97" s="32"/>
      <c r="P97" s="33"/>
      <c r="Q97" s="32"/>
    </row>
    <row r="98" customFormat="false" ht="15" hidden="false" customHeight="false" outlineLevel="0" collapsed="false">
      <c r="A98" s="32"/>
      <c r="B98" s="33"/>
      <c r="C98" s="32"/>
      <c r="D98" s="37" t="str">
        <f aca="false">IF($C98="","",IFERROR(INDEX('Check giá'!$C$4:$C$203,MATCH($C98,'Check giá'!$A$4:$A$203,0)),""))</f>
        <v/>
      </c>
      <c r="E98" s="37" t="str">
        <f aca="false">IF($C98="","",IFERROR(INDEX('Check giá'!$D$4:$D$203,MATCH($C98,'Check giá'!$A$4:$A$203,0)),""))</f>
        <v/>
      </c>
      <c r="F98" s="37" t="str">
        <f aca="false">IF($C98="","",IFERROR(INDEX('Check giá'!$E$4:$E$203,MATCH($C98,'Check giá'!$A$4:$A$203,0)),""))</f>
        <v/>
      </c>
      <c r="G98" s="37" t="str">
        <f aca="false">IF($C98="","",IFERROR(INDEX('Check giá'!$F$4:$F$203,MATCH($C98,'Check giá'!$A$4:$A$203,0)),""))</f>
        <v/>
      </c>
      <c r="H98" s="37" t="str">
        <f aca="false">IF($C98="","",IFERROR(INDEX('Check giá'!$G$4:$G$203,MATCH($C98,'Check giá'!$A$4:$A$203,0)),""))</f>
        <v/>
      </c>
      <c r="I98" s="38" t="str">
        <f aca="false">IF($C98="","",IFERROR(INDEX('Check giá'!$Q$4:$Q$203,MATCH($C98,'Check giá'!$A$4:$A$203,0)),""))</f>
        <v/>
      </c>
      <c r="J98" s="34"/>
      <c r="K98" s="34"/>
      <c r="L98" s="38" t="str">
        <f aca="false">IF($A98="","",$J98*$K98)</f>
        <v/>
      </c>
      <c r="M98" s="33"/>
      <c r="N98" s="32"/>
      <c r="O98" s="32"/>
      <c r="P98" s="33"/>
      <c r="Q98" s="32"/>
    </row>
    <row r="99" customFormat="false" ht="15" hidden="false" customHeight="false" outlineLevel="0" collapsed="false">
      <c r="A99" s="32"/>
      <c r="B99" s="33"/>
      <c r="C99" s="32"/>
      <c r="D99" s="37" t="str">
        <f aca="false">IF($C99="","",IFERROR(INDEX('Check giá'!$C$4:$C$203,MATCH($C99,'Check giá'!$A$4:$A$203,0)),""))</f>
        <v/>
      </c>
      <c r="E99" s="37" t="str">
        <f aca="false">IF($C99="","",IFERROR(INDEX('Check giá'!$D$4:$D$203,MATCH($C99,'Check giá'!$A$4:$A$203,0)),""))</f>
        <v/>
      </c>
      <c r="F99" s="37" t="str">
        <f aca="false">IF($C99="","",IFERROR(INDEX('Check giá'!$E$4:$E$203,MATCH($C99,'Check giá'!$A$4:$A$203,0)),""))</f>
        <v/>
      </c>
      <c r="G99" s="37" t="str">
        <f aca="false">IF($C99="","",IFERROR(INDEX('Check giá'!$F$4:$F$203,MATCH($C99,'Check giá'!$A$4:$A$203,0)),""))</f>
        <v/>
      </c>
      <c r="H99" s="37" t="str">
        <f aca="false">IF($C99="","",IFERROR(INDEX('Check giá'!$G$4:$G$203,MATCH($C99,'Check giá'!$A$4:$A$203,0)),""))</f>
        <v/>
      </c>
      <c r="I99" s="38" t="str">
        <f aca="false">IF($C99="","",IFERROR(INDEX('Check giá'!$Q$4:$Q$203,MATCH($C99,'Check giá'!$A$4:$A$203,0)),""))</f>
        <v/>
      </c>
      <c r="J99" s="34"/>
      <c r="K99" s="34"/>
      <c r="L99" s="38" t="str">
        <f aca="false">IF($A99="","",$J99*$K99)</f>
        <v/>
      </c>
      <c r="M99" s="33"/>
      <c r="N99" s="32"/>
      <c r="O99" s="32"/>
      <c r="P99" s="33"/>
      <c r="Q99" s="32"/>
    </row>
    <row r="100" customFormat="false" ht="15" hidden="false" customHeight="false" outlineLevel="0" collapsed="false">
      <c r="A100" s="32"/>
      <c r="B100" s="33"/>
      <c r="C100" s="32"/>
      <c r="D100" s="37" t="str">
        <f aca="false">IF($C100="","",IFERROR(INDEX('Check giá'!$C$4:$C$203,MATCH($C100,'Check giá'!$A$4:$A$203,0)),""))</f>
        <v/>
      </c>
      <c r="E100" s="37" t="str">
        <f aca="false">IF($C100="","",IFERROR(INDEX('Check giá'!$D$4:$D$203,MATCH($C100,'Check giá'!$A$4:$A$203,0)),""))</f>
        <v/>
      </c>
      <c r="F100" s="37" t="str">
        <f aca="false">IF($C100="","",IFERROR(INDEX('Check giá'!$E$4:$E$203,MATCH($C100,'Check giá'!$A$4:$A$203,0)),""))</f>
        <v/>
      </c>
      <c r="G100" s="37" t="str">
        <f aca="false">IF($C100="","",IFERROR(INDEX('Check giá'!$F$4:$F$203,MATCH($C100,'Check giá'!$A$4:$A$203,0)),""))</f>
        <v/>
      </c>
      <c r="H100" s="37" t="str">
        <f aca="false">IF($C100="","",IFERROR(INDEX('Check giá'!$G$4:$G$203,MATCH($C100,'Check giá'!$A$4:$A$203,0)),""))</f>
        <v/>
      </c>
      <c r="I100" s="38" t="str">
        <f aca="false">IF($C100="","",IFERROR(INDEX('Check giá'!$Q$4:$Q$203,MATCH($C100,'Check giá'!$A$4:$A$203,0)),""))</f>
        <v/>
      </c>
      <c r="J100" s="34"/>
      <c r="K100" s="34"/>
      <c r="L100" s="38" t="str">
        <f aca="false">IF($A100="","",$J100*$K100)</f>
        <v/>
      </c>
      <c r="M100" s="33"/>
      <c r="N100" s="32"/>
      <c r="O100" s="32"/>
      <c r="P100" s="33"/>
      <c r="Q100" s="32"/>
    </row>
    <row r="101" customFormat="false" ht="15" hidden="false" customHeight="false" outlineLevel="0" collapsed="false">
      <c r="A101" s="32"/>
      <c r="B101" s="33"/>
      <c r="C101" s="32"/>
      <c r="D101" s="37" t="str">
        <f aca="false">IF($C101="","",IFERROR(INDEX('Check giá'!$C$4:$C$203,MATCH($C101,'Check giá'!$A$4:$A$203,0)),""))</f>
        <v/>
      </c>
      <c r="E101" s="37" t="str">
        <f aca="false">IF($C101="","",IFERROR(INDEX('Check giá'!$D$4:$D$203,MATCH($C101,'Check giá'!$A$4:$A$203,0)),""))</f>
        <v/>
      </c>
      <c r="F101" s="37" t="str">
        <f aca="false">IF($C101="","",IFERROR(INDEX('Check giá'!$E$4:$E$203,MATCH($C101,'Check giá'!$A$4:$A$203,0)),""))</f>
        <v/>
      </c>
      <c r="G101" s="37" t="str">
        <f aca="false">IF($C101="","",IFERROR(INDEX('Check giá'!$F$4:$F$203,MATCH($C101,'Check giá'!$A$4:$A$203,0)),""))</f>
        <v/>
      </c>
      <c r="H101" s="37" t="str">
        <f aca="false">IF($C101="","",IFERROR(INDEX('Check giá'!$G$4:$G$203,MATCH($C101,'Check giá'!$A$4:$A$203,0)),""))</f>
        <v/>
      </c>
      <c r="I101" s="38" t="str">
        <f aca="false">IF($C101="","",IFERROR(INDEX('Check giá'!$Q$4:$Q$203,MATCH($C101,'Check giá'!$A$4:$A$203,0)),""))</f>
        <v/>
      </c>
      <c r="J101" s="34"/>
      <c r="K101" s="34"/>
      <c r="L101" s="38" t="str">
        <f aca="false">IF($A101="","",$J101*$K101)</f>
        <v/>
      </c>
      <c r="M101" s="33"/>
      <c r="N101" s="32"/>
      <c r="O101" s="32"/>
      <c r="P101" s="33"/>
      <c r="Q101" s="32"/>
    </row>
    <row r="102" customFormat="false" ht="15" hidden="false" customHeight="false" outlineLevel="0" collapsed="false">
      <c r="A102" s="32"/>
      <c r="B102" s="33"/>
      <c r="C102" s="32"/>
      <c r="D102" s="37" t="str">
        <f aca="false">IF($C102="","",IFERROR(INDEX('Check giá'!$C$4:$C$203,MATCH($C102,'Check giá'!$A$4:$A$203,0)),""))</f>
        <v/>
      </c>
      <c r="E102" s="37" t="str">
        <f aca="false">IF($C102="","",IFERROR(INDEX('Check giá'!$D$4:$D$203,MATCH($C102,'Check giá'!$A$4:$A$203,0)),""))</f>
        <v/>
      </c>
      <c r="F102" s="37" t="str">
        <f aca="false">IF($C102="","",IFERROR(INDEX('Check giá'!$E$4:$E$203,MATCH($C102,'Check giá'!$A$4:$A$203,0)),""))</f>
        <v/>
      </c>
      <c r="G102" s="37" t="str">
        <f aca="false">IF($C102="","",IFERROR(INDEX('Check giá'!$F$4:$F$203,MATCH($C102,'Check giá'!$A$4:$A$203,0)),""))</f>
        <v/>
      </c>
      <c r="H102" s="37" t="str">
        <f aca="false">IF($C102="","",IFERROR(INDEX('Check giá'!$G$4:$G$203,MATCH($C102,'Check giá'!$A$4:$A$203,0)),""))</f>
        <v/>
      </c>
      <c r="I102" s="38" t="str">
        <f aca="false">IF($C102="","",IFERROR(INDEX('Check giá'!$Q$4:$Q$203,MATCH($C102,'Check giá'!$A$4:$A$203,0)),""))</f>
        <v/>
      </c>
      <c r="J102" s="34"/>
      <c r="K102" s="34"/>
      <c r="L102" s="38" t="str">
        <f aca="false">IF($A102="","",$J102*$K102)</f>
        <v/>
      </c>
      <c r="M102" s="33"/>
      <c r="N102" s="32"/>
      <c r="O102" s="32"/>
      <c r="P102" s="33"/>
      <c r="Q102" s="32"/>
    </row>
    <row r="103" customFormat="false" ht="15" hidden="false" customHeight="false" outlineLevel="0" collapsed="false">
      <c r="A103" s="32"/>
      <c r="B103" s="33"/>
      <c r="C103" s="32"/>
      <c r="D103" s="37" t="str">
        <f aca="false">IF($C103="","",IFERROR(INDEX('Check giá'!$C$4:$C$203,MATCH($C103,'Check giá'!$A$4:$A$203,0)),""))</f>
        <v/>
      </c>
      <c r="E103" s="37" t="str">
        <f aca="false">IF($C103="","",IFERROR(INDEX('Check giá'!$D$4:$D$203,MATCH($C103,'Check giá'!$A$4:$A$203,0)),""))</f>
        <v/>
      </c>
      <c r="F103" s="37" t="str">
        <f aca="false">IF($C103="","",IFERROR(INDEX('Check giá'!$E$4:$E$203,MATCH($C103,'Check giá'!$A$4:$A$203,0)),""))</f>
        <v/>
      </c>
      <c r="G103" s="37" t="str">
        <f aca="false">IF($C103="","",IFERROR(INDEX('Check giá'!$F$4:$F$203,MATCH($C103,'Check giá'!$A$4:$A$203,0)),""))</f>
        <v/>
      </c>
      <c r="H103" s="37" t="str">
        <f aca="false">IF($C103="","",IFERROR(INDEX('Check giá'!$G$4:$G$203,MATCH($C103,'Check giá'!$A$4:$A$203,0)),""))</f>
        <v/>
      </c>
      <c r="I103" s="38" t="str">
        <f aca="false">IF($C103="","",IFERROR(INDEX('Check giá'!$Q$4:$Q$203,MATCH($C103,'Check giá'!$A$4:$A$203,0)),""))</f>
        <v/>
      </c>
      <c r="J103" s="34"/>
      <c r="K103" s="34"/>
      <c r="L103" s="38" t="str">
        <f aca="false">IF($A103="","",$J103*$K103)</f>
        <v/>
      </c>
      <c r="M103" s="33"/>
      <c r="N103" s="32"/>
      <c r="O103" s="32"/>
      <c r="P103" s="33"/>
      <c r="Q103" s="32"/>
    </row>
    <row r="104" customFormat="false" ht="15" hidden="false" customHeight="false" outlineLevel="0" collapsed="false">
      <c r="A104" s="32"/>
      <c r="B104" s="33"/>
      <c r="C104" s="32"/>
      <c r="D104" s="37" t="str">
        <f aca="false">IF($C104="","",IFERROR(INDEX('Check giá'!$C$4:$C$203,MATCH($C104,'Check giá'!$A$4:$A$203,0)),""))</f>
        <v/>
      </c>
      <c r="E104" s="37" t="str">
        <f aca="false">IF($C104="","",IFERROR(INDEX('Check giá'!$D$4:$D$203,MATCH($C104,'Check giá'!$A$4:$A$203,0)),""))</f>
        <v/>
      </c>
      <c r="F104" s="37" t="str">
        <f aca="false">IF($C104="","",IFERROR(INDEX('Check giá'!$E$4:$E$203,MATCH($C104,'Check giá'!$A$4:$A$203,0)),""))</f>
        <v/>
      </c>
      <c r="G104" s="37" t="str">
        <f aca="false">IF($C104="","",IFERROR(INDEX('Check giá'!$F$4:$F$203,MATCH($C104,'Check giá'!$A$4:$A$203,0)),""))</f>
        <v/>
      </c>
      <c r="H104" s="37" t="str">
        <f aca="false">IF($C104="","",IFERROR(INDEX('Check giá'!$G$4:$G$203,MATCH($C104,'Check giá'!$A$4:$A$203,0)),""))</f>
        <v/>
      </c>
      <c r="I104" s="38" t="str">
        <f aca="false">IF($C104="","",IFERROR(INDEX('Check giá'!$Q$4:$Q$203,MATCH($C104,'Check giá'!$A$4:$A$203,0)),""))</f>
        <v/>
      </c>
      <c r="J104" s="34"/>
      <c r="K104" s="34"/>
      <c r="L104" s="38" t="str">
        <f aca="false">IF($A104="","",$J104*$K104)</f>
        <v/>
      </c>
      <c r="M104" s="33"/>
      <c r="N104" s="32"/>
      <c r="O104" s="32"/>
      <c r="P104" s="33"/>
      <c r="Q104" s="32"/>
    </row>
    <row r="105" customFormat="false" ht="15" hidden="false" customHeight="false" outlineLevel="0" collapsed="false">
      <c r="A105" s="32"/>
      <c r="B105" s="33"/>
      <c r="C105" s="32"/>
      <c r="D105" s="37" t="str">
        <f aca="false">IF($C105="","",IFERROR(INDEX('Check giá'!$C$4:$C$203,MATCH($C105,'Check giá'!$A$4:$A$203,0)),""))</f>
        <v/>
      </c>
      <c r="E105" s="37" t="str">
        <f aca="false">IF($C105="","",IFERROR(INDEX('Check giá'!$D$4:$D$203,MATCH($C105,'Check giá'!$A$4:$A$203,0)),""))</f>
        <v/>
      </c>
      <c r="F105" s="37" t="str">
        <f aca="false">IF($C105="","",IFERROR(INDEX('Check giá'!$E$4:$E$203,MATCH($C105,'Check giá'!$A$4:$A$203,0)),""))</f>
        <v/>
      </c>
      <c r="G105" s="37" t="str">
        <f aca="false">IF($C105="","",IFERROR(INDEX('Check giá'!$F$4:$F$203,MATCH($C105,'Check giá'!$A$4:$A$203,0)),""))</f>
        <v/>
      </c>
      <c r="H105" s="37" t="str">
        <f aca="false">IF($C105="","",IFERROR(INDEX('Check giá'!$G$4:$G$203,MATCH($C105,'Check giá'!$A$4:$A$203,0)),""))</f>
        <v/>
      </c>
      <c r="I105" s="38" t="str">
        <f aca="false">IF($C105="","",IFERROR(INDEX('Check giá'!$Q$4:$Q$203,MATCH($C105,'Check giá'!$A$4:$A$203,0)),""))</f>
        <v/>
      </c>
      <c r="J105" s="34"/>
      <c r="K105" s="34"/>
      <c r="L105" s="38" t="str">
        <f aca="false">IF($A105="","",$J105*$K105)</f>
        <v/>
      </c>
      <c r="M105" s="33"/>
      <c r="N105" s="32"/>
      <c r="O105" s="32"/>
      <c r="P105" s="33"/>
      <c r="Q105" s="32"/>
    </row>
    <row r="106" customFormat="false" ht="15" hidden="false" customHeight="false" outlineLevel="0" collapsed="false">
      <c r="A106" s="32"/>
      <c r="B106" s="33"/>
      <c r="C106" s="32"/>
      <c r="D106" s="37" t="str">
        <f aca="false">IF($C106="","",IFERROR(INDEX('Check giá'!$C$4:$C$203,MATCH($C106,'Check giá'!$A$4:$A$203,0)),""))</f>
        <v/>
      </c>
      <c r="E106" s="37" t="str">
        <f aca="false">IF($C106="","",IFERROR(INDEX('Check giá'!$D$4:$D$203,MATCH($C106,'Check giá'!$A$4:$A$203,0)),""))</f>
        <v/>
      </c>
      <c r="F106" s="37" t="str">
        <f aca="false">IF($C106="","",IFERROR(INDEX('Check giá'!$E$4:$E$203,MATCH($C106,'Check giá'!$A$4:$A$203,0)),""))</f>
        <v/>
      </c>
      <c r="G106" s="37" t="str">
        <f aca="false">IF($C106="","",IFERROR(INDEX('Check giá'!$F$4:$F$203,MATCH($C106,'Check giá'!$A$4:$A$203,0)),""))</f>
        <v/>
      </c>
      <c r="H106" s="37" t="str">
        <f aca="false">IF($C106="","",IFERROR(INDEX('Check giá'!$G$4:$G$203,MATCH($C106,'Check giá'!$A$4:$A$203,0)),""))</f>
        <v/>
      </c>
      <c r="I106" s="38" t="str">
        <f aca="false">IF($C106="","",IFERROR(INDEX('Check giá'!$Q$4:$Q$203,MATCH($C106,'Check giá'!$A$4:$A$203,0)),""))</f>
        <v/>
      </c>
      <c r="J106" s="34"/>
      <c r="K106" s="34"/>
      <c r="L106" s="38" t="str">
        <f aca="false">IF($A106="","",$J106*$K106)</f>
        <v/>
      </c>
      <c r="M106" s="33"/>
      <c r="N106" s="32"/>
      <c r="O106" s="32"/>
      <c r="P106" s="33"/>
      <c r="Q106" s="32"/>
    </row>
    <row r="107" customFormat="false" ht="15" hidden="false" customHeight="false" outlineLevel="0" collapsed="false">
      <c r="A107" s="32"/>
      <c r="B107" s="33"/>
      <c r="C107" s="32"/>
      <c r="D107" s="37" t="str">
        <f aca="false">IF($C107="","",IFERROR(INDEX('Check giá'!$C$4:$C$203,MATCH($C107,'Check giá'!$A$4:$A$203,0)),""))</f>
        <v/>
      </c>
      <c r="E107" s="37" t="str">
        <f aca="false">IF($C107="","",IFERROR(INDEX('Check giá'!$D$4:$D$203,MATCH($C107,'Check giá'!$A$4:$A$203,0)),""))</f>
        <v/>
      </c>
      <c r="F107" s="37" t="str">
        <f aca="false">IF($C107="","",IFERROR(INDEX('Check giá'!$E$4:$E$203,MATCH($C107,'Check giá'!$A$4:$A$203,0)),""))</f>
        <v/>
      </c>
      <c r="G107" s="37" t="str">
        <f aca="false">IF($C107="","",IFERROR(INDEX('Check giá'!$F$4:$F$203,MATCH($C107,'Check giá'!$A$4:$A$203,0)),""))</f>
        <v/>
      </c>
      <c r="H107" s="37" t="str">
        <f aca="false">IF($C107="","",IFERROR(INDEX('Check giá'!$G$4:$G$203,MATCH($C107,'Check giá'!$A$4:$A$203,0)),""))</f>
        <v/>
      </c>
      <c r="I107" s="38" t="str">
        <f aca="false">IF($C107="","",IFERROR(INDEX('Check giá'!$Q$4:$Q$203,MATCH($C107,'Check giá'!$A$4:$A$203,0)),""))</f>
        <v/>
      </c>
      <c r="J107" s="34"/>
      <c r="K107" s="34"/>
      <c r="L107" s="38" t="str">
        <f aca="false">IF($A107="","",$J107*$K107)</f>
        <v/>
      </c>
      <c r="M107" s="33"/>
      <c r="N107" s="32"/>
      <c r="O107" s="32"/>
      <c r="P107" s="33"/>
      <c r="Q107" s="32"/>
    </row>
    <row r="108" customFormat="false" ht="15" hidden="false" customHeight="false" outlineLevel="0" collapsed="false">
      <c r="A108" s="32"/>
      <c r="B108" s="33"/>
      <c r="C108" s="32"/>
      <c r="D108" s="37" t="str">
        <f aca="false">IF($C108="","",IFERROR(INDEX('Check giá'!$C$4:$C$203,MATCH($C108,'Check giá'!$A$4:$A$203,0)),""))</f>
        <v/>
      </c>
      <c r="E108" s="37" t="str">
        <f aca="false">IF($C108="","",IFERROR(INDEX('Check giá'!$D$4:$D$203,MATCH($C108,'Check giá'!$A$4:$A$203,0)),""))</f>
        <v/>
      </c>
      <c r="F108" s="37" t="str">
        <f aca="false">IF($C108="","",IFERROR(INDEX('Check giá'!$E$4:$E$203,MATCH($C108,'Check giá'!$A$4:$A$203,0)),""))</f>
        <v/>
      </c>
      <c r="G108" s="37" t="str">
        <f aca="false">IF($C108="","",IFERROR(INDEX('Check giá'!$F$4:$F$203,MATCH($C108,'Check giá'!$A$4:$A$203,0)),""))</f>
        <v/>
      </c>
      <c r="H108" s="37" t="str">
        <f aca="false">IF($C108="","",IFERROR(INDEX('Check giá'!$G$4:$G$203,MATCH($C108,'Check giá'!$A$4:$A$203,0)),""))</f>
        <v/>
      </c>
      <c r="I108" s="38" t="str">
        <f aca="false">IF($C108="","",IFERROR(INDEX('Check giá'!$Q$4:$Q$203,MATCH($C108,'Check giá'!$A$4:$A$203,0)),""))</f>
        <v/>
      </c>
      <c r="J108" s="34"/>
      <c r="K108" s="34"/>
      <c r="L108" s="38" t="str">
        <f aca="false">IF($A108="","",$J108*$K108)</f>
        <v/>
      </c>
      <c r="M108" s="33"/>
      <c r="N108" s="32"/>
      <c r="O108" s="32"/>
      <c r="P108" s="33"/>
      <c r="Q108" s="32"/>
    </row>
    <row r="109" customFormat="false" ht="15" hidden="false" customHeight="false" outlineLevel="0" collapsed="false">
      <c r="A109" s="32"/>
      <c r="B109" s="33"/>
      <c r="C109" s="32"/>
      <c r="D109" s="37" t="str">
        <f aca="false">IF($C109="","",IFERROR(INDEX('Check giá'!$C$4:$C$203,MATCH($C109,'Check giá'!$A$4:$A$203,0)),""))</f>
        <v/>
      </c>
      <c r="E109" s="37" t="str">
        <f aca="false">IF($C109="","",IFERROR(INDEX('Check giá'!$D$4:$D$203,MATCH($C109,'Check giá'!$A$4:$A$203,0)),""))</f>
        <v/>
      </c>
      <c r="F109" s="37" t="str">
        <f aca="false">IF($C109="","",IFERROR(INDEX('Check giá'!$E$4:$E$203,MATCH($C109,'Check giá'!$A$4:$A$203,0)),""))</f>
        <v/>
      </c>
      <c r="G109" s="37" t="str">
        <f aca="false">IF($C109="","",IFERROR(INDEX('Check giá'!$F$4:$F$203,MATCH($C109,'Check giá'!$A$4:$A$203,0)),""))</f>
        <v/>
      </c>
      <c r="H109" s="37" t="str">
        <f aca="false">IF($C109="","",IFERROR(INDEX('Check giá'!$G$4:$G$203,MATCH($C109,'Check giá'!$A$4:$A$203,0)),""))</f>
        <v/>
      </c>
      <c r="I109" s="38" t="str">
        <f aca="false">IF($C109="","",IFERROR(INDEX('Check giá'!$Q$4:$Q$203,MATCH($C109,'Check giá'!$A$4:$A$203,0)),""))</f>
        <v/>
      </c>
      <c r="J109" s="34"/>
      <c r="K109" s="34"/>
      <c r="L109" s="38" t="str">
        <f aca="false">IF($A109="","",$J109*$K109)</f>
        <v/>
      </c>
      <c r="M109" s="33"/>
      <c r="N109" s="32"/>
      <c r="O109" s="32"/>
      <c r="P109" s="33"/>
      <c r="Q109" s="32"/>
    </row>
    <row r="110" customFormat="false" ht="15" hidden="false" customHeight="false" outlineLevel="0" collapsed="false">
      <c r="A110" s="32"/>
      <c r="B110" s="33"/>
      <c r="C110" s="32"/>
      <c r="D110" s="37" t="str">
        <f aca="false">IF($C110="","",IFERROR(INDEX('Check giá'!$C$4:$C$203,MATCH($C110,'Check giá'!$A$4:$A$203,0)),""))</f>
        <v/>
      </c>
      <c r="E110" s="37" t="str">
        <f aca="false">IF($C110="","",IFERROR(INDEX('Check giá'!$D$4:$D$203,MATCH($C110,'Check giá'!$A$4:$A$203,0)),""))</f>
        <v/>
      </c>
      <c r="F110" s="37" t="str">
        <f aca="false">IF($C110="","",IFERROR(INDEX('Check giá'!$E$4:$E$203,MATCH($C110,'Check giá'!$A$4:$A$203,0)),""))</f>
        <v/>
      </c>
      <c r="G110" s="37" t="str">
        <f aca="false">IF($C110="","",IFERROR(INDEX('Check giá'!$F$4:$F$203,MATCH($C110,'Check giá'!$A$4:$A$203,0)),""))</f>
        <v/>
      </c>
      <c r="H110" s="37" t="str">
        <f aca="false">IF($C110="","",IFERROR(INDEX('Check giá'!$G$4:$G$203,MATCH($C110,'Check giá'!$A$4:$A$203,0)),""))</f>
        <v/>
      </c>
      <c r="I110" s="38" t="str">
        <f aca="false">IF($C110="","",IFERROR(INDEX('Check giá'!$Q$4:$Q$203,MATCH($C110,'Check giá'!$A$4:$A$203,0)),""))</f>
        <v/>
      </c>
      <c r="J110" s="34"/>
      <c r="K110" s="34"/>
      <c r="L110" s="38" t="str">
        <f aca="false">IF($A110="","",$J110*$K110)</f>
        <v/>
      </c>
      <c r="M110" s="33"/>
      <c r="N110" s="32"/>
      <c r="O110" s="32"/>
      <c r="P110" s="33"/>
      <c r="Q110" s="32"/>
    </row>
    <row r="111" customFormat="false" ht="15" hidden="false" customHeight="false" outlineLevel="0" collapsed="false">
      <c r="A111" s="32"/>
      <c r="B111" s="33"/>
      <c r="C111" s="32"/>
      <c r="D111" s="37" t="str">
        <f aca="false">IF($C111="","",IFERROR(INDEX('Check giá'!$C$4:$C$203,MATCH($C111,'Check giá'!$A$4:$A$203,0)),""))</f>
        <v/>
      </c>
      <c r="E111" s="37" t="str">
        <f aca="false">IF($C111="","",IFERROR(INDEX('Check giá'!$D$4:$D$203,MATCH($C111,'Check giá'!$A$4:$A$203,0)),""))</f>
        <v/>
      </c>
      <c r="F111" s="37" t="str">
        <f aca="false">IF($C111="","",IFERROR(INDEX('Check giá'!$E$4:$E$203,MATCH($C111,'Check giá'!$A$4:$A$203,0)),""))</f>
        <v/>
      </c>
      <c r="G111" s="37" t="str">
        <f aca="false">IF($C111="","",IFERROR(INDEX('Check giá'!$F$4:$F$203,MATCH($C111,'Check giá'!$A$4:$A$203,0)),""))</f>
        <v/>
      </c>
      <c r="H111" s="37" t="str">
        <f aca="false">IF($C111="","",IFERROR(INDEX('Check giá'!$G$4:$G$203,MATCH($C111,'Check giá'!$A$4:$A$203,0)),""))</f>
        <v/>
      </c>
      <c r="I111" s="38" t="str">
        <f aca="false">IF($C111="","",IFERROR(INDEX('Check giá'!$Q$4:$Q$203,MATCH($C111,'Check giá'!$A$4:$A$203,0)),""))</f>
        <v/>
      </c>
      <c r="J111" s="34"/>
      <c r="K111" s="34"/>
      <c r="L111" s="38" t="str">
        <f aca="false">IF($A111="","",$J111*$K111)</f>
        <v/>
      </c>
      <c r="M111" s="33"/>
      <c r="N111" s="32"/>
      <c r="O111" s="32"/>
      <c r="P111" s="33"/>
      <c r="Q111" s="32"/>
    </row>
    <row r="112" customFormat="false" ht="15" hidden="false" customHeight="false" outlineLevel="0" collapsed="false">
      <c r="A112" s="32"/>
      <c r="B112" s="33"/>
      <c r="C112" s="32"/>
      <c r="D112" s="37" t="str">
        <f aca="false">IF($C112="","",IFERROR(INDEX('Check giá'!$C$4:$C$203,MATCH($C112,'Check giá'!$A$4:$A$203,0)),""))</f>
        <v/>
      </c>
      <c r="E112" s="37" t="str">
        <f aca="false">IF($C112="","",IFERROR(INDEX('Check giá'!$D$4:$D$203,MATCH($C112,'Check giá'!$A$4:$A$203,0)),""))</f>
        <v/>
      </c>
      <c r="F112" s="37" t="str">
        <f aca="false">IF($C112="","",IFERROR(INDEX('Check giá'!$E$4:$E$203,MATCH($C112,'Check giá'!$A$4:$A$203,0)),""))</f>
        <v/>
      </c>
      <c r="G112" s="37" t="str">
        <f aca="false">IF($C112="","",IFERROR(INDEX('Check giá'!$F$4:$F$203,MATCH($C112,'Check giá'!$A$4:$A$203,0)),""))</f>
        <v/>
      </c>
      <c r="H112" s="37" t="str">
        <f aca="false">IF($C112="","",IFERROR(INDEX('Check giá'!$G$4:$G$203,MATCH($C112,'Check giá'!$A$4:$A$203,0)),""))</f>
        <v/>
      </c>
      <c r="I112" s="38" t="str">
        <f aca="false">IF($C112="","",IFERROR(INDEX('Check giá'!$Q$4:$Q$203,MATCH($C112,'Check giá'!$A$4:$A$203,0)),""))</f>
        <v/>
      </c>
      <c r="J112" s="34"/>
      <c r="K112" s="34"/>
      <c r="L112" s="38" t="str">
        <f aca="false">IF($A112="","",$J112*$K112)</f>
        <v/>
      </c>
      <c r="M112" s="33"/>
      <c r="N112" s="32"/>
      <c r="O112" s="32"/>
      <c r="P112" s="33"/>
      <c r="Q112" s="32"/>
    </row>
    <row r="113" customFormat="false" ht="15" hidden="false" customHeight="false" outlineLevel="0" collapsed="false">
      <c r="A113" s="32"/>
      <c r="B113" s="33"/>
      <c r="C113" s="32"/>
      <c r="D113" s="37" t="str">
        <f aca="false">IF($C113="","",IFERROR(INDEX('Check giá'!$C$4:$C$203,MATCH($C113,'Check giá'!$A$4:$A$203,0)),""))</f>
        <v/>
      </c>
      <c r="E113" s="37" t="str">
        <f aca="false">IF($C113="","",IFERROR(INDEX('Check giá'!$D$4:$D$203,MATCH($C113,'Check giá'!$A$4:$A$203,0)),""))</f>
        <v/>
      </c>
      <c r="F113" s="37" t="str">
        <f aca="false">IF($C113="","",IFERROR(INDEX('Check giá'!$E$4:$E$203,MATCH($C113,'Check giá'!$A$4:$A$203,0)),""))</f>
        <v/>
      </c>
      <c r="G113" s="37" t="str">
        <f aca="false">IF($C113="","",IFERROR(INDEX('Check giá'!$F$4:$F$203,MATCH($C113,'Check giá'!$A$4:$A$203,0)),""))</f>
        <v/>
      </c>
      <c r="H113" s="37" t="str">
        <f aca="false">IF($C113="","",IFERROR(INDEX('Check giá'!$G$4:$G$203,MATCH($C113,'Check giá'!$A$4:$A$203,0)),""))</f>
        <v/>
      </c>
      <c r="I113" s="38" t="str">
        <f aca="false">IF($C113="","",IFERROR(INDEX('Check giá'!$Q$4:$Q$203,MATCH($C113,'Check giá'!$A$4:$A$203,0)),""))</f>
        <v/>
      </c>
      <c r="J113" s="34"/>
      <c r="K113" s="34"/>
      <c r="L113" s="38" t="str">
        <f aca="false">IF($A113="","",$J113*$K113)</f>
        <v/>
      </c>
      <c r="M113" s="33"/>
      <c r="N113" s="32"/>
      <c r="O113" s="32"/>
      <c r="P113" s="33"/>
      <c r="Q113" s="32"/>
    </row>
    <row r="114" customFormat="false" ht="15" hidden="false" customHeight="false" outlineLevel="0" collapsed="false">
      <c r="A114" s="32"/>
      <c r="B114" s="33"/>
      <c r="C114" s="32"/>
      <c r="D114" s="37" t="str">
        <f aca="false">IF($C114="","",IFERROR(INDEX('Check giá'!$C$4:$C$203,MATCH($C114,'Check giá'!$A$4:$A$203,0)),""))</f>
        <v/>
      </c>
      <c r="E114" s="37" t="str">
        <f aca="false">IF($C114="","",IFERROR(INDEX('Check giá'!$D$4:$D$203,MATCH($C114,'Check giá'!$A$4:$A$203,0)),""))</f>
        <v/>
      </c>
      <c r="F114" s="37" t="str">
        <f aca="false">IF($C114="","",IFERROR(INDEX('Check giá'!$E$4:$E$203,MATCH($C114,'Check giá'!$A$4:$A$203,0)),""))</f>
        <v/>
      </c>
      <c r="G114" s="37" t="str">
        <f aca="false">IF($C114="","",IFERROR(INDEX('Check giá'!$F$4:$F$203,MATCH($C114,'Check giá'!$A$4:$A$203,0)),""))</f>
        <v/>
      </c>
      <c r="H114" s="37" t="str">
        <f aca="false">IF($C114="","",IFERROR(INDEX('Check giá'!$G$4:$G$203,MATCH($C114,'Check giá'!$A$4:$A$203,0)),""))</f>
        <v/>
      </c>
      <c r="I114" s="38" t="str">
        <f aca="false">IF($C114="","",IFERROR(INDEX('Check giá'!$Q$4:$Q$203,MATCH($C114,'Check giá'!$A$4:$A$203,0)),""))</f>
        <v/>
      </c>
      <c r="J114" s="34"/>
      <c r="K114" s="34"/>
      <c r="L114" s="38" t="str">
        <f aca="false">IF($A114="","",$J114*$K114)</f>
        <v/>
      </c>
      <c r="M114" s="33"/>
      <c r="N114" s="32"/>
      <c r="O114" s="32"/>
      <c r="P114" s="33"/>
      <c r="Q114" s="32"/>
    </row>
    <row r="115" customFormat="false" ht="15" hidden="false" customHeight="false" outlineLevel="0" collapsed="false">
      <c r="A115" s="32"/>
      <c r="B115" s="33"/>
      <c r="C115" s="32"/>
      <c r="D115" s="37" t="str">
        <f aca="false">IF($C115="","",IFERROR(INDEX('Check giá'!$C$4:$C$203,MATCH($C115,'Check giá'!$A$4:$A$203,0)),""))</f>
        <v/>
      </c>
      <c r="E115" s="37" t="str">
        <f aca="false">IF($C115="","",IFERROR(INDEX('Check giá'!$D$4:$D$203,MATCH($C115,'Check giá'!$A$4:$A$203,0)),""))</f>
        <v/>
      </c>
      <c r="F115" s="37" t="str">
        <f aca="false">IF($C115="","",IFERROR(INDEX('Check giá'!$E$4:$E$203,MATCH($C115,'Check giá'!$A$4:$A$203,0)),""))</f>
        <v/>
      </c>
      <c r="G115" s="37" t="str">
        <f aca="false">IF($C115="","",IFERROR(INDEX('Check giá'!$F$4:$F$203,MATCH($C115,'Check giá'!$A$4:$A$203,0)),""))</f>
        <v/>
      </c>
      <c r="H115" s="37" t="str">
        <f aca="false">IF($C115="","",IFERROR(INDEX('Check giá'!$G$4:$G$203,MATCH($C115,'Check giá'!$A$4:$A$203,0)),""))</f>
        <v/>
      </c>
      <c r="I115" s="38" t="str">
        <f aca="false">IF($C115="","",IFERROR(INDEX('Check giá'!$Q$4:$Q$203,MATCH($C115,'Check giá'!$A$4:$A$203,0)),""))</f>
        <v/>
      </c>
      <c r="J115" s="34"/>
      <c r="K115" s="34"/>
      <c r="L115" s="38" t="str">
        <f aca="false">IF($A115="","",$J115*$K115)</f>
        <v/>
      </c>
      <c r="M115" s="33"/>
      <c r="N115" s="32"/>
      <c r="O115" s="32"/>
      <c r="P115" s="33"/>
      <c r="Q115" s="32"/>
    </row>
    <row r="116" customFormat="false" ht="15" hidden="false" customHeight="false" outlineLevel="0" collapsed="false">
      <c r="A116" s="32"/>
      <c r="B116" s="33"/>
      <c r="C116" s="32"/>
      <c r="D116" s="37" t="str">
        <f aca="false">IF($C116="","",IFERROR(INDEX('Check giá'!$C$4:$C$203,MATCH($C116,'Check giá'!$A$4:$A$203,0)),""))</f>
        <v/>
      </c>
      <c r="E116" s="37" t="str">
        <f aca="false">IF($C116="","",IFERROR(INDEX('Check giá'!$D$4:$D$203,MATCH($C116,'Check giá'!$A$4:$A$203,0)),""))</f>
        <v/>
      </c>
      <c r="F116" s="37" t="str">
        <f aca="false">IF($C116="","",IFERROR(INDEX('Check giá'!$E$4:$E$203,MATCH($C116,'Check giá'!$A$4:$A$203,0)),""))</f>
        <v/>
      </c>
      <c r="G116" s="37" t="str">
        <f aca="false">IF($C116="","",IFERROR(INDEX('Check giá'!$F$4:$F$203,MATCH($C116,'Check giá'!$A$4:$A$203,0)),""))</f>
        <v/>
      </c>
      <c r="H116" s="37" t="str">
        <f aca="false">IF($C116="","",IFERROR(INDEX('Check giá'!$G$4:$G$203,MATCH($C116,'Check giá'!$A$4:$A$203,0)),""))</f>
        <v/>
      </c>
      <c r="I116" s="38" t="str">
        <f aca="false">IF($C116="","",IFERROR(INDEX('Check giá'!$Q$4:$Q$203,MATCH($C116,'Check giá'!$A$4:$A$203,0)),""))</f>
        <v/>
      </c>
      <c r="J116" s="34"/>
      <c r="K116" s="34"/>
      <c r="L116" s="38" t="str">
        <f aca="false">IF($A116="","",$J116*$K116)</f>
        <v/>
      </c>
      <c r="M116" s="33"/>
      <c r="N116" s="32"/>
      <c r="O116" s="32"/>
      <c r="P116" s="33"/>
      <c r="Q116" s="32"/>
    </row>
    <row r="117" customFormat="false" ht="15" hidden="false" customHeight="false" outlineLevel="0" collapsed="false">
      <c r="A117" s="32"/>
      <c r="B117" s="33"/>
      <c r="C117" s="32"/>
      <c r="D117" s="37" t="str">
        <f aca="false">IF($C117="","",IFERROR(INDEX('Check giá'!$C$4:$C$203,MATCH($C117,'Check giá'!$A$4:$A$203,0)),""))</f>
        <v/>
      </c>
      <c r="E117" s="37" t="str">
        <f aca="false">IF($C117="","",IFERROR(INDEX('Check giá'!$D$4:$D$203,MATCH($C117,'Check giá'!$A$4:$A$203,0)),""))</f>
        <v/>
      </c>
      <c r="F117" s="37" t="str">
        <f aca="false">IF($C117="","",IFERROR(INDEX('Check giá'!$E$4:$E$203,MATCH($C117,'Check giá'!$A$4:$A$203,0)),""))</f>
        <v/>
      </c>
      <c r="G117" s="37" t="str">
        <f aca="false">IF($C117="","",IFERROR(INDEX('Check giá'!$F$4:$F$203,MATCH($C117,'Check giá'!$A$4:$A$203,0)),""))</f>
        <v/>
      </c>
      <c r="H117" s="37" t="str">
        <f aca="false">IF($C117="","",IFERROR(INDEX('Check giá'!$G$4:$G$203,MATCH($C117,'Check giá'!$A$4:$A$203,0)),""))</f>
        <v/>
      </c>
      <c r="I117" s="38" t="str">
        <f aca="false">IF($C117="","",IFERROR(INDEX('Check giá'!$Q$4:$Q$203,MATCH($C117,'Check giá'!$A$4:$A$203,0)),""))</f>
        <v/>
      </c>
      <c r="J117" s="34"/>
      <c r="K117" s="34"/>
      <c r="L117" s="38" t="str">
        <f aca="false">IF($A117="","",$J117*$K117)</f>
        <v/>
      </c>
      <c r="M117" s="33"/>
      <c r="N117" s="32"/>
      <c r="O117" s="32"/>
      <c r="P117" s="33"/>
      <c r="Q117" s="32"/>
    </row>
    <row r="118" customFormat="false" ht="15" hidden="false" customHeight="false" outlineLevel="0" collapsed="false">
      <c r="A118" s="32"/>
      <c r="B118" s="33"/>
      <c r="C118" s="32"/>
      <c r="D118" s="37" t="str">
        <f aca="false">IF($C118="","",IFERROR(INDEX('Check giá'!$C$4:$C$203,MATCH($C118,'Check giá'!$A$4:$A$203,0)),""))</f>
        <v/>
      </c>
      <c r="E118" s="37" t="str">
        <f aca="false">IF($C118="","",IFERROR(INDEX('Check giá'!$D$4:$D$203,MATCH($C118,'Check giá'!$A$4:$A$203,0)),""))</f>
        <v/>
      </c>
      <c r="F118" s="37" t="str">
        <f aca="false">IF($C118="","",IFERROR(INDEX('Check giá'!$E$4:$E$203,MATCH($C118,'Check giá'!$A$4:$A$203,0)),""))</f>
        <v/>
      </c>
      <c r="G118" s="37" t="str">
        <f aca="false">IF($C118="","",IFERROR(INDEX('Check giá'!$F$4:$F$203,MATCH($C118,'Check giá'!$A$4:$A$203,0)),""))</f>
        <v/>
      </c>
      <c r="H118" s="37" t="str">
        <f aca="false">IF($C118="","",IFERROR(INDEX('Check giá'!$G$4:$G$203,MATCH($C118,'Check giá'!$A$4:$A$203,0)),""))</f>
        <v/>
      </c>
      <c r="I118" s="38" t="str">
        <f aca="false">IF($C118="","",IFERROR(INDEX('Check giá'!$Q$4:$Q$203,MATCH($C118,'Check giá'!$A$4:$A$203,0)),""))</f>
        <v/>
      </c>
      <c r="J118" s="34"/>
      <c r="K118" s="34"/>
      <c r="L118" s="38" t="str">
        <f aca="false">IF($A118="","",$J118*$K118)</f>
        <v/>
      </c>
      <c r="M118" s="33"/>
      <c r="N118" s="32"/>
      <c r="O118" s="32"/>
      <c r="P118" s="33"/>
      <c r="Q118" s="32"/>
    </row>
    <row r="119" customFormat="false" ht="15" hidden="false" customHeight="false" outlineLevel="0" collapsed="false">
      <c r="A119" s="32"/>
      <c r="B119" s="33"/>
      <c r="C119" s="32"/>
      <c r="D119" s="37" t="str">
        <f aca="false">IF($C119="","",IFERROR(INDEX('Check giá'!$C$4:$C$203,MATCH($C119,'Check giá'!$A$4:$A$203,0)),""))</f>
        <v/>
      </c>
      <c r="E119" s="37" t="str">
        <f aca="false">IF($C119="","",IFERROR(INDEX('Check giá'!$D$4:$D$203,MATCH($C119,'Check giá'!$A$4:$A$203,0)),""))</f>
        <v/>
      </c>
      <c r="F119" s="37" t="str">
        <f aca="false">IF($C119="","",IFERROR(INDEX('Check giá'!$E$4:$E$203,MATCH($C119,'Check giá'!$A$4:$A$203,0)),""))</f>
        <v/>
      </c>
      <c r="G119" s="37" t="str">
        <f aca="false">IF($C119="","",IFERROR(INDEX('Check giá'!$F$4:$F$203,MATCH($C119,'Check giá'!$A$4:$A$203,0)),""))</f>
        <v/>
      </c>
      <c r="H119" s="37" t="str">
        <f aca="false">IF($C119="","",IFERROR(INDEX('Check giá'!$G$4:$G$203,MATCH($C119,'Check giá'!$A$4:$A$203,0)),""))</f>
        <v/>
      </c>
      <c r="I119" s="38" t="str">
        <f aca="false">IF($C119="","",IFERROR(INDEX('Check giá'!$Q$4:$Q$203,MATCH($C119,'Check giá'!$A$4:$A$203,0)),""))</f>
        <v/>
      </c>
      <c r="J119" s="34"/>
      <c r="K119" s="34"/>
      <c r="L119" s="38" t="str">
        <f aca="false">IF($A119="","",$J119*$K119)</f>
        <v/>
      </c>
      <c r="M119" s="33"/>
      <c r="N119" s="32"/>
      <c r="O119" s="32"/>
      <c r="P119" s="33"/>
      <c r="Q119" s="32"/>
    </row>
    <row r="120" customFormat="false" ht="15" hidden="false" customHeight="false" outlineLevel="0" collapsed="false">
      <c r="A120" s="32"/>
      <c r="B120" s="33"/>
      <c r="C120" s="32"/>
      <c r="D120" s="37" t="str">
        <f aca="false">IF($C120="","",IFERROR(INDEX('Check giá'!$C$4:$C$203,MATCH($C120,'Check giá'!$A$4:$A$203,0)),""))</f>
        <v/>
      </c>
      <c r="E120" s="37" t="str">
        <f aca="false">IF($C120="","",IFERROR(INDEX('Check giá'!$D$4:$D$203,MATCH($C120,'Check giá'!$A$4:$A$203,0)),""))</f>
        <v/>
      </c>
      <c r="F120" s="37" t="str">
        <f aca="false">IF($C120="","",IFERROR(INDEX('Check giá'!$E$4:$E$203,MATCH($C120,'Check giá'!$A$4:$A$203,0)),""))</f>
        <v/>
      </c>
      <c r="G120" s="37" t="str">
        <f aca="false">IF($C120="","",IFERROR(INDEX('Check giá'!$F$4:$F$203,MATCH($C120,'Check giá'!$A$4:$A$203,0)),""))</f>
        <v/>
      </c>
      <c r="H120" s="37" t="str">
        <f aca="false">IF($C120="","",IFERROR(INDEX('Check giá'!$G$4:$G$203,MATCH($C120,'Check giá'!$A$4:$A$203,0)),""))</f>
        <v/>
      </c>
      <c r="I120" s="38" t="str">
        <f aca="false">IF($C120="","",IFERROR(INDEX('Check giá'!$Q$4:$Q$203,MATCH($C120,'Check giá'!$A$4:$A$203,0)),""))</f>
        <v/>
      </c>
      <c r="J120" s="34"/>
      <c r="K120" s="34"/>
      <c r="L120" s="38" t="str">
        <f aca="false">IF($A120="","",$J120*$K120)</f>
        <v/>
      </c>
      <c r="M120" s="33"/>
      <c r="N120" s="32"/>
      <c r="O120" s="32"/>
      <c r="P120" s="33"/>
      <c r="Q120" s="32"/>
    </row>
    <row r="121" customFormat="false" ht="15" hidden="false" customHeight="false" outlineLevel="0" collapsed="false">
      <c r="A121" s="32"/>
      <c r="B121" s="33"/>
      <c r="C121" s="32"/>
      <c r="D121" s="37" t="str">
        <f aca="false">IF($C121="","",IFERROR(INDEX('Check giá'!$C$4:$C$203,MATCH($C121,'Check giá'!$A$4:$A$203,0)),""))</f>
        <v/>
      </c>
      <c r="E121" s="37" t="str">
        <f aca="false">IF($C121="","",IFERROR(INDEX('Check giá'!$D$4:$D$203,MATCH($C121,'Check giá'!$A$4:$A$203,0)),""))</f>
        <v/>
      </c>
      <c r="F121" s="37" t="str">
        <f aca="false">IF($C121="","",IFERROR(INDEX('Check giá'!$E$4:$E$203,MATCH($C121,'Check giá'!$A$4:$A$203,0)),""))</f>
        <v/>
      </c>
      <c r="G121" s="37" t="str">
        <f aca="false">IF($C121="","",IFERROR(INDEX('Check giá'!$F$4:$F$203,MATCH($C121,'Check giá'!$A$4:$A$203,0)),""))</f>
        <v/>
      </c>
      <c r="H121" s="37" t="str">
        <f aca="false">IF($C121="","",IFERROR(INDEX('Check giá'!$G$4:$G$203,MATCH($C121,'Check giá'!$A$4:$A$203,0)),""))</f>
        <v/>
      </c>
      <c r="I121" s="38" t="str">
        <f aca="false">IF($C121="","",IFERROR(INDEX('Check giá'!$Q$4:$Q$203,MATCH($C121,'Check giá'!$A$4:$A$203,0)),""))</f>
        <v/>
      </c>
      <c r="J121" s="34"/>
      <c r="K121" s="34"/>
      <c r="L121" s="38" t="str">
        <f aca="false">IF($A121="","",$J121*$K121)</f>
        <v/>
      </c>
      <c r="M121" s="33"/>
      <c r="N121" s="32"/>
      <c r="O121" s="32"/>
      <c r="P121" s="33"/>
      <c r="Q121" s="32"/>
    </row>
    <row r="122" customFormat="false" ht="15" hidden="false" customHeight="false" outlineLevel="0" collapsed="false">
      <c r="A122" s="32"/>
      <c r="B122" s="33"/>
      <c r="C122" s="32"/>
      <c r="D122" s="37" t="str">
        <f aca="false">IF($C122="","",IFERROR(INDEX('Check giá'!$C$4:$C$203,MATCH($C122,'Check giá'!$A$4:$A$203,0)),""))</f>
        <v/>
      </c>
      <c r="E122" s="37" t="str">
        <f aca="false">IF($C122="","",IFERROR(INDEX('Check giá'!$D$4:$D$203,MATCH($C122,'Check giá'!$A$4:$A$203,0)),""))</f>
        <v/>
      </c>
      <c r="F122" s="37" t="str">
        <f aca="false">IF($C122="","",IFERROR(INDEX('Check giá'!$E$4:$E$203,MATCH($C122,'Check giá'!$A$4:$A$203,0)),""))</f>
        <v/>
      </c>
      <c r="G122" s="37" t="str">
        <f aca="false">IF($C122="","",IFERROR(INDEX('Check giá'!$F$4:$F$203,MATCH($C122,'Check giá'!$A$4:$A$203,0)),""))</f>
        <v/>
      </c>
      <c r="H122" s="37" t="str">
        <f aca="false">IF($C122="","",IFERROR(INDEX('Check giá'!$G$4:$G$203,MATCH($C122,'Check giá'!$A$4:$A$203,0)),""))</f>
        <v/>
      </c>
      <c r="I122" s="38" t="str">
        <f aca="false">IF($C122="","",IFERROR(INDEX('Check giá'!$Q$4:$Q$203,MATCH($C122,'Check giá'!$A$4:$A$203,0)),""))</f>
        <v/>
      </c>
      <c r="J122" s="34"/>
      <c r="K122" s="34"/>
      <c r="L122" s="38" t="str">
        <f aca="false">IF($A122="","",$J122*$K122)</f>
        <v/>
      </c>
      <c r="M122" s="33"/>
      <c r="N122" s="32"/>
      <c r="O122" s="32"/>
      <c r="P122" s="33"/>
      <c r="Q122" s="32"/>
    </row>
    <row r="123" customFormat="false" ht="15" hidden="false" customHeight="false" outlineLevel="0" collapsed="false">
      <c r="A123" s="32"/>
      <c r="B123" s="33"/>
      <c r="C123" s="32"/>
      <c r="D123" s="37" t="str">
        <f aca="false">IF($C123="","",IFERROR(INDEX('Check giá'!$C$4:$C$203,MATCH($C123,'Check giá'!$A$4:$A$203,0)),""))</f>
        <v/>
      </c>
      <c r="E123" s="37" t="str">
        <f aca="false">IF($C123="","",IFERROR(INDEX('Check giá'!$D$4:$D$203,MATCH($C123,'Check giá'!$A$4:$A$203,0)),""))</f>
        <v/>
      </c>
      <c r="F123" s="37" t="str">
        <f aca="false">IF($C123="","",IFERROR(INDEX('Check giá'!$E$4:$E$203,MATCH($C123,'Check giá'!$A$4:$A$203,0)),""))</f>
        <v/>
      </c>
      <c r="G123" s="37" t="str">
        <f aca="false">IF($C123="","",IFERROR(INDEX('Check giá'!$F$4:$F$203,MATCH($C123,'Check giá'!$A$4:$A$203,0)),""))</f>
        <v/>
      </c>
      <c r="H123" s="37" t="str">
        <f aca="false">IF($C123="","",IFERROR(INDEX('Check giá'!$G$4:$G$203,MATCH($C123,'Check giá'!$A$4:$A$203,0)),""))</f>
        <v/>
      </c>
      <c r="I123" s="38" t="str">
        <f aca="false">IF($C123="","",IFERROR(INDEX('Check giá'!$Q$4:$Q$203,MATCH($C123,'Check giá'!$A$4:$A$203,0)),""))</f>
        <v/>
      </c>
      <c r="J123" s="34"/>
      <c r="K123" s="34"/>
      <c r="L123" s="38" t="str">
        <f aca="false">IF($A123="","",$J123*$K123)</f>
        <v/>
      </c>
      <c r="M123" s="33"/>
      <c r="N123" s="32"/>
      <c r="O123" s="32"/>
      <c r="P123" s="33"/>
      <c r="Q123" s="32"/>
    </row>
    <row r="124" customFormat="false" ht="15" hidden="false" customHeight="false" outlineLevel="0" collapsed="false">
      <c r="A124" s="32"/>
      <c r="B124" s="33"/>
      <c r="C124" s="32"/>
      <c r="D124" s="37" t="str">
        <f aca="false">IF($C124="","",IFERROR(INDEX('Check giá'!$C$4:$C$203,MATCH($C124,'Check giá'!$A$4:$A$203,0)),""))</f>
        <v/>
      </c>
      <c r="E124" s="37" t="str">
        <f aca="false">IF($C124="","",IFERROR(INDEX('Check giá'!$D$4:$D$203,MATCH($C124,'Check giá'!$A$4:$A$203,0)),""))</f>
        <v/>
      </c>
      <c r="F124" s="37" t="str">
        <f aca="false">IF($C124="","",IFERROR(INDEX('Check giá'!$E$4:$E$203,MATCH($C124,'Check giá'!$A$4:$A$203,0)),""))</f>
        <v/>
      </c>
      <c r="G124" s="37" t="str">
        <f aca="false">IF($C124="","",IFERROR(INDEX('Check giá'!$F$4:$F$203,MATCH($C124,'Check giá'!$A$4:$A$203,0)),""))</f>
        <v/>
      </c>
      <c r="H124" s="37" t="str">
        <f aca="false">IF($C124="","",IFERROR(INDEX('Check giá'!$G$4:$G$203,MATCH($C124,'Check giá'!$A$4:$A$203,0)),""))</f>
        <v/>
      </c>
      <c r="I124" s="38" t="str">
        <f aca="false">IF($C124="","",IFERROR(INDEX('Check giá'!$Q$4:$Q$203,MATCH($C124,'Check giá'!$A$4:$A$203,0)),""))</f>
        <v/>
      </c>
      <c r="J124" s="34"/>
      <c r="K124" s="34"/>
      <c r="L124" s="38" t="str">
        <f aca="false">IF($A124="","",$J124*$K124)</f>
        <v/>
      </c>
      <c r="M124" s="33"/>
      <c r="N124" s="32"/>
      <c r="O124" s="32"/>
      <c r="P124" s="33"/>
      <c r="Q124" s="32"/>
    </row>
    <row r="125" customFormat="false" ht="15" hidden="false" customHeight="false" outlineLevel="0" collapsed="false">
      <c r="A125" s="32"/>
      <c r="B125" s="33"/>
      <c r="C125" s="32"/>
      <c r="D125" s="37" t="str">
        <f aca="false">IF($C125="","",IFERROR(INDEX('Check giá'!$C$4:$C$203,MATCH($C125,'Check giá'!$A$4:$A$203,0)),""))</f>
        <v/>
      </c>
      <c r="E125" s="37" t="str">
        <f aca="false">IF($C125="","",IFERROR(INDEX('Check giá'!$D$4:$D$203,MATCH($C125,'Check giá'!$A$4:$A$203,0)),""))</f>
        <v/>
      </c>
      <c r="F125" s="37" t="str">
        <f aca="false">IF($C125="","",IFERROR(INDEX('Check giá'!$E$4:$E$203,MATCH($C125,'Check giá'!$A$4:$A$203,0)),""))</f>
        <v/>
      </c>
      <c r="G125" s="37" t="str">
        <f aca="false">IF($C125="","",IFERROR(INDEX('Check giá'!$F$4:$F$203,MATCH($C125,'Check giá'!$A$4:$A$203,0)),""))</f>
        <v/>
      </c>
      <c r="H125" s="37" t="str">
        <f aca="false">IF($C125="","",IFERROR(INDEX('Check giá'!$G$4:$G$203,MATCH($C125,'Check giá'!$A$4:$A$203,0)),""))</f>
        <v/>
      </c>
      <c r="I125" s="38" t="str">
        <f aca="false">IF($C125="","",IFERROR(INDEX('Check giá'!$Q$4:$Q$203,MATCH($C125,'Check giá'!$A$4:$A$203,0)),""))</f>
        <v/>
      </c>
      <c r="J125" s="34"/>
      <c r="K125" s="34"/>
      <c r="L125" s="38" t="str">
        <f aca="false">IF($A125="","",$J125*$K125)</f>
        <v/>
      </c>
      <c r="M125" s="33"/>
      <c r="N125" s="32"/>
      <c r="O125" s="32"/>
      <c r="P125" s="33"/>
      <c r="Q125" s="32"/>
    </row>
    <row r="126" customFormat="false" ht="15" hidden="false" customHeight="false" outlineLevel="0" collapsed="false">
      <c r="A126" s="32"/>
      <c r="B126" s="33"/>
      <c r="C126" s="32"/>
      <c r="D126" s="37" t="str">
        <f aca="false">IF($C126="","",IFERROR(INDEX('Check giá'!$C$4:$C$203,MATCH($C126,'Check giá'!$A$4:$A$203,0)),""))</f>
        <v/>
      </c>
      <c r="E126" s="37" t="str">
        <f aca="false">IF($C126="","",IFERROR(INDEX('Check giá'!$D$4:$D$203,MATCH($C126,'Check giá'!$A$4:$A$203,0)),""))</f>
        <v/>
      </c>
      <c r="F126" s="37" t="str">
        <f aca="false">IF($C126="","",IFERROR(INDEX('Check giá'!$E$4:$E$203,MATCH($C126,'Check giá'!$A$4:$A$203,0)),""))</f>
        <v/>
      </c>
      <c r="G126" s="37" t="str">
        <f aca="false">IF($C126="","",IFERROR(INDEX('Check giá'!$F$4:$F$203,MATCH($C126,'Check giá'!$A$4:$A$203,0)),""))</f>
        <v/>
      </c>
      <c r="H126" s="37" t="str">
        <f aca="false">IF($C126="","",IFERROR(INDEX('Check giá'!$G$4:$G$203,MATCH($C126,'Check giá'!$A$4:$A$203,0)),""))</f>
        <v/>
      </c>
      <c r="I126" s="38" t="str">
        <f aca="false">IF($C126="","",IFERROR(INDEX('Check giá'!$Q$4:$Q$203,MATCH($C126,'Check giá'!$A$4:$A$203,0)),""))</f>
        <v/>
      </c>
      <c r="J126" s="34"/>
      <c r="K126" s="34"/>
      <c r="L126" s="38" t="str">
        <f aca="false">IF($A126="","",$J126*$K126)</f>
        <v/>
      </c>
      <c r="M126" s="33"/>
      <c r="N126" s="32"/>
      <c r="O126" s="32"/>
      <c r="P126" s="33"/>
      <c r="Q126" s="32"/>
    </row>
    <row r="127" customFormat="false" ht="15" hidden="false" customHeight="false" outlineLevel="0" collapsed="false">
      <c r="A127" s="32"/>
      <c r="B127" s="33"/>
      <c r="C127" s="32"/>
      <c r="D127" s="37" t="str">
        <f aca="false">IF($C127="","",IFERROR(INDEX('Check giá'!$C$4:$C$203,MATCH($C127,'Check giá'!$A$4:$A$203,0)),""))</f>
        <v/>
      </c>
      <c r="E127" s="37" t="str">
        <f aca="false">IF($C127="","",IFERROR(INDEX('Check giá'!$D$4:$D$203,MATCH($C127,'Check giá'!$A$4:$A$203,0)),""))</f>
        <v/>
      </c>
      <c r="F127" s="37" t="str">
        <f aca="false">IF($C127="","",IFERROR(INDEX('Check giá'!$E$4:$E$203,MATCH($C127,'Check giá'!$A$4:$A$203,0)),""))</f>
        <v/>
      </c>
      <c r="G127" s="37" t="str">
        <f aca="false">IF($C127="","",IFERROR(INDEX('Check giá'!$F$4:$F$203,MATCH($C127,'Check giá'!$A$4:$A$203,0)),""))</f>
        <v/>
      </c>
      <c r="H127" s="37" t="str">
        <f aca="false">IF($C127="","",IFERROR(INDEX('Check giá'!$G$4:$G$203,MATCH($C127,'Check giá'!$A$4:$A$203,0)),""))</f>
        <v/>
      </c>
      <c r="I127" s="38" t="str">
        <f aca="false">IF($C127="","",IFERROR(INDEX('Check giá'!$Q$4:$Q$203,MATCH($C127,'Check giá'!$A$4:$A$203,0)),""))</f>
        <v/>
      </c>
      <c r="J127" s="34"/>
      <c r="K127" s="34"/>
      <c r="L127" s="38" t="str">
        <f aca="false">IF($A127="","",$J127*$K127)</f>
        <v/>
      </c>
      <c r="M127" s="33"/>
      <c r="N127" s="32"/>
      <c r="O127" s="32"/>
      <c r="P127" s="33"/>
      <c r="Q127" s="32"/>
    </row>
    <row r="128" customFormat="false" ht="15" hidden="false" customHeight="false" outlineLevel="0" collapsed="false">
      <c r="A128" s="32"/>
      <c r="B128" s="33"/>
      <c r="C128" s="32"/>
      <c r="D128" s="37" t="str">
        <f aca="false">IF($C128="","",IFERROR(INDEX('Check giá'!$C$4:$C$203,MATCH($C128,'Check giá'!$A$4:$A$203,0)),""))</f>
        <v/>
      </c>
      <c r="E128" s="37" t="str">
        <f aca="false">IF($C128="","",IFERROR(INDEX('Check giá'!$D$4:$D$203,MATCH($C128,'Check giá'!$A$4:$A$203,0)),""))</f>
        <v/>
      </c>
      <c r="F128" s="37" t="str">
        <f aca="false">IF($C128="","",IFERROR(INDEX('Check giá'!$E$4:$E$203,MATCH($C128,'Check giá'!$A$4:$A$203,0)),""))</f>
        <v/>
      </c>
      <c r="G128" s="37" t="str">
        <f aca="false">IF($C128="","",IFERROR(INDEX('Check giá'!$F$4:$F$203,MATCH($C128,'Check giá'!$A$4:$A$203,0)),""))</f>
        <v/>
      </c>
      <c r="H128" s="37" t="str">
        <f aca="false">IF($C128="","",IFERROR(INDEX('Check giá'!$G$4:$G$203,MATCH($C128,'Check giá'!$A$4:$A$203,0)),""))</f>
        <v/>
      </c>
      <c r="I128" s="38" t="str">
        <f aca="false">IF($C128="","",IFERROR(INDEX('Check giá'!$Q$4:$Q$203,MATCH($C128,'Check giá'!$A$4:$A$203,0)),""))</f>
        <v/>
      </c>
      <c r="J128" s="34"/>
      <c r="K128" s="34"/>
      <c r="L128" s="38" t="str">
        <f aca="false">IF($A128="","",$J128*$K128)</f>
        <v/>
      </c>
      <c r="M128" s="33"/>
      <c r="N128" s="32"/>
      <c r="O128" s="32"/>
      <c r="P128" s="33"/>
      <c r="Q128" s="32"/>
    </row>
    <row r="129" customFormat="false" ht="15" hidden="false" customHeight="false" outlineLevel="0" collapsed="false">
      <c r="A129" s="32"/>
      <c r="B129" s="33"/>
      <c r="C129" s="32"/>
      <c r="D129" s="37" t="str">
        <f aca="false">IF($C129="","",IFERROR(INDEX('Check giá'!$C$4:$C$203,MATCH($C129,'Check giá'!$A$4:$A$203,0)),""))</f>
        <v/>
      </c>
      <c r="E129" s="37" t="str">
        <f aca="false">IF($C129="","",IFERROR(INDEX('Check giá'!$D$4:$D$203,MATCH($C129,'Check giá'!$A$4:$A$203,0)),""))</f>
        <v/>
      </c>
      <c r="F129" s="37" t="str">
        <f aca="false">IF($C129="","",IFERROR(INDEX('Check giá'!$E$4:$E$203,MATCH($C129,'Check giá'!$A$4:$A$203,0)),""))</f>
        <v/>
      </c>
      <c r="G129" s="37" t="str">
        <f aca="false">IF($C129="","",IFERROR(INDEX('Check giá'!$F$4:$F$203,MATCH($C129,'Check giá'!$A$4:$A$203,0)),""))</f>
        <v/>
      </c>
      <c r="H129" s="37" t="str">
        <f aca="false">IF($C129="","",IFERROR(INDEX('Check giá'!$G$4:$G$203,MATCH($C129,'Check giá'!$A$4:$A$203,0)),""))</f>
        <v/>
      </c>
      <c r="I129" s="38" t="str">
        <f aca="false">IF($C129="","",IFERROR(INDEX('Check giá'!$Q$4:$Q$203,MATCH($C129,'Check giá'!$A$4:$A$203,0)),""))</f>
        <v/>
      </c>
      <c r="J129" s="34"/>
      <c r="K129" s="34"/>
      <c r="L129" s="38" t="str">
        <f aca="false">IF($A129="","",$J129*$K129)</f>
        <v/>
      </c>
      <c r="M129" s="33"/>
      <c r="N129" s="32"/>
      <c r="O129" s="32"/>
      <c r="P129" s="33"/>
      <c r="Q129" s="32"/>
    </row>
    <row r="130" customFormat="false" ht="15" hidden="false" customHeight="false" outlineLevel="0" collapsed="false">
      <c r="A130" s="32"/>
      <c r="B130" s="33"/>
      <c r="C130" s="32"/>
      <c r="D130" s="37" t="str">
        <f aca="false">IF($C130="","",IFERROR(INDEX('Check giá'!$C$4:$C$203,MATCH($C130,'Check giá'!$A$4:$A$203,0)),""))</f>
        <v/>
      </c>
      <c r="E130" s="37" t="str">
        <f aca="false">IF($C130="","",IFERROR(INDEX('Check giá'!$D$4:$D$203,MATCH($C130,'Check giá'!$A$4:$A$203,0)),""))</f>
        <v/>
      </c>
      <c r="F130" s="37" t="str">
        <f aca="false">IF($C130="","",IFERROR(INDEX('Check giá'!$E$4:$E$203,MATCH($C130,'Check giá'!$A$4:$A$203,0)),""))</f>
        <v/>
      </c>
      <c r="G130" s="37" t="str">
        <f aca="false">IF($C130="","",IFERROR(INDEX('Check giá'!$F$4:$F$203,MATCH($C130,'Check giá'!$A$4:$A$203,0)),""))</f>
        <v/>
      </c>
      <c r="H130" s="37" t="str">
        <f aca="false">IF($C130="","",IFERROR(INDEX('Check giá'!$G$4:$G$203,MATCH($C130,'Check giá'!$A$4:$A$203,0)),""))</f>
        <v/>
      </c>
      <c r="I130" s="38" t="str">
        <f aca="false">IF($C130="","",IFERROR(INDEX('Check giá'!$Q$4:$Q$203,MATCH($C130,'Check giá'!$A$4:$A$203,0)),""))</f>
        <v/>
      </c>
      <c r="J130" s="34"/>
      <c r="K130" s="34"/>
      <c r="L130" s="38" t="str">
        <f aca="false">IF($A130="","",$J130*$K130)</f>
        <v/>
      </c>
      <c r="M130" s="33"/>
      <c r="N130" s="32"/>
      <c r="O130" s="32"/>
      <c r="P130" s="33"/>
      <c r="Q130" s="32"/>
    </row>
    <row r="131" customFormat="false" ht="15" hidden="false" customHeight="false" outlineLevel="0" collapsed="false">
      <c r="A131" s="32"/>
      <c r="B131" s="33"/>
      <c r="C131" s="32"/>
      <c r="D131" s="37" t="str">
        <f aca="false">IF($C131="","",IFERROR(INDEX('Check giá'!$C$4:$C$203,MATCH($C131,'Check giá'!$A$4:$A$203,0)),""))</f>
        <v/>
      </c>
      <c r="E131" s="37" t="str">
        <f aca="false">IF($C131="","",IFERROR(INDEX('Check giá'!$D$4:$D$203,MATCH($C131,'Check giá'!$A$4:$A$203,0)),""))</f>
        <v/>
      </c>
      <c r="F131" s="37" t="str">
        <f aca="false">IF($C131="","",IFERROR(INDEX('Check giá'!$E$4:$E$203,MATCH($C131,'Check giá'!$A$4:$A$203,0)),""))</f>
        <v/>
      </c>
      <c r="G131" s="37" t="str">
        <f aca="false">IF($C131="","",IFERROR(INDEX('Check giá'!$F$4:$F$203,MATCH($C131,'Check giá'!$A$4:$A$203,0)),""))</f>
        <v/>
      </c>
      <c r="H131" s="37" t="str">
        <f aca="false">IF($C131="","",IFERROR(INDEX('Check giá'!$G$4:$G$203,MATCH($C131,'Check giá'!$A$4:$A$203,0)),""))</f>
        <v/>
      </c>
      <c r="I131" s="38" t="str">
        <f aca="false">IF($C131="","",IFERROR(INDEX('Check giá'!$Q$4:$Q$203,MATCH($C131,'Check giá'!$A$4:$A$203,0)),""))</f>
        <v/>
      </c>
      <c r="J131" s="34"/>
      <c r="K131" s="34"/>
      <c r="L131" s="38" t="str">
        <f aca="false">IF($A131="","",$J131*$K131)</f>
        <v/>
      </c>
      <c r="M131" s="33"/>
      <c r="N131" s="32"/>
      <c r="O131" s="32"/>
      <c r="P131" s="33"/>
      <c r="Q131" s="32"/>
    </row>
    <row r="132" customFormat="false" ht="15" hidden="false" customHeight="false" outlineLevel="0" collapsed="false">
      <c r="A132" s="32"/>
      <c r="B132" s="33"/>
      <c r="C132" s="32"/>
      <c r="D132" s="37" t="str">
        <f aca="false">IF($C132="","",IFERROR(INDEX('Check giá'!$C$4:$C$203,MATCH($C132,'Check giá'!$A$4:$A$203,0)),""))</f>
        <v/>
      </c>
      <c r="E132" s="37" t="str">
        <f aca="false">IF($C132="","",IFERROR(INDEX('Check giá'!$D$4:$D$203,MATCH($C132,'Check giá'!$A$4:$A$203,0)),""))</f>
        <v/>
      </c>
      <c r="F132" s="37" t="str">
        <f aca="false">IF($C132="","",IFERROR(INDEX('Check giá'!$E$4:$E$203,MATCH($C132,'Check giá'!$A$4:$A$203,0)),""))</f>
        <v/>
      </c>
      <c r="G132" s="37" t="str">
        <f aca="false">IF($C132="","",IFERROR(INDEX('Check giá'!$F$4:$F$203,MATCH($C132,'Check giá'!$A$4:$A$203,0)),""))</f>
        <v/>
      </c>
      <c r="H132" s="37" t="str">
        <f aca="false">IF($C132="","",IFERROR(INDEX('Check giá'!$G$4:$G$203,MATCH($C132,'Check giá'!$A$4:$A$203,0)),""))</f>
        <v/>
      </c>
      <c r="I132" s="38" t="str">
        <f aca="false">IF($C132="","",IFERROR(INDEX('Check giá'!$Q$4:$Q$203,MATCH($C132,'Check giá'!$A$4:$A$203,0)),""))</f>
        <v/>
      </c>
      <c r="J132" s="34"/>
      <c r="K132" s="34"/>
      <c r="L132" s="38" t="str">
        <f aca="false">IF($A132="","",$J132*$K132)</f>
        <v/>
      </c>
      <c r="M132" s="33"/>
      <c r="N132" s="32"/>
      <c r="O132" s="32"/>
      <c r="P132" s="33"/>
      <c r="Q132" s="32"/>
    </row>
    <row r="133" customFormat="false" ht="15" hidden="false" customHeight="false" outlineLevel="0" collapsed="false">
      <c r="A133" s="32"/>
      <c r="B133" s="33"/>
      <c r="C133" s="32"/>
      <c r="D133" s="37" t="str">
        <f aca="false">IF($C133="","",IFERROR(INDEX('Check giá'!$C$4:$C$203,MATCH($C133,'Check giá'!$A$4:$A$203,0)),""))</f>
        <v/>
      </c>
      <c r="E133" s="37" t="str">
        <f aca="false">IF($C133="","",IFERROR(INDEX('Check giá'!$D$4:$D$203,MATCH($C133,'Check giá'!$A$4:$A$203,0)),""))</f>
        <v/>
      </c>
      <c r="F133" s="37" t="str">
        <f aca="false">IF($C133="","",IFERROR(INDEX('Check giá'!$E$4:$E$203,MATCH($C133,'Check giá'!$A$4:$A$203,0)),""))</f>
        <v/>
      </c>
      <c r="G133" s="37" t="str">
        <f aca="false">IF($C133="","",IFERROR(INDEX('Check giá'!$F$4:$F$203,MATCH($C133,'Check giá'!$A$4:$A$203,0)),""))</f>
        <v/>
      </c>
      <c r="H133" s="37" t="str">
        <f aca="false">IF($C133="","",IFERROR(INDEX('Check giá'!$G$4:$G$203,MATCH($C133,'Check giá'!$A$4:$A$203,0)),""))</f>
        <v/>
      </c>
      <c r="I133" s="38" t="str">
        <f aca="false">IF($C133="","",IFERROR(INDEX('Check giá'!$Q$4:$Q$203,MATCH($C133,'Check giá'!$A$4:$A$203,0)),""))</f>
        <v/>
      </c>
      <c r="J133" s="34"/>
      <c r="K133" s="34"/>
      <c r="L133" s="38" t="str">
        <f aca="false">IF($A133="","",$J133*$K133)</f>
        <v/>
      </c>
      <c r="M133" s="33"/>
      <c r="N133" s="32"/>
      <c r="O133" s="32"/>
      <c r="P133" s="33"/>
      <c r="Q133" s="32"/>
    </row>
    <row r="134" customFormat="false" ht="15" hidden="false" customHeight="false" outlineLevel="0" collapsed="false">
      <c r="A134" s="32"/>
      <c r="B134" s="33"/>
      <c r="C134" s="32"/>
      <c r="D134" s="37" t="str">
        <f aca="false">IF($C134="","",IFERROR(INDEX('Check giá'!$C$4:$C$203,MATCH($C134,'Check giá'!$A$4:$A$203,0)),""))</f>
        <v/>
      </c>
      <c r="E134" s="37" t="str">
        <f aca="false">IF($C134="","",IFERROR(INDEX('Check giá'!$D$4:$D$203,MATCH($C134,'Check giá'!$A$4:$A$203,0)),""))</f>
        <v/>
      </c>
      <c r="F134" s="37" t="str">
        <f aca="false">IF($C134="","",IFERROR(INDEX('Check giá'!$E$4:$E$203,MATCH($C134,'Check giá'!$A$4:$A$203,0)),""))</f>
        <v/>
      </c>
      <c r="G134" s="37" t="str">
        <f aca="false">IF($C134="","",IFERROR(INDEX('Check giá'!$F$4:$F$203,MATCH($C134,'Check giá'!$A$4:$A$203,0)),""))</f>
        <v/>
      </c>
      <c r="H134" s="37" t="str">
        <f aca="false">IF($C134="","",IFERROR(INDEX('Check giá'!$G$4:$G$203,MATCH($C134,'Check giá'!$A$4:$A$203,0)),""))</f>
        <v/>
      </c>
      <c r="I134" s="38" t="str">
        <f aca="false">IF($C134="","",IFERROR(INDEX('Check giá'!$Q$4:$Q$203,MATCH($C134,'Check giá'!$A$4:$A$203,0)),""))</f>
        <v/>
      </c>
      <c r="J134" s="34"/>
      <c r="K134" s="34"/>
      <c r="L134" s="38" t="str">
        <f aca="false">IF($A134="","",$J134*$K134)</f>
        <v/>
      </c>
      <c r="M134" s="33"/>
      <c r="N134" s="32"/>
      <c r="O134" s="32"/>
      <c r="P134" s="33"/>
      <c r="Q134" s="32"/>
    </row>
    <row r="135" customFormat="false" ht="15" hidden="false" customHeight="false" outlineLevel="0" collapsed="false">
      <c r="A135" s="32"/>
      <c r="B135" s="33"/>
      <c r="C135" s="32"/>
      <c r="D135" s="37" t="str">
        <f aca="false">IF($C135="","",IFERROR(INDEX('Check giá'!$C$4:$C$203,MATCH($C135,'Check giá'!$A$4:$A$203,0)),""))</f>
        <v/>
      </c>
      <c r="E135" s="37" t="str">
        <f aca="false">IF($C135="","",IFERROR(INDEX('Check giá'!$D$4:$D$203,MATCH($C135,'Check giá'!$A$4:$A$203,0)),""))</f>
        <v/>
      </c>
      <c r="F135" s="37" t="str">
        <f aca="false">IF($C135="","",IFERROR(INDEX('Check giá'!$E$4:$E$203,MATCH($C135,'Check giá'!$A$4:$A$203,0)),""))</f>
        <v/>
      </c>
      <c r="G135" s="37" t="str">
        <f aca="false">IF($C135="","",IFERROR(INDEX('Check giá'!$F$4:$F$203,MATCH($C135,'Check giá'!$A$4:$A$203,0)),""))</f>
        <v/>
      </c>
      <c r="H135" s="37" t="str">
        <f aca="false">IF($C135="","",IFERROR(INDEX('Check giá'!$G$4:$G$203,MATCH($C135,'Check giá'!$A$4:$A$203,0)),""))</f>
        <v/>
      </c>
      <c r="I135" s="38" t="str">
        <f aca="false">IF($C135="","",IFERROR(INDEX('Check giá'!$Q$4:$Q$203,MATCH($C135,'Check giá'!$A$4:$A$203,0)),""))</f>
        <v/>
      </c>
      <c r="J135" s="34"/>
      <c r="K135" s="34"/>
      <c r="L135" s="38" t="str">
        <f aca="false">IF($A135="","",$J135*$K135)</f>
        <v/>
      </c>
      <c r="M135" s="33"/>
      <c r="N135" s="32"/>
      <c r="O135" s="32"/>
      <c r="P135" s="33"/>
      <c r="Q135" s="32"/>
    </row>
    <row r="136" customFormat="false" ht="15" hidden="false" customHeight="false" outlineLevel="0" collapsed="false">
      <c r="A136" s="32"/>
      <c r="B136" s="33"/>
      <c r="C136" s="32"/>
      <c r="D136" s="37" t="str">
        <f aca="false">IF($C136="","",IFERROR(INDEX('Check giá'!$C$4:$C$203,MATCH($C136,'Check giá'!$A$4:$A$203,0)),""))</f>
        <v/>
      </c>
      <c r="E136" s="37" t="str">
        <f aca="false">IF($C136="","",IFERROR(INDEX('Check giá'!$D$4:$D$203,MATCH($C136,'Check giá'!$A$4:$A$203,0)),""))</f>
        <v/>
      </c>
      <c r="F136" s="37" t="str">
        <f aca="false">IF($C136="","",IFERROR(INDEX('Check giá'!$E$4:$E$203,MATCH($C136,'Check giá'!$A$4:$A$203,0)),""))</f>
        <v/>
      </c>
      <c r="G136" s="37" t="str">
        <f aca="false">IF($C136="","",IFERROR(INDEX('Check giá'!$F$4:$F$203,MATCH($C136,'Check giá'!$A$4:$A$203,0)),""))</f>
        <v/>
      </c>
      <c r="H136" s="37" t="str">
        <f aca="false">IF($C136="","",IFERROR(INDEX('Check giá'!$G$4:$G$203,MATCH($C136,'Check giá'!$A$4:$A$203,0)),""))</f>
        <v/>
      </c>
      <c r="I136" s="38" t="str">
        <f aca="false">IF($C136="","",IFERROR(INDEX('Check giá'!$Q$4:$Q$203,MATCH($C136,'Check giá'!$A$4:$A$203,0)),""))</f>
        <v/>
      </c>
      <c r="J136" s="34"/>
      <c r="K136" s="34"/>
      <c r="L136" s="38" t="str">
        <f aca="false">IF($A136="","",$J136*$K136)</f>
        <v/>
      </c>
      <c r="M136" s="33"/>
      <c r="N136" s="32"/>
      <c r="O136" s="32"/>
      <c r="P136" s="33"/>
      <c r="Q136" s="32"/>
    </row>
    <row r="137" customFormat="false" ht="15" hidden="false" customHeight="false" outlineLevel="0" collapsed="false">
      <c r="A137" s="32"/>
      <c r="B137" s="33"/>
      <c r="C137" s="32"/>
      <c r="D137" s="37" t="str">
        <f aca="false">IF($C137="","",IFERROR(INDEX('Check giá'!$C$4:$C$203,MATCH($C137,'Check giá'!$A$4:$A$203,0)),""))</f>
        <v/>
      </c>
      <c r="E137" s="37" t="str">
        <f aca="false">IF($C137="","",IFERROR(INDEX('Check giá'!$D$4:$D$203,MATCH($C137,'Check giá'!$A$4:$A$203,0)),""))</f>
        <v/>
      </c>
      <c r="F137" s="37" t="str">
        <f aca="false">IF($C137="","",IFERROR(INDEX('Check giá'!$E$4:$E$203,MATCH($C137,'Check giá'!$A$4:$A$203,0)),""))</f>
        <v/>
      </c>
      <c r="G137" s="37" t="str">
        <f aca="false">IF($C137="","",IFERROR(INDEX('Check giá'!$F$4:$F$203,MATCH($C137,'Check giá'!$A$4:$A$203,0)),""))</f>
        <v/>
      </c>
      <c r="H137" s="37" t="str">
        <f aca="false">IF($C137="","",IFERROR(INDEX('Check giá'!$G$4:$G$203,MATCH($C137,'Check giá'!$A$4:$A$203,0)),""))</f>
        <v/>
      </c>
      <c r="I137" s="38" t="str">
        <f aca="false">IF($C137="","",IFERROR(INDEX('Check giá'!$Q$4:$Q$203,MATCH($C137,'Check giá'!$A$4:$A$203,0)),""))</f>
        <v/>
      </c>
      <c r="J137" s="34"/>
      <c r="K137" s="34"/>
      <c r="L137" s="38" t="str">
        <f aca="false">IF($A137="","",$J137*$K137)</f>
        <v/>
      </c>
      <c r="M137" s="33"/>
      <c r="N137" s="32"/>
      <c r="O137" s="32"/>
      <c r="P137" s="33"/>
      <c r="Q137" s="32"/>
    </row>
    <row r="138" customFormat="false" ht="15" hidden="false" customHeight="false" outlineLevel="0" collapsed="false">
      <c r="A138" s="32"/>
      <c r="B138" s="33"/>
      <c r="C138" s="32"/>
      <c r="D138" s="37" t="str">
        <f aca="false">IF($C138="","",IFERROR(INDEX('Check giá'!$C$4:$C$203,MATCH($C138,'Check giá'!$A$4:$A$203,0)),""))</f>
        <v/>
      </c>
      <c r="E138" s="37" t="str">
        <f aca="false">IF($C138="","",IFERROR(INDEX('Check giá'!$D$4:$D$203,MATCH($C138,'Check giá'!$A$4:$A$203,0)),""))</f>
        <v/>
      </c>
      <c r="F138" s="37" t="str">
        <f aca="false">IF($C138="","",IFERROR(INDEX('Check giá'!$E$4:$E$203,MATCH($C138,'Check giá'!$A$4:$A$203,0)),""))</f>
        <v/>
      </c>
      <c r="G138" s="37" t="str">
        <f aca="false">IF($C138="","",IFERROR(INDEX('Check giá'!$F$4:$F$203,MATCH($C138,'Check giá'!$A$4:$A$203,0)),""))</f>
        <v/>
      </c>
      <c r="H138" s="37" t="str">
        <f aca="false">IF($C138="","",IFERROR(INDEX('Check giá'!$G$4:$G$203,MATCH($C138,'Check giá'!$A$4:$A$203,0)),""))</f>
        <v/>
      </c>
      <c r="I138" s="38" t="str">
        <f aca="false">IF($C138="","",IFERROR(INDEX('Check giá'!$Q$4:$Q$203,MATCH($C138,'Check giá'!$A$4:$A$203,0)),""))</f>
        <v/>
      </c>
      <c r="J138" s="34"/>
      <c r="K138" s="34"/>
      <c r="L138" s="38" t="str">
        <f aca="false">IF($A138="","",$J138*$K138)</f>
        <v/>
      </c>
      <c r="M138" s="33"/>
      <c r="N138" s="32"/>
      <c r="O138" s="32"/>
      <c r="P138" s="33"/>
      <c r="Q138" s="32"/>
    </row>
    <row r="139" customFormat="false" ht="15" hidden="false" customHeight="false" outlineLevel="0" collapsed="false">
      <c r="A139" s="32"/>
      <c r="B139" s="33"/>
      <c r="C139" s="32"/>
      <c r="D139" s="37" t="str">
        <f aca="false">IF($C139="","",IFERROR(INDEX('Check giá'!$C$4:$C$203,MATCH($C139,'Check giá'!$A$4:$A$203,0)),""))</f>
        <v/>
      </c>
      <c r="E139" s="37" t="str">
        <f aca="false">IF($C139="","",IFERROR(INDEX('Check giá'!$D$4:$D$203,MATCH($C139,'Check giá'!$A$4:$A$203,0)),""))</f>
        <v/>
      </c>
      <c r="F139" s="37" t="str">
        <f aca="false">IF($C139="","",IFERROR(INDEX('Check giá'!$E$4:$E$203,MATCH($C139,'Check giá'!$A$4:$A$203,0)),""))</f>
        <v/>
      </c>
      <c r="G139" s="37" t="str">
        <f aca="false">IF($C139="","",IFERROR(INDEX('Check giá'!$F$4:$F$203,MATCH($C139,'Check giá'!$A$4:$A$203,0)),""))</f>
        <v/>
      </c>
      <c r="H139" s="37" t="str">
        <f aca="false">IF($C139="","",IFERROR(INDEX('Check giá'!$G$4:$G$203,MATCH($C139,'Check giá'!$A$4:$A$203,0)),""))</f>
        <v/>
      </c>
      <c r="I139" s="38" t="str">
        <f aca="false">IF($C139="","",IFERROR(INDEX('Check giá'!$Q$4:$Q$203,MATCH($C139,'Check giá'!$A$4:$A$203,0)),""))</f>
        <v/>
      </c>
      <c r="J139" s="34"/>
      <c r="K139" s="34"/>
      <c r="L139" s="38" t="str">
        <f aca="false">IF($A139="","",$J139*$K139)</f>
        <v/>
      </c>
      <c r="M139" s="33"/>
      <c r="N139" s="32"/>
      <c r="O139" s="32"/>
      <c r="P139" s="33"/>
      <c r="Q139" s="32"/>
    </row>
    <row r="140" customFormat="false" ht="15" hidden="false" customHeight="false" outlineLevel="0" collapsed="false">
      <c r="A140" s="32"/>
      <c r="B140" s="33"/>
      <c r="C140" s="32"/>
      <c r="D140" s="37" t="str">
        <f aca="false">IF($C140="","",IFERROR(INDEX('Check giá'!$C$4:$C$203,MATCH($C140,'Check giá'!$A$4:$A$203,0)),""))</f>
        <v/>
      </c>
      <c r="E140" s="37" t="str">
        <f aca="false">IF($C140="","",IFERROR(INDEX('Check giá'!$D$4:$D$203,MATCH($C140,'Check giá'!$A$4:$A$203,0)),""))</f>
        <v/>
      </c>
      <c r="F140" s="37" t="str">
        <f aca="false">IF($C140="","",IFERROR(INDEX('Check giá'!$E$4:$E$203,MATCH($C140,'Check giá'!$A$4:$A$203,0)),""))</f>
        <v/>
      </c>
      <c r="G140" s="37" t="str">
        <f aca="false">IF($C140="","",IFERROR(INDEX('Check giá'!$F$4:$F$203,MATCH($C140,'Check giá'!$A$4:$A$203,0)),""))</f>
        <v/>
      </c>
      <c r="H140" s="37" t="str">
        <f aca="false">IF($C140="","",IFERROR(INDEX('Check giá'!$G$4:$G$203,MATCH($C140,'Check giá'!$A$4:$A$203,0)),""))</f>
        <v/>
      </c>
      <c r="I140" s="38" t="str">
        <f aca="false">IF($C140="","",IFERROR(INDEX('Check giá'!$Q$4:$Q$203,MATCH($C140,'Check giá'!$A$4:$A$203,0)),""))</f>
        <v/>
      </c>
      <c r="J140" s="34"/>
      <c r="K140" s="34"/>
      <c r="L140" s="38" t="str">
        <f aca="false">IF($A140="","",$J140*$K140)</f>
        <v/>
      </c>
      <c r="M140" s="33"/>
      <c r="N140" s="32"/>
      <c r="O140" s="32"/>
      <c r="P140" s="33"/>
      <c r="Q140" s="32"/>
    </row>
    <row r="141" customFormat="false" ht="15" hidden="false" customHeight="false" outlineLevel="0" collapsed="false">
      <c r="A141" s="32"/>
      <c r="B141" s="33"/>
      <c r="C141" s="32"/>
      <c r="D141" s="37" t="str">
        <f aca="false">IF($C141="","",IFERROR(INDEX('Check giá'!$C$4:$C$203,MATCH($C141,'Check giá'!$A$4:$A$203,0)),""))</f>
        <v/>
      </c>
      <c r="E141" s="37" t="str">
        <f aca="false">IF($C141="","",IFERROR(INDEX('Check giá'!$D$4:$D$203,MATCH($C141,'Check giá'!$A$4:$A$203,0)),""))</f>
        <v/>
      </c>
      <c r="F141" s="37" t="str">
        <f aca="false">IF($C141="","",IFERROR(INDEX('Check giá'!$E$4:$E$203,MATCH($C141,'Check giá'!$A$4:$A$203,0)),""))</f>
        <v/>
      </c>
      <c r="G141" s="37" t="str">
        <f aca="false">IF($C141="","",IFERROR(INDEX('Check giá'!$F$4:$F$203,MATCH($C141,'Check giá'!$A$4:$A$203,0)),""))</f>
        <v/>
      </c>
      <c r="H141" s="37" t="str">
        <f aca="false">IF($C141="","",IFERROR(INDEX('Check giá'!$G$4:$G$203,MATCH($C141,'Check giá'!$A$4:$A$203,0)),""))</f>
        <v/>
      </c>
      <c r="I141" s="38" t="str">
        <f aca="false">IF($C141="","",IFERROR(INDEX('Check giá'!$Q$4:$Q$203,MATCH($C141,'Check giá'!$A$4:$A$203,0)),""))</f>
        <v/>
      </c>
      <c r="J141" s="34"/>
      <c r="K141" s="34"/>
      <c r="L141" s="38" t="str">
        <f aca="false">IF($A141="","",$J141*$K141)</f>
        <v/>
      </c>
      <c r="M141" s="33"/>
      <c r="N141" s="32"/>
      <c r="O141" s="32"/>
      <c r="P141" s="33"/>
      <c r="Q141" s="32"/>
    </row>
    <row r="142" customFormat="false" ht="15" hidden="false" customHeight="false" outlineLevel="0" collapsed="false">
      <c r="A142" s="32"/>
      <c r="B142" s="33"/>
      <c r="C142" s="32"/>
      <c r="D142" s="37" t="str">
        <f aca="false">IF($C142="","",IFERROR(INDEX('Check giá'!$C$4:$C$203,MATCH($C142,'Check giá'!$A$4:$A$203,0)),""))</f>
        <v/>
      </c>
      <c r="E142" s="37" t="str">
        <f aca="false">IF($C142="","",IFERROR(INDEX('Check giá'!$D$4:$D$203,MATCH($C142,'Check giá'!$A$4:$A$203,0)),""))</f>
        <v/>
      </c>
      <c r="F142" s="37" t="str">
        <f aca="false">IF($C142="","",IFERROR(INDEX('Check giá'!$E$4:$E$203,MATCH($C142,'Check giá'!$A$4:$A$203,0)),""))</f>
        <v/>
      </c>
      <c r="G142" s="37" t="str">
        <f aca="false">IF($C142="","",IFERROR(INDEX('Check giá'!$F$4:$F$203,MATCH($C142,'Check giá'!$A$4:$A$203,0)),""))</f>
        <v/>
      </c>
      <c r="H142" s="37" t="str">
        <f aca="false">IF($C142="","",IFERROR(INDEX('Check giá'!$G$4:$G$203,MATCH($C142,'Check giá'!$A$4:$A$203,0)),""))</f>
        <v/>
      </c>
      <c r="I142" s="38" t="str">
        <f aca="false">IF($C142="","",IFERROR(INDEX('Check giá'!$Q$4:$Q$203,MATCH($C142,'Check giá'!$A$4:$A$203,0)),""))</f>
        <v/>
      </c>
      <c r="J142" s="34"/>
      <c r="K142" s="34"/>
      <c r="L142" s="38" t="str">
        <f aca="false">IF($A142="","",$J142*$K142)</f>
        <v/>
      </c>
      <c r="M142" s="33"/>
      <c r="N142" s="32"/>
      <c r="O142" s="32"/>
      <c r="P142" s="33"/>
      <c r="Q142" s="32"/>
    </row>
    <row r="143" customFormat="false" ht="15" hidden="false" customHeight="false" outlineLevel="0" collapsed="false">
      <c r="A143" s="32"/>
      <c r="B143" s="33"/>
      <c r="C143" s="32"/>
      <c r="D143" s="37" t="str">
        <f aca="false">IF($C143="","",IFERROR(INDEX('Check giá'!$C$4:$C$203,MATCH($C143,'Check giá'!$A$4:$A$203,0)),""))</f>
        <v/>
      </c>
      <c r="E143" s="37" t="str">
        <f aca="false">IF($C143="","",IFERROR(INDEX('Check giá'!$D$4:$D$203,MATCH($C143,'Check giá'!$A$4:$A$203,0)),""))</f>
        <v/>
      </c>
      <c r="F143" s="37" t="str">
        <f aca="false">IF($C143="","",IFERROR(INDEX('Check giá'!$E$4:$E$203,MATCH($C143,'Check giá'!$A$4:$A$203,0)),""))</f>
        <v/>
      </c>
      <c r="G143" s="37" t="str">
        <f aca="false">IF($C143="","",IFERROR(INDEX('Check giá'!$F$4:$F$203,MATCH($C143,'Check giá'!$A$4:$A$203,0)),""))</f>
        <v/>
      </c>
      <c r="H143" s="37" t="str">
        <f aca="false">IF($C143="","",IFERROR(INDEX('Check giá'!$G$4:$G$203,MATCH($C143,'Check giá'!$A$4:$A$203,0)),""))</f>
        <v/>
      </c>
      <c r="I143" s="38" t="str">
        <f aca="false">IF($C143="","",IFERROR(INDEX('Check giá'!$Q$4:$Q$203,MATCH($C143,'Check giá'!$A$4:$A$203,0)),""))</f>
        <v/>
      </c>
      <c r="J143" s="34"/>
      <c r="K143" s="34"/>
      <c r="L143" s="38" t="str">
        <f aca="false">IF($A143="","",$J143*$K143)</f>
        <v/>
      </c>
      <c r="M143" s="33"/>
      <c r="N143" s="32"/>
      <c r="O143" s="32"/>
      <c r="P143" s="33"/>
      <c r="Q143" s="32"/>
    </row>
    <row r="144" customFormat="false" ht="15" hidden="false" customHeight="false" outlineLevel="0" collapsed="false">
      <c r="A144" s="32"/>
      <c r="B144" s="33"/>
      <c r="C144" s="32"/>
      <c r="D144" s="37" t="str">
        <f aca="false">IF($C144="","",IFERROR(INDEX('Check giá'!$C$4:$C$203,MATCH($C144,'Check giá'!$A$4:$A$203,0)),""))</f>
        <v/>
      </c>
      <c r="E144" s="37" t="str">
        <f aca="false">IF($C144="","",IFERROR(INDEX('Check giá'!$D$4:$D$203,MATCH($C144,'Check giá'!$A$4:$A$203,0)),""))</f>
        <v/>
      </c>
      <c r="F144" s="37" t="str">
        <f aca="false">IF($C144="","",IFERROR(INDEX('Check giá'!$E$4:$E$203,MATCH($C144,'Check giá'!$A$4:$A$203,0)),""))</f>
        <v/>
      </c>
      <c r="G144" s="37" t="str">
        <f aca="false">IF($C144="","",IFERROR(INDEX('Check giá'!$F$4:$F$203,MATCH($C144,'Check giá'!$A$4:$A$203,0)),""))</f>
        <v/>
      </c>
      <c r="H144" s="37" t="str">
        <f aca="false">IF($C144="","",IFERROR(INDEX('Check giá'!$G$4:$G$203,MATCH($C144,'Check giá'!$A$4:$A$203,0)),""))</f>
        <v/>
      </c>
      <c r="I144" s="38" t="str">
        <f aca="false">IF($C144="","",IFERROR(INDEX('Check giá'!$Q$4:$Q$203,MATCH($C144,'Check giá'!$A$4:$A$203,0)),""))</f>
        <v/>
      </c>
      <c r="J144" s="34"/>
      <c r="K144" s="34"/>
      <c r="L144" s="38" t="str">
        <f aca="false">IF($A144="","",$J144*$K144)</f>
        <v/>
      </c>
      <c r="M144" s="33"/>
      <c r="N144" s="32"/>
      <c r="O144" s="32"/>
      <c r="P144" s="33"/>
      <c r="Q144" s="32"/>
    </row>
    <row r="145" customFormat="false" ht="15" hidden="false" customHeight="false" outlineLevel="0" collapsed="false">
      <c r="A145" s="32"/>
      <c r="B145" s="33"/>
      <c r="C145" s="32"/>
      <c r="D145" s="37" t="str">
        <f aca="false">IF($C145="","",IFERROR(INDEX('Check giá'!$C$4:$C$203,MATCH($C145,'Check giá'!$A$4:$A$203,0)),""))</f>
        <v/>
      </c>
      <c r="E145" s="37" t="str">
        <f aca="false">IF($C145="","",IFERROR(INDEX('Check giá'!$D$4:$D$203,MATCH($C145,'Check giá'!$A$4:$A$203,0)),""))</f>
        <v/>
      </c>
      <c r="F145" s="37" t="str">
        <f aca="false">IF($C145="","",IFERROR(INDEX('Check giá'!$E$4:$E$203,MATCH($C145,'Check giá'!$A$4:$A$203,0)),""))</f>
        <v/>
      </c>
      <c r="G145" s="37" t="str">
        <f aca="false">IF($C145="","",IFERROR(INDEX('Check giá'!$F$4:$F$203,MATCH($C145,'Check giá'!$A$4:$A$203,0)),""))</f>
        <v/>
      </c>
      <c r="H145" s="37" t="str">
        <f aca="false">IF($C145="","",IFERROR(INDEX('Check giá'!$G$4:$G$203,MATCH($C145,'Check giá'!$A$4:$A$203,0)),""))</f>
        <v/>
      </c>
      <c r="I145" s="38" t="str">
        <f aca="false">IF($C145="","",IFERROR(INDEX('Check giá'!$Q$4:$Q$203,MATCH($C145,'Check giá'!$A$4:$A$203,0)),""))</f>
        <v/>
      </c>
      <c r="J145" s="34"/>
      <c r="K145" s="34"/>
      <c r="L145" s="38" t="str">
        <f aca="false">IF($A145="","",$J145*$K145)</f>
        <v/>
      </c>
      <c r="M145" s="33"/>
      <c r="N145" s="32"/>
      <c r="O145" s="32"/>
      <c r="P145" s="33"/>
      <c r="Q145" s="32"/>
    </row>
    <row r="146" customFormat="false" ht="15" hidden="false" customHeight="false" outlineLevel="0" collapsed="false">
      <c r="A146" s="32"/>
      <c r="B146" s="33"/>
      <c r="C146" s="32"/>
      <c r="D146" s="37" t="str">
        <f aca="false">IF($C146="","",IFERROR(INDEX('Check giá'!$C$4:$C$203,MATCH($C146,'Check giá'!$A$4:$A$203,0)),""))</f>
        <v/>
      </c>
      <c r="E146" s="37" t="str">
        <f aca="false">IF($C146="","",IFERROR(INDEX('Check giá'!$D$4:$D$203,MATCH($C146,'Check giá'!$A$4:$A$203,0)),""))</f>
        <v/>
      </c>
      <c r="F146" s="37" t="str">
        <f aca="false">IF($C146="","",IFERROR(INDEX('Check giá'!$E$4:$E$203,MATCH($C146,'Check giá'!$A$4:$A$203,0)),""))</f>
        <v/>
      </c>
      <c r="G146" s="37" t="str">
        <f aca="false">IF($C146="","",IFERROR(INDEX('Check giá'!$F$4:$F$203,MATCH($C146,'Check giá'!$A$4:$A$203,0)),""))</f>
        <v/>
      </c>
      <c r="H146" s="37" t="str">
        <f aca="false">IF($C146="","",IFERROR(INDEX('Check giá'!$G$4:$G$203,MATCH($C146,'Check giá'!$A$4:$A$203,0)),""))</f>
        <v/>
      </c>
      <c r="I146" s="38" t="str">
        <f aca="false">IF($C146="","",IFERROR(INDEX('Check giá'!$Q$4:$Q$203,MATCH($C146,'Check giá'!$A$4:$A$203,0)),""))</f>
        <v/>
      </c>
      <c r="J146" s="34"/>
      <c r="K146" s="34"/>
      <c r="L146" s="38" t="str">
        <f aca="false">IF($A146="","",$J146*$K146)</f>
        <v/>
      </c>
      <c r="M146" s="33"/>
      <c r="N146" s="32"/>
      <c r="O146" s="32"/>
      <c r="P146" s="33"/>
      <c r="Q146" s="32"/>
    </row>
    <row r="147" customFormat="false" ht="15" hidden="false" customHeight="false" outlineLevel="0" collapsed="false">
      <c r="A147" s="32"/>
      <c r="B147" s="33"/>
      <c r="C147" s="32"/>
      <c r="D147" s="37" t="str">
        <f aca="false">IF($C147="","",IFERROR(INDEX('Check giá'!$C$4:$C$203,MATCH($C147,'Check giá'!$A$4:$A$203,0)),""))</f>
        <v/>
      </c>
      <c r="E147" s="37" t="str">
        <f aca="false">IF($C147="","",IFERROR(INDEX('Check giá'!$D$4:$D$203,MATCH($C147,'Check giá'!$A$4:$A$203,0)),""))</f>
        <v/>
      </c>
      <c r="F147" s="37" t="str">
        <f aca="false">IF($C147="","",IFERROR(INDEX('Check giá'!$E$4:$E$203,MATCH($C147,'Check giá'!$A$4:$A$203,0)),""))</f>
        <v/>
      </c>
      <c r="G147" s="37" t="str">
        <f aca="false">IF($C147="","",IFERROR(INDEX('Check giá'!$F$4:$F$203,MATCH($C147,'Check giá'!$A$4:$A$203,0)),""))</f>
        <v/>
      </c>
      <c r="H147" s="37" t="str">
        <f aca="false">IF($C147="","",IFERROR(INDEX('Check giá'!$G$4:$G$203,MATCH($C147,'Check giá'!$A$4:$A$203,0)),""))</f>
        <v/>
      </c>
      <c r="I147" s="38" t="str">
        <f aca="false">IF($C147="","",IFERROR(INDEX('Check giá'!$Q$4:$Q$203,MATCH($C147,'Check giá'!$A$4:$A$203,0)),""))</f>
        <v/>
      </c>
      <c r="J147" s="34"/>
      <c r="K147" s="34"/>
      <c r="L147" s="38" t="str">
        <f aca="false">IF($A147="","",$J147*$K147)</f>
        <v/>
      </c>
      <c r="M147" s="33"/>
      <c r="N147" s="32"/>
      <c r="O147" s="32"/>
      <c r="P147" s="33"/>
      <c r="Q147" s="32"/>
    </row>
    <row r="148" customFormat="false" ht="15" hidden="false" customHeight="false" outlineLevel="0" collapsed="false">
      <c r="A148" s="32"/>
      <c r="B148" s="33"/>
      <c r="C148" s="32"/>
      <c r="D148" s="37" t="str">
        <f aca="false">IF($C148="","",IFERROR(INDEX('Check giá'!$C$4:$C$203,MATCH($C148,'Check giá'!$A$4:$A$203,0)),""))</f>
        <v/>
      </c>
      <c r="E148" s="37" t="str">
        <f aca="false">IF($C148="","",IFERROR(INDEX('Check giá'!$D$4:$D$203,MATCH($C148,'Check giá'!$A$4:$A$203,0)),""))</f>
        <v/>
      </c>
      <c r="F148" s="37" t="str">
        <f aca="false">IF($C148="","",IFERROR(INDEX('Check giá'!$E$4:$E$203,MATCH($C148,'Check giá'!$A$4:$A$203,0)),""))</f>
        <v/>
      </c>
      <c r="G148" s="37" t="str">
        <f aca="false">IF($C148="","",IFERROR(INDEX('Check giá'!$F$4:$F$203,MATCH($C148,'Check giá'!$A$4:$A$203,0)),""))</f>
        <v/>
      </c>
      <c r="H148" s="37" t="str">
        <f aca="false">IF($C148="","",IFERROR(INDEX('Check giá'!$G$4:$G$203,MATCH($C148,'Check giá'!$A$4:$A$203,0)),""))</f>
        <v/>
      </c>
      <c r="I148" s="38" t="str">
        <f aca="false">IF($C148="","",IFERROR(INDEX('Check giá'!$Q$4:$Q$203,MATCH($C148,'Check giá'!$A$4:$A$203,0)),""))</f>
        <v/>
      </c>
      <c r="J148" s="34"/>
      <c r="K148" s="34"/>
      <c r="L148" s="38" t="str">
        <f aca="false">IF($A148="","",$J148*$K148)</f>
        <v/>
      </c>
      <c r="M148" s="33"/>
      <c r="N148" s="32"/>
      <c r="O148" s="32"/>
      <c r="P148" s="33"/>
      <c r="Q148" s="32"/>
    </row>
    <row r="149" customFormat="false" ht="15" hidden="false" customHeight="false" outlineLevel="0" collapsed="false">
      <c r="A149" s="32"/>
      <c r="B149" s="33"/>
      <c r="C149" s="32"/>
      <c r="D149" s="37" t="str">
        <f aca="false">IF($C149="","",IFERROR(INDEX('Check giá'!$C$4:$C$203,MATCH($C149,'Check giá'!$A$4:$A$203,0)),""))</f>
        <v/>
      </c>
      <c r="E149" s="37" t="str">
        <f aca="false">IF($C149="","",IFERROR(INDEX('Check giá'!$D$4:$D$203,MATCH($C149,'Check giá'!$A$4:$A$203,0)),""))</f>
        <v/>
      </c>
      <c r="F149" s="37" t="str">
        <f aca="false">IF($C149="","",IFERROR(INDEX('Check giá'!$E$4:$E$203,MATCH($C149,'Check giá'!$A$4:$A$203,0)),""))</f>
        <v/>
      </c>
      <c r="G149" s="37" t="str">
        <f aca="false">IF($C149="","",IFERROR(INDEX('Check giá'!$F$4:$F$203,MATCH($C149,'Check giá'!$A$4:$A$203,0)),""))</f>
        <v/>
      </c>
      <c r="H149" s="37" t="str">
        <f aca="false">IF($C149="","",IFERROR(INDEX('Check giá'!$G$4:$G$203,MATCH($C149,'Check giá'!$A$4:$A$203,0)),""))</f>
        <v/>
      </c>
      <c r="I149" s="38" t="str">
        <f aca="false">IF($C149="","",IFERROR(INDEX('Check giá'!$Q$4:$Q$203,MATCH($C149,'Check giá'!$A$4:$A$203,0)),""))</f>
        <v/>
      </c>
      <c r="J149" s="34"/>
      <c r="K149" s="34"/>
      <c r="L149" s="38" t="str">
        <f aca="false">IF($A149="","",$J149*$K149)</f>
        <v/>
      </c>
      <c r="M149" s="33"/>
      <c r="N149" s="32"/>
      <c r="O149" s="32"/>
      <c r="P149" s="33"/>
      <c r="Q149" s="32"/>
    </row>
    <row r="150" customFormat="false" ht="15" hidden="false" customHeight="false" outlineLevel="0" collapsed="false">
      <c r="A150" s="32"/>
      <c r="B150" s="33"/>
      <c r="C150" s="32"/>
      <c r="D150" s="37" t="str">
        <f aca="false">IF($C150="","",IFERROR(INDEX('Check giá'!$C$4:$C$203,MATCH($C150,'Check giá'!$A$4:$A$203,0)),""))</f>
        <v/>
      </c>
      <c r="E150" s="37" t="str">
        <f aca="false">IF($C150="","",IFERROR(INDEX('Check giá'!$D$4:$D$203,MATCH($C150,'Check giá'!$A$4:$A$203,0)),""))</f>
        <v/>
      </c>
      <c r="F150" s="37" t="str">
        <f aca="false">IF($C150="","",IFERROR(INDEX('Check giá'!$E$4:$E$203,MATCH($C150,'Check giá'!$A$4:$A$203,0)),""))</f>
        <v/>
      </c>
      <c r="G150" s="37" t="str">
        <f aca="false">IF($C150="","",IFERROR(INDEX('Check giá'!$F$4:$F$203,MATCH($C150,'Check giá'!$A$4:$A$203,0)),""))</f>
        <v/>
      </c>
      <c r="H150" s="37" t="str">
        <f aca="false">IF($C150="","",IFERROR(INDEX('Check giá'!$G$4:$G$203,MATCH($C150,'Check giá'!$A$4:$A$203,0)),""))</f>
        <v/>
      </c>
      <c r="I150" s="38" t="str">
        <f aca="false">IF($C150="","",IFERROR(INDEX('Check giá'!$Q$4:$Q$203,MATCH($C150,'Check giá'!$A$4:$A$203,0)),""))</f>
        <v/>
      </c>
      <c r="J150" s="34"/>
      <c r="K150" s="34"/>
      <c r="L150" s="38" t="str">
        <f aca="false">IF($A150="","",$J150*$K150)</f>
        <v/>
      </c>
      <c r="M150" s="33"/>
      <c r="N150" s="32"/>
      <c r="O150" s="32"/>
      <c r="P150" s="33"/>
      <c r="Q150" s="32"/>
    </row>
    <row r="151" customFormat="false" ht="15" hidden="false" customHeight="false" outlineLevel="0" collapsed="false">
      <c r="A151" s="32"/>
      <c r="B151" s="33"/>
      <c r="C151" s="32"/>
      <c r="D151" s="37" t="str">
        <f aca="false">IF($C151="","",IFERROR(INDEX('Check giá'!$C$4:$C$203,MATCH($C151,'Check giá'!$A$4:$A$203,0)),""))</f>
        <v/>
      </c>
      <c r="E151" s="37" t="str">
        <f aca="false">IF($C151="","",IFERROR(INDEX('Check giá'!$D$4:$D$203,MATCH($C151,'Check giá'!$A$4:$A$203,0)),""))</f>
        <v/>
      </c>
      <c r="F151" s="37" t="str">
        <f aca="false">IF($C151="","",IFERROR(INDEX('Check giá'!$E$4:$E$203,MATCH($C151,'Check giá'!$A$4:$A$203,0)),""))</f>
        <v/>
      </c>
      <c r="G151" s="37" t="str">
        <f aca="false">IF($C151="","",IFERROR(INDEX('Check giá'!$F$4:$F$203,MATCH($C151,'Check giá'!$A$4:$A$203,0)),""))</f>
        <v/>
      </c>
      <c r="H151" s="37" t="str">
        <f aca="false">IF($C151="","",IFERROR(INDEX('Check giá'!$G$4:$G$203,MATCH($C151,'Check giá'!$A$4:$A$203,0)),""))</f>
        <v/>
      </c>
      <c r="I151" s="38" t="str">
        <f aca="false">IF($C151="","",IFERROR(INDEX('Check giá'!$Q$4:$Q$203,MATCH($C151,'Check giá'!$A$4:$A$203,0)),""))</f>
        <v/>
      </c>
      <c r="J151" s="34"/>
      <c r="K151" s="34"/>
      <c r="L151" s="38" t="str">
        <f aca="false">IF($A151="","",$J151*$K151)</f>
        <v/>
      </c>
      <c r="M151" s="33"/>
      <c r="N151" s="32"/>
      <c r="O151" s="32"/>
      <c r="P151" s="33"/>
      <c r="Q151" s="32"/>
    </row>
    <row r="152" customFormat="false" ht="15" hidden="false" customHeight="false" outlineLevel="0" collapsed="false">
      <c r="A152" s="32"/>
      <c r="B152" s="33"/>
      <c r="C152" s="32"/>
      <c r="D152" s="37" t="str">
        <f aca="false">IF($C152="","",IFERROR(INDEX('Check giá'!$C$4:$C$203,MATCH($C152,'Check giá'!$A$4:$A$203,0)),""))</f>
        <v/>
      </c>
      <c r="E152" s="37" t="str">
        <f aca="false">IF($C152="","",IFERROR(INDEX('Check giá'!$D$4:$D$203,MATCH($C152,'Check giá'!$A$4:$A$203,0)),""))</f>
        <v/>
      </c>
      <c r="F152" s="37" t="str">
        <f aca="false">IF($C152="","",IFERROR(INDEX('Check giá'!$E$4:$E$203,MATCH($C152,'Check giá'!$A$4:$A$203,0)),""))</f>
        <v/>
      </c>
      <c r="G152" s="37" t="str">
        <f aca="false">IF($C152="","",IFERROR(INDEX('Check giá'!$F$4:$F$203,MATCH($C152,'Check giá'!$A$4:$A$203,0)),""))</f>
        <v/>
      </c>
      <c r="H152" s="37" t="str">
        <f aca="false">IF($C152="","",IFERROR(INDEX('Check giá'!$G$4:$G$203,MATCH($C152,'Check giá'!$A$4:$A$203,0)),""))</f>
        <v/>
      </c>
      <c r="I152" s="38" t="str">
        <f aca="false">IF($C152="","",IFERROR(INDEX('Check giá'!$Q$4:$Q$203,MATCH($C152,'Check giá'!$A$4:$A$203,0)),""))</f>
        <v/>
      </c>
      <c r="J152" s="34"/>
      <c r="K152" s="34"/>
      <c r="L152" s="38" t="str">
        <f aca="false">IF($A152="","",$J152*$K152)</f>
        <v/>
      </c>
      <c r="M152" s="33"/>
      <c r="N152" s="32"/>
      <c r="O152" s="32"/>
      <c r="P152" s="33"/>
      <c r="Q152" s="32"/>
    </row>
    <row r="153" customFormat="false" ht="15" hidden="false" customHeight="false" outlineLevel="0" collapsed="false">
      <c r="A153" s="32"/>
      <c r="B153" s="33"/>
      <c r="C153" s="32"/>
      <c r="D153" s="37" t="str">
        <f aca="false">IF($C153="","",IFERROR(INDEX('Check giá'!$C$4:$C$203,MATCH($C153,'Check giá'!$A$4:$A$203,0)),""))</f>
        <v/>
      </c>
      <c r="E153" s="37" t="str">
        <f aca="false">IF($C153="","",IFERROR(INDEX('Check giá'!$D$4:$D$203,MATCH($C153,'Check giá'!$A$4:$A$203,0)),""))</f>
        <v/>
      </c>
      <c r="F153" s="37" t="str">
        <f aca="false">IF($C153="","",IFERROR(INDEX('Check giá'!$E$4:$E$203,MATCH($C153,'Check giá'!$A$4:$A$203,0)),""))</f>
        <v/>
      </c>
      <c r="G153" s="37" t="str">
        <f aca="false">IF($C153="","",IFERROR(INDEX('Check giá'!$F$4:$F$203,MATCH($C153,'Check giá'!$A$4:$A$203,0)),""))</f>
        <v/>
      </c>
      <c r="H153" s="37" t="str">
        <f aca="false">IF($C153="","",IFERROR(INDEX('Check giá'!$G$4:$G$203,MATCH($C153,'Check giá'!$A$4:$A$203,0)),""))</f>
        <v/>
      </c>
      <c r="I153" s="38" t="str">
        <f aca="false">IF($C153="","",IFERROR(INDEX('Check giá'!$Q$4:$Q$203,MATCH($C153,'Check giá'!$A$4:$A$203,0)),""))</f>
        <v/>
      </c>
      <c r="J153" s="34"/>
      <c r="K153" s="34"/>
      <c r="L153" s="38" t="str">
        <f aca="false">IF($A153="","",$J153*$K153)</f>
        <v/>
      </c>
      <c r="M153" s="33"/>
      <c r="N153" s="32"/>
      <c r="O153" s="32"/>
      <c r="P153" s="33"/>
      <c r="Q153" s="32"/>
    </row>
    <row r="154" customFormat="false" ht="15" hidden="false" customHeight="false" outlineLevel="0" collapsed="false">
      <c r="A154" s="32"/>
      <c r="B154" s="33"/>
      <c r="C154" s="32"/>
      <c r="D154" s="37" t="str">
        <f aca="false">IF($C154="","",IFERROR(INDEX('Check giá'!$C$4:$C$203,MATCH($C154,'Check giá'!$A$4:$A$203,0)),""))</f>
        <v/>
      </c>
      <c r="E154" s="37" t="str">
        <f aca="false">IF($C154="","",IFERROR(INDEX('Check giá'!$D$4:$D$203,MATCH($C154,'Check giá'!$A$4:$A$203,0)),""))</f>
        <v/>
      </c>
      <c r="F154" s="37" t="str">
        <f aca="false">IF($C154="","",IFERROR(INDEX('Check giá'!$E$4:$E$203,MATCH($C154,'Check giá'!$A$4:$A$203,0)),""))</f>
        <v/>
      </c>
      <c r="G154" s="37" t="str">
        <f aca="false">IF($C154="","",IFERROR(INDEX('Check giá'!$F$4:$F$203,MATCH($C154,'Check giá'!$A$4:$A$203,0)),""))</f>
        <v/>
      </c>
      <c r="H154" s="37" t="str">
        <f aca="false">IF($C154="","",IFERROR(INDEX('Check giá'!$G$4:$G$203,MATCH($C154,'Check giá'!$A$4:$A$203,0)),""))</f>
        <v/>
      </c>
      <c r="I154" s="38" t="str">
        <f aca="false">IF($C154="","",IFERROR(INDEX('Check giá'!$Q$4:$Q$203,MATCH($C154,'Check giá'!$A$4:$A$203,0)),""))</f>
        <v/>
      </c>
      <c r="J154" s="34"/>
      <c r="K154" s="34"/>
      <c r="L154" s="38" t="str">
        <f aca="false">IF($A154="","",$J154*$K154)</f>
        <v/>
      </c>
      <c r="M154" s="33"/>
      <c r="N154" s="32"/>
      <c r="O154" s="32"/>
      <c r="P154" s="33"/>
      <c r="Q154" s="32"/>
    </row>
    <row r="155" customFormat="false" ht="15" hidden="false" customHeight="false" outlineLevel="0" collapsed="false">
      <c r="A155" s="32"/>
      <c r="B155" s="33"/>
      <c r="C155" s="32"/>
      <c r="D155" s="37" t="str">
        <f aca="false">IF($C155="","",IFERROR(INDEX('Check giá'!$C$4:$C$203,MATCH($C155,'Check giá'!$A$4:$A$203,0)),""))</f>
        <v/>
      </c>
      <c r="E155" s="37" t="str">
        <f aca="false">IF($C155="","",IFERROR(INDEX('Check giá'!$D$4:$D$203,MATCH($C155,'Check giá'!$A$4:$A$203,0)),""))</f>
        <v/>
      </c>
      <c r="F155" s="37" t="str">
        <f aca="false">IF($C155="","",IFERROR(INDEX('Check giá'!$E$4:$E$203,MATCH($C155,'Check giá'!$A$4:$A$203,0)),""))</f>
        <v/>
      </c>
      <c r="G155" s="37" t="str">
        <f aca="false">IF($C155="","",IFERROR(INDEX('Check giá'!$F$4:$F$203,MATCH($C155,'Check giá'!$A$4:$A$203,0)),""))</f>
        <v/>
      </c>
      <c r="H155" s="37" t="str">
        <f aca="false">IF($C155="","",IFERROR(INDEX('Check giá'!$G$4:$G$203,MATCH($C155,'Check giá'!$A$4:$A$203,0)),""))</f>
        <v/>
      </c>
      <c r="I155" s="38" t="str">
        <f aca="false">IF($C155="","",IFERROR(INDEX('Check giá'!$Q$4:$Q$203,MATCH($C155,'Check giá'!$A$4:$A$203,0)),""))</f>
        <v/>
      </c>
      <c r="J155" s="34"/>
      <c r="K155" s="34"/>
      <c r="L155" s="38" t="str">
        <f aca="false">IF($A155="","",$J155*$K155)</f>
        <v/>
      </c>
      <c r="M155" s="33"/>
      <c r="N155" s="32"/>
      <c r="O155" s="32"/>
      <c r="P155" s="33"/>
      <c r="Q155" s="32"/>
    </row>
    <row r="156" customFormat="false" ht="15" hidden="false" customHeight="false" outlineLevel="0" collapsed="false">
      <c r="A156" s="32"/>
      <c r="B156" s="33"/>
      <c r="C156" s="32"/>
      <c r="D156" s="37" t="str">
        <f aca="false">IF($C156="","",IFERROR(INDEX('Check giá'!$C$4:$C$203,MATCH($C156,'Check giá'!$A$4:$A$203,0)),""))</f>
        <v/>
      </c>
      <c r="E156" s="37" t="str">
        <f aca="false">IF($C156="","",IFERROR(INDEX('Check giá'!$D$4:$D$203,MATCH($C156,'Check giá'!$A$4:$A$203,0)),""))</f>
        <v/>
      </c>
      <c r="F156" s="37" t="str">
        <f aca="false">IF($C156="","",IFERROR(INDEX('Check giá'!$E$4:$E$203,MATCH($C156,'Check giá'!$A$4:$A$203,0)),""))</f>
        <v/>
      </c>
      <c r="G156" s="37" t="str">
        <f aca="false">IF($C156="","",IFERROR(INDEX('Check giá'!$F$4:$F$203,MATCH($C156,'Check giá'!$A$4:$A$203,0)),""))</f>
        <v/>
      </c>
      <c r="H156" s="37" t="str">
        <f aca="false">IF($C156="","",IFERROR(INDEX('Check giá'!$G$4:$G$203,MATCH($C156,'Check giá'!$A$4:$A$203,0)),""))</f>
        <v/>
      </c>
      <c r="I156" s="38" t="str">
        <f aca="false">IF($C156="","",IFERROR(INDEX('Check giá'!$Q$4:$Q$203,MATCH($C156,'Check giá'!$A$4:$A$203,0)),""))</f>
        <v/>
      </c>
      <c r="J156" s="34"/>
      <c r="K156" s="34"/>
      <c r="L156" s="38" t="str">
        <f aca="false">IF($A156="","",$J156*$K156)</f>
        <v/>
      </c>
      <c r="M156" s="33"/>
      <c r="N156" s="32"/>
      <c r="O156" s="32"/>
      <c r="P156" s="33"/>
      <c r="Q156" s="32"/>
    </row>
    <row r="157" customFormat="false" ht="15" hidden="false" customHeight="false" outlineLevel="0" collapsed="false">
      <c r="A157" s="32"/>
      <c r="B157" s="33"/>
      <c r="C157" s="32"/>
      <c r="D157" s="37" t="str">
        <f aca="false">IF($C157="","",IFERROR(INDEX('Check giá'!$C$4:$C$203,MATCH($C157,'Check giá'!$A$4:$A$203,0)),""))</f>
        <v/>
      </c>
      <c r="E157" s="37" t="str">
        <f aca="false">IF($C157="","",IFERROR(INDEX('Check giá'!$D$4:$D$203,MATCH($C157,'Check giá'!$A$4:$A$203,0)),""))</f>
        <v/>
      </c>
      <c r="F157" s="37" t="str">
        <f aca="false">IF($C157="","",IFERROR(INDEX('Check giá'!$E$4:$E$203,MATCH($C157,'Check giá'!$A$4:$A$203,0)),""))</f>
        <v/>
      </c>
      <c r="G157" s="37" t="str">
        <f aca="false">IF($C157="","",IFERROR(INDEX('Check giá'!$F$4:$F$203,MATCH($C157,'Check giá'!$A$4:$A$203,0)),""))</f>
        <v/>
      </c>
      <c r="H157" s="37" t="str">
        <f aca="false">IF($C157="","",IFERROR(INDEX('Check giá'!$G$4:$G$203,MATCH($C157,'Check giá'!$A$4:$A$203,0)),""))</f>
        <v/>
      </c>
      <c r="I157" s="38" t="str">
        <f aca="false">IF($C157="","",IFERROR(INDEX('Check giá'!$Q$4:$Q$203,MATCH($C157,'Check giá'!$A$4:$A$203,0)),""))</f>
        <v/>
      </c>
      <c r="J157" s="34"/>
      <c r="K157" s="34"/>
      <c r="L157" s="38" t="str">
        <f aca="false">IF($A157="","",$J157*$K157)</f>
        <v/>
      </c>
      <c r="M157" s="33"/>
      <c r="N157" s="32"/>
      <c r="O157" s="32"/>
      <c r="P157" s="33"/>
      <c r="Q157" s="32"/>
    </row>
    <row r="158" customFormat="false" ht="15" hidden="false" customHeight="false" outlineLevel="0" collapsed="false">
      <c r="A158" s="32"/>
      <c r="B158" s="33"/>
      <c r="C158" s="32"/>
      <c r="D158" s="37" t="str">
        <f aca="false">IF($C158="","",IFERROR(INDEX('Check giá'!$C$4:$C$203,MATCH($C158,'Check giá'!$A$4:$A$203,0)),""))</f>
        <v/>
      </c>
      <c r="E158" s="37" t="str">
        <f aca="false">IF($C158="","",IFERROR(INDEX('Check giá'!$D$4:$D$203,MATCH($C158,'Check giá'!$A$4:$A$203,0)),""))</f>
        <v/>
      </c>
      <c r="F158" s="37" t="str">
        <f aca="false">IF($C158="","",IFERROR(INDEX('Check giá'!$E$4:$E$203,MATCH($C158,'Check giá'!$A$4:$A$203,0)),""))</f>
        <v/>
      </c>
      <c r="G158" s="37" t="str">
        <f aca="false">IF($C158="","",IFERROR(INDEX('Check giá'!$F$4:$F$203,MATCH($C158,'Check giá'!$A$4:$A$203,0)),""))</f>
        <v/>
      </c>
      <c r="H158" s="37" t="str">
        <f aca="false">IF($C158="","",IFERROR(INDEX('Check giá'!$G$4:$G$203,MATCH($C158,'Check giá'!$A$4:$A$203,0)),""))</f>
        <v/>
      </c>
      <c r="I158" s="38" t="str">
        <f aca="false">IF($C158="","",IFERROR(INDEX('Check giá'!$Q$4:$Q$203,MATCH($C158,'Check giá'!$A$4:$A$203,0)),""))</f>
        <v/>
      </c>
      <c r="J158" s="34"/>
      <c r="K158" s="34"/>
      <c r="L158" s="38" t="str">
        <f aca="false">IF($A158="","",$J158*$K158)</f>
        <v/>
      </c>
      <c r="M158" s="33"/>
      <c r="N158" s="32"/>
      <c r="O158" s="32"/>
      <c r="P158" s="33"/>
      <c r="Q158" s="32"/>
    </row>
    <row r="159" customFormat="false" ht="15" hidden="false" customHeight="false" outlineLevel="0" collapsed="false">
      <c r="A159" s="32"/>
      <c r="B159" s="33"/>
      <c r="C159" s="32"/>
      <c r="D159" s="37" t="str">
        <f aca="false">IF($C159="","",IFERROR(INDEX('Check giá'!$C$4:$C$203,MATCH($C159,'Check giá'!$A$4:$A$203,0)),""))</f>
        <v/>
      </c>
      <c r="E159" s="37" t="str">
        <f aca="false">IF($C159="","",IFERROR(INDEX('Check giá'!$D$4:$D$203,MATCH($C159,'Check giá'!$A$4:$A$203,0)),""))</f>
        <v/>
      </c>
      <c r="F159" s="37" t="str">
        <f aca="false">IF($C159="","",IFERROR(INDEX('Check giá'!$E$4:$E$203,MATCH($C159,'Check giá'!$A$4:$A$203,0)),""))</f>
        <v/>
      </c>
      <c r="G159" s="37" t="str">
        <f aca="false">IF($C159="","",IFERROR(INDEX('Check giá'!$F$4:$F$203,MATCH($C159,'Check giá'!$A$4:$A$203,0)),""))</f>
        <v/>
      </c>
      <c r="H159" s="37" t="str">
        <f aca="false">IF($C159="","",IFERROR(INDEX('Check giá'!$G$4:$G$203,MATCH($C159,'Check giá'!$A$4:$A$203,0)),""))</f>
        <v/>
      </c>
      <c r="I159" s="38" t="str">
        <f aca="false">IF($C159="","",IFERROR(INDEX('Check giá'!$Q$4:$Q$203,MATCH($C159,'Check giá'!$A$4:$A$203,0)),""))</f>
        <v/>
      </c>
      <c r="J159" s="34"/>
      <c r="K159" s="34"/>
      <c r="L159" s="38" t="str">
        <f aca="false">IF($A159="","",$J159*$K159)</f>
        <v/>
      </c>
      <c r="M159" s="33"/>
      <c r="N159" s="32"/>
      <c r="O159" s="32"/>
      <c r="P159" s="33"/>
      <c r="Q159" s="32"/>
    </row>
    <row r="160" customFormat="false" ht="15" hidden="false" customHeight="false" outlineLevel="0" collapsed="false">
      <c r="A160" s="32"/>
      <c r="B160" s="33"/>
      <c r="C160" s="32"/>
      <c r="D160" s="37" t="str">
        <f aca="false">IF($C160="","",IFERROR(INDEX('Check giá'!$C$4:$C$203,MATCH($C160,'Check giá'!$A$4:$A$203,0)),""))</f>
        <v/>
      </c>
      <c r="E160" s="37" t="str">
        <f aca="false">IF($C160="","",IFERROR(INDEX('Check giá'!$D$4:$D$203,MATCH($C160,'Check giá'!$A$4:$A$203,0)),""))</f>
        <v/>
      </c>
      <c r="F160" s="37" t="str">
        <f aca="false">IF($C160="","",IFERROR(INDEX('Check giá'!$E$4:$E$203,MATCH($C160,'Check giá'!$A$4:$A$203,0)),""))</f>
        <v/>
      </c>
      <c r="G160" s="37" t="str">
        <f aca="false">IF($C160="","",IFERROR(INDEX('Check giá'!$F$4:$F$203,MATCH($C160,'Check giá'!$A$4:$A$203,0)),""))</f>
        <v/>
      </c>
      <c r="H160" s="37" t="str">
        <f aca="false">IF($C160="","",IFERROR(INDEX('Check giá'!$G$4:$G$203,MATCH($C160,'Check giá'!$A$4:$A$203,0)),""))</f>
        <v/>
      </c>
      <c r="I160" s="38" t="str">
        <f aca="false">IF($C160="","",IFERROR(INDEX('Check giá'!$Q$4:$Q$203,MATCH($C160,'Check giá'!$A$4:$A$203,0)),""))</f>
        <v/>
      </c>
      <c r="J160" s="34"/>
      <c r="K160" s="34"/>
      <c r="L160" s="38" t="str">
        <f aca="false">IF($A160="","",$J160*$K160)</f>
        <v/>
      </c>
      <c r="M160" s="33"/>
      <c r="N160" s="32"/>
      <c r="O160" s="32"/>
      <c r="P160" s="33"/>
      <c r="Q160" s="32"/>
    </row>
    <row r="161" customFormat="false" ht="15" hidden="false" customHeight="false" outlineLevel="0" collapsed="false">
      <c r="A161" s="32"/>
      <c r="B161" s="33"/>
      <c r="C161" s="32"/>
      <c r="D161" s="37" t="str">
        <f aca="false">IF($C161="","",IFERROR(INDEX('Check giá'!$C$4:$C$203,MATCH($C161,'Check giá'!$A$4:$A$203,0)),""))</f>
        <v/>
      </c>
      <c r="E161" s="37" t="str">
        <f aca="false">IF($C161="","",IFERROR(INDEX('Check giá'!$D$4:$D$203,MATCH($C161,'Check giá'!$A$4:$A$203,0)),""))</f>
        <v/>
      </c>
      <c r="F161" s="37" t="str">
        <f aca="false">IF($C161="","",IFERROR(INDEX('Check giá'!$E$4:$E$203,MATCH($C161,'Check giá'!$A$4:$A$203,0)),""))</f>
        <v/>
      </c>
      <c r="G161" s="37" t="str">
        <f aca="false">IF($C161="","",IFERROR(INDEX('Check giá'!$F$4:$F$203,MATCH($C161,'Check giá'!$A$4:$A$203,0)),""))</f>
        <v/>
      </c>
      <c r="H161" s="37" t="str">
        <f aca="false">IF($C161="","",IFERROR(INDEX('Check giá'!$G$4:$G$203,MATCH($C161,'Check giá'!$A$4:$A$203,0)),""))</f>
        <v/>
      </c>
      <c r="I161" s="38" t="str">
        <f aca="false">IF($C161="","",IFERROR(INDEX('Check giá'!$Q$4:$Q$203,MATCH($C161,'Check giá'!$A$4:$A$203,0)),""))</f>
        <v/>
      </c>
      <c r="J161" s="34"/>
      <c r="K161" s="34"/>
      <c r="L161" s="38" t="str">
        <f aca="false">IF($A161="","",$J161*$K161)</f>
        <v/>
      </c>
      <c r="M161" s="33"/>
      <c r="N161" s="32"/>
      <c r="O161" s="32"/>
      <c r="P161" s="33"/>
      <c r="Q161" s="32"/>
    </row>
    <row r="162" customFormat="false" ht="15" hidden="false" customHeight="false" outlineLevel="0" collapsed="false">
      <c r="A162" s="32"/>
      <c r="B162" s="33"/>
      <c r="C162" s="32"/>
      <c r="D162" s="37" t="str">
        <f aca="false">IF($C162="","",IFERROR(INDEX('Check giá'!$C$4:$C$203,MATCH($C162,'Check giá'!$A$4:$A$203,0)),""))</f>
        <v/>
      </c>
      <c r="E162" s="37" t="str">
        <f aca="false">IF($C162="","",IFERROR(INDEX('Check giá'!$D$4:$D$203,MATCH($C162,'Check giá'!$A$4:$A$203,0)),""))</f>
        <v/>
      </c>
      <c r="F162" s="37" t="str">
        <f aca="false">IF($C162="","",IFERROR(INDEX('Check giá'!$E$4:$E$203,MATCH($C162,'Check giá'!$A$4:$A$203,0)),""))</f>
        <v/>
      </c>
      <c r="G162" s="37" t="str">
        <f aca="false">IF($C162="","",IFERROR(INDEX('Check giá'!$F$4:$F$203,MATCH($C162,'Check giá'!$A$4:$A$203,0)),""))</f>
        <v/>
      </c>
      <c r="H162" s="37" t="str">
        <f aca="false">IF($C162="","",IFERROR(INDEX('Check giá'!$G$4:$G$203,MATCH($C162,'Check giá'!$A$4:$A$203,0)),""))</f>
        <v/>
      </c>
      <c r="I162" s="38" t="str">
        <f aca="false">IF($C162="","",IFERROR(INDEX('Check giá'!$Q$4:$Q$203,MATCH($C162,'Check giá'!$A$4:$A$203,0)),""))</f>
        <v/>
      </c>
      <c r="J162" s="34"/>
      <c r="K162" s="34"/>
      <c r="L162" s="38" t="str">
        <f aca="false">IF($A162="","",$J162*$K162)</f>
        <v/>
      </c>
      <c r="M162" s="33"/>
      <c r="N162" s="32"/>
      <c r="O162" s="32"/>
      <c r="P162" s="33"/>
      <c r="Q162" s="32"/>
    </row>
    <row r="163" customFormat="false" ht="15" hidden="false" customHeight="false" outlineLevel="0" collapsed="false">
      <c r="A163" s="32"/>
      <c r="B163" s="33"/>
      <c r="C163" s="32"/>
      <c r="D163" s="37" t="str">
        <f aca="false">IF($C163="","",IFERROR(INDEX('Check giá'!$C$4:$C$203,MATCH($C163,'Check giá'!$A$4:$A$203,0)),""))</f>
        <v/>
      </c>
      <c r="E163" s="37" t="str">
        <f aca="false">IF($C163="","",IFERROR(INDEX('Check giá'!$D$4:$D$203,MATCH($C163,'Check giá'!$A$4:$A$203,0)),""))</f>
        <v/>
      </c>
      <c r="F163" s="37" t="str">
        <f aca="false">IF($C163="","",IFERROR(INDEX('Check giá'!$E$4:$E$203,MATCH($C163,'Check giá'!$A$4:$A$203,0)),""))</f>
        <v/>
      </c>
      <c r="G163" s="37" t="str">
        <f aca="false">IF($C163="","",IFERROR(INDEX('Check giá'!$F$4:$F$203,MATCH($C163,'Check giá'!$A$4:$A$203,0)),""))</f>
        <v/>
      </c>
      <c r="H163" s="37" t="str">
        <f aca="false">IF($C163="","",IFERROR(INDEX('Check giá'!$G$4:$G$203,MATCH($C163,'Check giá'!$A$4:$A$203,0)),""))</f>
        <v/>
      </c>
      <c r="I163" s="38" t="str">
        <f aca="false">IF($C163="","",IFERROR(INDEX('Check giá'!$Q$4:$Q$203,MATCH($C163,'Check giá'!$A$4:$A$203,0)),""))</f>
        <v/>
      </c>
      <c r="J163" s="34"/>
      <c r="K163" s="34"/>
      <c r="L163" s="38" t="str">
        <f aca="false">IF($A163="","",$J163*$K163)</f>
        <v/>
      </c>
      <c r="M163" s="33"/>
      <c r="N163" s="32"/>
      <c r="O163" s="32"/>
      <c r="P163" s="33"/>
      <c r="Q163" s="32"/>
    </row>
    <row r="164" customFormat="false" ht="15" hidden="false" customHeight="false" outlineLevel="0" collapsed="false">
      <c r="A164" s="32"/>
      <c r="B164" s="33"/>
      <c r="C164" s="32"/>
      <c r="D164" s="37" t="str">
        <f aca="false">IF($C164="","",IFERROR(INDEX('Check giá'!$C$4:$C$203,MATCH($C164,'Check giá'!$A$4:$A$203,0)),""))</f>
        <v/>
      </c>
      <c r="E164" s="37" t="str">
        <f aca="false">IF($C164="","",IFERROR(INDEX('Check giá'!$D$4:$D$203,MATCH($C164,'Check giá'!$A$4:$A$203,0)),""))</f>
        <v/>
      </c>
      <c r="F164" s="37" t="str">
        <f aca="false">IF($C164="","",IFERROR(INDEX('Check giá'!$E$4:$E$203,MATCH($C164,'Check giá'!$A$4:$A$203,0)),""))</f>
        <v/>
      </c>
      <c r="G164" s="37" t="str">
        <f aca="false">IF($C164="","",IFERROR(INDEX('Check giá'!$F$4:$F$203,MATCH($C164,'Check giá'!$A$4:$A$203,0)),""))</f>
        <v/>
      </c>
      <c r="H164" s="37" t="str">
        <f aca="false">IF($C164="","",IFERROR(INDEX('Check giá'!$G$4:$G$203,MATCH($C164,'Check giá'!$A$4:$A$203,0)),""))</f>
        <v/>
      </c>
      <c r="I164" s="38" t="str">
        <f aca="false">IF($C164="","",IFERROR(INDEX('Check giá'!$Q$4:$Q$203,MATCH($C164,'Check giá'!$A$4:$A$203,0)),""))</f>
        <v/>
      </c>
      <c r="J164" s="34"/>
      <c r="K164" s="34"/>
      <c r="L164" s="38" t="str">
        <f aca="false">IF($A164="","",$J164*$K164)</f>
        <v/>
      </c>
      <c r="M164" s="33"/>
      <c r="N164" s="32"/>
      <c r="O164" s="32"/>
      <c r="P164" s="33"/>
      <c r="Q164" s="32"/>
    </row>
    <row r="165" customFormat="false" ht="15" hidden="false" customHeight="false" outlineLevel="0" collapsed="false">
      <c r="A165" s="32"/>
      <c r="B165" s="33"/>
      <c r="C165" s="32"/>
      <c r="D165" s="37" t="str">
        <f aca="false">IF($C165="","",IFERROR(INDEX('Check giá'!$C$4:$C$203,MATCH($C165,'Check giá'!$A$4:$A$203,0)),""))</f>
        <v/>
      </c>
      <c r="E165" s="37" t="str">
        <f aca="false">IF($C165="","",IFERROR(INDEX('Check giá'!$D$4:$D$203,MATCH($C165,'Check giá'!$A$4:$A$203,0)),""))</f>
        <v/>
      </c>
      <c r="F165" s="37" t="str">
        <f aca="false">IF($C165="","",IFERROR(INDEX('Check giá'!$E$4:$E$203,MATCH($C165,'Check giá'!$A$4:$A$203,0)),""))</f>
        <v/>
      </c>
      <c r="G165" s="37" t="str">
        <f aca="false">IF($C165="","",IFERROR(INDEX('Check giá'!$F$4:$F$203,MATCH($C165,'Check giá'!$A$4:$A$203,0)),""))</f>
        <v/>
      </c>
      <c r="H165" s="37" t="str">
        <f aca="false">IF($C165="","",IFERROR(INDEX('Check giá'!$G$4:$G$203,MATCH($C165,'Check giá'!$A$4:$A$203,0)),""))</f>
        <v/>
      </c>
      <c r="I165" s="38" t="str">
        <f aca="false">IF($C165="","",IFERROR(INDEX('Check giá'!$Q$4:$Q$203,MATCH($C165,'Check giá'!$A$4:$A$203,0)),""))</f>
        <v/>
      </c>
      <c r="J165" s="34"/>
      <c r="K165" s="34"/>
      <c r="L165" s="38" t="str">
        <f aca="false">IF($A165="","",$J165*$K165)</f>
        <v/>
      </c>
      <c r="M165" s="33"/>
      <c r="N165" s="32"/>
      <c r="O165" s="32"/>
      <c r="P165" s="33"/>
      <c r="Q165" s="32"/>
    </row>
    <row r="166" customFormat="false" ht="15" hidden="false" customHeight="false" outlineLevel="0" collapsed="false">
      <c r="A166" s="32"/>
      <c r="B166" s="33"/>
      <c r="C166" s="32"/>
      <c r="D166" s="37" t="str">
        <f aca="false">IF($C166="","",IFERROR(INDEX('Check giá'!$C$4:$C$203,MATCH($C166,'Check giá'!$A$4:$A$203,0)),""))</f>
        <v/>
      </c>
      <c r="E166" s="37" t="str">
        <f aca="false">IF($C166="","",IFERROR(INDEX('Check giá'!$D$4:$D$203,MATCH($C166,'Check giá'!$A$4:$A$203,0)),""))</f>
        <v/>
      </c>
      <c r="F166" s="37" t="str">
        <f aca="false">IF($C166="","",IFERROR(INDEX('Check giá'!$E$4:$E$203,MATCH($C166,'Check giá'!$A$4:$A$203,0)),""))</f>
        <v/>
      </c>
      <c r="G166" s="37" t="str">
        <f aca="false">IF($C166="","",IFERROR(INDEX('Check giá'!$F$4:$F$203,MATCH($C166,'Check giá'!$A$4:$A$203,0)),""))</f>
        <v/>
      </c>
      <c r="H166" s="37" t="str">
        <f aca="false">IF($C166="","",IFERROR(INDEX('Check giá'!$G$4:$G$203,MATCH($C166,'Check giá'!$A$4:$A$203,0)),""))</f>
        <v/>
      </c>
      <c r="I166" s="38" t="str">
        <f aca="false">IF($C166="","",IFERROR(INDEX('Check giá'!$Q$4:$Q$203,MATCH($C166,'Check giá'!$A$4:$A$203,0)),""))</f>
        <v/>
      </c>
      <c r="J166" s="34"/>
      <c r="K166" s="34"/>
      <c r="L166" s="38" t="str">
        <f aca="false">IF($A166="","",$J166*$K166)</f>
        <v/>
      </c>
      <c r="M166" s="33"/>
      <c r="N166" s="32"/>
      <c r="O166" s="32"/>
      <c r="P166" s="33"/>
      <c r="Q166" s="32"/>
    </row>
    <row r="167" customFormat="false" ht="15" hidden="false" customHeight="false" outlineLevel="0" collapsed="false">
      <c r="A167" s="32"/>
      <c r="B167" s="33"/>
      <c r="C167" s="32"/>
      <c r="D167" s="37" t="str">
        <f aca="false">IF($C167="","",IFERROR(INDEX('Check giá'!$C$4:$C$203,MATCH($C167,'Check giá'!$A$4:$A$203,0)),""))</f>
        <v/>
      </c>
      <c r="E167" s="37" t="str">
        <f aca="false">IF($C167="","",IFERROR(INDEX('Check giá'!$D$4:$D$203,MATCH($C167,'Check giá'!$A$4:$A$203,0)),""))</f>
        <v/>
      </c>
      <c r="F167" s="37" t="str">
        <f aca="false">IF($C167="","",IFERROR(INDEX('Check giá'!$E$4:$E$203,MATCH($C167,'Check giá'!$A$4:$A$203,0)),""))</f>
        <v/>
      </c>
      <c r="G167" s="37" t="str">
        <f aca="false">IF($C167="","",IFERROR(INDEX('Check giá'!$F$4:$F$203,MATCH($C167,'Check giá'!$A$4:$A$203,0)),""))</f>
        <v/>
      </c>
      <c r="H167" s="37" t="str">
        <f aca="false">IF($C167="","",IFERROR(INDEX('Check giá'!$G$4:$G$203,MATCH($C167,'Check giá'!$A$4:$A$203,0)),""))</f>
        <v/>
      </c>
      <c r="I167" s="38" t="str">
        <f aca="false">IF($C167="","",IFERROR(INDEX('Check giá'!$Q$4:$Q$203,MATCH($C167,'Check giá'!$A$4:$A$203,0)),""))</f>
        <v/>
      </c>
      <c r="J167" s="34"/>
      <c r="K167" s="34"/>
      <c r="L167" s="38" t="str">
        <f aca="false">IF($A167="","",$J167*$K167)</f>
        <v/>
      </c>
      <c r="M167" s="33"/>
      <c r="N167" s="32"/>
      <c r="O167" s="32"/>
      <c r="P167" s="33"/>
      <c r="Q167" s="32"/>
    </row>
    <row r="168" customFormat="false" ht="15" hidden="false" customHeight="false" outlineLevel="0" collapsed="false">
      <c r="A168" s="32"/>
      <c r="B168" s="33"/>
      <c r="C168" s="32"/>
      <c r="D168" s="37" t="str">
        <f aca="false">IF($C168="","",IFERROR(INDEX('Check giá'!$C$4:$C$203,MATCH($C168,'Check giá'!$A$4:$A$203,0)),""))</f>
        <v/>
      </c>
      <c r="E168" s="37" t="str">
        <f aca="false">IF($C168="","",IFERROR(INDEX('Check giá'!$D$4:$D$203,MATCH($C168,'Check giá'!$A$4:$A$203,0)),""))</f>
        <v/>
      </c>
      <c r="F168" s="37" t="str">
        <f aca="false">IF($C168="","",IFERROR(INDEX('Check giá'!$E$4:$E$203,MATCH($C168,'Check giá'!$A$4:$A$203,0)),""))</f>
        <v/>
      </c>
      <c r="G168" s="37" t="str">
        <f aca="false">IF($C168="","",IFERROR(INDEX('Check giá'!$F$4:$F$203,MATCH($C168,'Check giá'!$A$4:$A$203,0)),""))</f>
        <v/>
      </c>
      <c r="H168" s="37" t="str">
        <f aca="false">IF($C168="","",IFERROR(INDEX('Check giá'!$G$4:$G$203,MATCH($C168,'Check giá'!$A$4:$A$203,0)),""))</f>
        <v/>
      </c>
      <c r="I168" s="38" t="str">
        <f aca="false">IF($C168="","",IFERROR(INDEX('Check giá'!$Q$4:$Q$203,MATCH($C168,'Check giá'!$A$4:$A$203,0)),""))</f>
        <v/>
      </c>
      <c r="J168" s="34"/>
      <c r="K168" s="34"/>
      <c r="L168" s="38" t="str">
        <f aca="false">IF($A168="","",$J168*$K168)</f>
        <v/>
      </c>
      <c r="M168" s="33"/>
      <c r="N168" s="32"/>
      <c r="O168" s="32"/>
      <c r="P168" s="33"/>
      <c r="Q168" s="32"/>
    </row>
    <row r="169" customFormat="false" ht="15" hidden="false" customHeight="false" outlineLevel="0" collapsed="false">
      <c r="A169" s="32"/>
      <c r="B169" s="33"/>
      <c r="C169" s="32"/>
      <c r="D169" s="37" t="str">
        <f aca="false">IF($C169="","",IFERROR(INDEX('Check giá'!$C$4:$C$203,MATCH($C169,'Check giá'!$A$4:$A$203,0)),""))</f>
        <v/>
      </c>
      <c r="E169" s="37" t="str">
        <f aca="false">IF($C169="","",IFERROR(INDEX('Check giá'!$D$4:$D$203,MATCH($C169,'Check giá'!$A$4:$A$203,0)),""))</f>
        <v/>
      </c>
      <c r="F169" s="37" t="str">
        <f aca="false">IF($C169="","",IFERROR(INDEX('Check giá'!$E$4:$E$203,MATCH($C169,'Check giá'!$A$4:$A$203,0)),""))</f>
        <v/>
      </c>
      <c r="G169" s="37" t="str">
        <f aca="false">IF($C169="","",IFERROR(INDEX('Check giá'!$F$4:$F$203,MATCH($C169,'Check giá'!$A$4:$A$203,0)),""))</f>
        <v/>
      </c>
      <c r="H169" s="37" t="str">
        <f aca="false">IF($C169="","",IFERROR(INDEX('Check giá'!$G$4:$G$203,MATCH($C169,'Check giá'!$A$4:$A$203,0)),""))</f>
        <v/>
      </c>
      <c r="I169" s="38" t="str">
        <f aca="false">IF($C169="","",IFERROR(INDEX('Check giá'!$Q$4:$Q$203,MATCH($C169,'Check giá'!$A$4:$A$203,0)),""))</f>
        <v/>
      </c>
      <c r="J169" s="34"/>
      <c r="K169" s="34"/>
      <c r="L169" s="38" t="str">
        <f aca="false">IF($A169="","",$J169*$K169)</f>
        <v/>
      </c>
      <c r="M169" s="33"/>
      <c r="N169" s="32"/>
      <c r="O169" s="32"/>
      <c r="P169" s="33"/>
      <c r="Q169" s="32"/>
    </row>
    <row r="170" customFormat="false" ht="15" hidden="false" customHeight="false" outlineLevel="0" collapsed="false">
      <c r="A170" s="32"/>
      <c r="B170" s="33"/>
      <c r="C170" s="32"/>
      <c r="D170" s="37" t="str">
        <f aca="false">IF($C170="","",IFERROR(INDEX('Check giá'!$C$4:$C$203,MATCH($C170,'Check giá'!$A$4:$A$203,0)),""))</f>
        <v/>
      </c>
      <c r="E170" s="37" t="str">
        <f aca="false">IF($C170="","",IFERROR(INDEX('Check giá'!$D$4:$D$203,MATCH($C170,'Check giá'!$A$4:$A$203,0)),""))</f>
        <v/>
      </c>
      <c r="F170" s="37" t="str">
        <f aca="false">IF($C170="","",IFERROR(INDEX('Check giá'!$E$4:$E$203,MATCH($C170,'Check giá'!$A$4:$A$203,0)),""))</f>
        <v/>
      </c>
      <c r="G170" s="37" t="str">
        <f aca="false">IF($C170="","",IFERROR(INDEX('Check giá'!$F$4:$F$203,MATCH($C170,'Check giá'!$A$4:$A$203,0)),""))</f>
        <v/>
      </c>
      <c r="H170" s="37" t="str">
        <f aca="false">IF($C170="","",IFERROR(INDEX('Check giá'!$G$4:$G$203,MATCH($C170,'Check giá'!$A$4:$A$203,0)),""))</f>
        <v/>
      </c>
      <c r="I170" s="38" t="str">
        <f aca="false">IF($C170="","",IFERROR(INDEX('Check giá'!$Q$4:$Q$203,MATCH($C170,'Check giá'!$A$4:$A$203,0)),""))</f>
        <v/>
      </c>
      <c r="J170" s="34"/>
      <c r="K170" s="34"/>
      <c r="L170" s="38" t="str">
        <f aca="false">IF($A170="","",$J170*$K170)</f>
        <v/>
      </c>
      <c r="M170" s="33"/>
      <c r="N170" s="32"/>
      <c r="O170" s="32"/>
      <c r="P170" s="33"/>
      <c r="Q170" s="32"/>
    </row>
    <row r="171" customFormat="false" ht="15" hidden="false" customHeight="false" outlineLevel="0" collapsed="false">
      <c r="A171" s="32"/>
      <c r="B171" s="33"/>
      <c r="C171" s="32"/>
      <c r="D171" s="37" t="str">
        <f aca="false">IF($C171="","",IFERROR(INDEX('Check giá'!$C$4:$C$203,MATCH($C171,'Check giá'!$A$4:$A$203,0)),""))</f>
        <v/>
      </c>
      <c r="E171" s="37" t="str">
        <f aca="false">IF($C171="","",IFERROR(INDEX('Check giá'!$D$4:$D$203,MATCH($C171,'Check giá'!$A$4:$A$203,0)),""))</f>
        <v/>
      </c>
      <c r="F171" s="37" t="str">
        <f aca="false">IF($C171="","",IFERROR(INDEX('Check giá'!$E$4:$E$203,MATCH($C171,'Check giá'!$A$4:$A$203,0)),""))</f>
        <v/>
      </c>
      <c r="G171" s="37" t="str">
        <f aca="false">IF($C171="","",IFERROR(INDEX('Check giá'!$F$4:$F$203,MATCH($C171,'Check giá'!$A$4:$A$203,0)),""))</f>
        <v/>
      </c>
      <c r="H171" s="37" t="str">
        <f aca="false">IF($C171="","",IFERROR(INDEX('Check giá'!$G$4:$G$203,MATCH($C171,'Check giá'!$A$4:$A$203,0)),""))</f>
        <v/>
      </c>
      <c r="I171" s="38" t="str">
        <f aca="false">IF($C171="","",IFERROR(INDEX('Check giá'!$Q$4:$Q$203,MATCH($C171,'Check giá'!$A$4:$A$203,0)),""))</f>
        <v/>
      </c>
      <c r="J171" s="34"/>
      <c r="K171" s="34"/>
      <c r="L171" s="38" t="str">
        <f aca="false">IF($A171="","",$J171*$K171)</f>
        <v/>
      </c>
      <c r="M171" s="33"/>
      <c r="N171" s="32"/>
      <c r="O171" s="32"/>
      <c r="P171" s="33"/>
      <c r="Q171" s="32"/>
    </row>
    <row r="172" customFormat="false" ht="15" hidden="false" customHeight="false" outlineLevel="0" collapsed="false">
      <c r="A172" s="32"/>
      <c r="B172" s="33"/>
      <c r="C172" s="32"/>
      <c r="D172" s="37" t="str">
        <f aca="false">IF($C172="","",IFERROR(INDEX('Check giá'!$C$4:$C$203,MATCH($C172,'Check giá'!$A$4:$A$203,0)),""))</f>
        <v/>
      </c>
      <c r="E172" s="37" t="str">
        <f aca="false">IF($C172="","",IFERROR(INDEX('Check giá'!$D$4:$D$203,MATCH($C172,'Check giá'!$A$4:$A$203,0)),""))</f>
        <v/>
      </c>
      <c r="F172" s="37" t="str">
        <f aca="false">IF($C172="","",IFERROR(INDEX('Check giá'!$E$4:$E$203,MATCH($C172,'Check giá'!$A$4:$A$203,0)),""))</f>
        <v/>
      </c>
      <c r="G172" s="37" t="str">
        <f aca="false">IF($C172="","",IFERROR(INDEX('Check giá'!$F$4:$F$203,MATCH($C172,'Check giá'!$A$4:$A$203,0)),""))</f>
        <v/>
      </c>
      <c r="H172" s="37" t="str">
        <f aca="false">IF($C172="","",IFERROR(INDEX('Check giá'!$G$4:$G$203,MATCH($C172,'Check giá'!$A$4:$A$203,0)),""))</f>
        <v/>
      </c>
      <c r="I172" s="38" t="str">
        <f aca="false">IF($C172="","",IFERROR(INDEX('Check giá'!$Q$4:$Q$203,MATCH($C172,'Check giá'!$A$4:$A$203,0)),""))</f>
        <v/>
      </c>
      <c r="J172" s="34"/>
      <c r="K172" s="34"/>
      <c r="L172" s="38" t="str">
        <f aca="false">IF($A172="","",$J172*$K172)</f>
        <v/>
      </c>
      <c r="M172" s="33"/>
      <c r="N172" s="32"/>
      <c r="O172" s="32"/>
      <c r="P172" s="33"/>
      <c r="Q172" s="32"/>
    </row>
    <row r="173" customFormat="false" ht="15" hidden="false" customHeight="false" outlineLevel="0" collapsed="false">
      <c r="A173" s="32"/>
      <c r="B173" s="33"/>
      <c r="C173" s="32"/>
      <c r="D173" s="37" t="str">
        <f aca="false">IF($C173="","",IFERROR(INDEX('Check giá'!$C$4:$C$203,MATCH($C173,'Check giá'!$A$4:$A$203,0)),""))</f>
        <v/>
      </c>
      <c r="E173" s="37" t="str">
        <f aca="false">IF($C173="","",IFERROR(INDEX('Check giá'!$D$4:$D$203,MATCH($C173,'Check giá'!$A$4:$A$203,0)),""))</f>
        <v/>
      </c>
      <c r="F173" s="37" t="str">
        <f aca="false">IF($C173="","",IFERROR(INDEX('Check giá'!$E$4:$E$203,MATCH($C173,'Check giá'!$A$4:$A$203,0)),""))</f>
        <v/>
      </c>
      <c r="G173" s="37" t="str">
        <f aca="false">IF($C173="","",IFERROR(INDEX('Check giá'!$F$4:$F$203,MATCH($C173,'Check giá'!$A$4:$A$203,0)),""))</f>
        <v/>
      </c>
      <c r="H173" s="37" t="str">
        <f aca="false">IF($C173="","",IFERROR(INDEX('Check giá'!$G$4:$G$203,MATCH($C173,'Check giá'!$A$4:$A$203,0)),""))</f>
        <v/>
      </c>
      <c r="I173" s="38" t="str">
        <f aca="false">IF($C173="","",IFERROR(INDEX('Check giá'!$Q$4:$Q$203,MATCH($C173,'Check giá'!$A$4:$A$203,0)),""))</f>
        <v/>
      </c>
      <c r="J173" s="34"/>
      <c r="K173" s="34"/>
      <c r="L173" s="38" t="str">
        <f aca="false">IF($A173="","",$J173*$K173)</f>
        <v/>
      </c>
      <c r="M173" s="33"/>
      <c r="N173" s="32"/>
      <c r="O173" s="32"/>
      <c r="P173" s="33"/>
      <c r="Q173" s="32"/>
    </row>
    <row r="174" customFormat="false" ht="15" hidden="false" customHeight="false" outlineLevel="0" collapsed="false">
      <c r="A174" s="32"/>
      <c r="B174" s="33"/>
      <c r="C174" s="32"/>
      <c r="D174" s="37" t="str">
        <f aca="false">IF($C174="","",IFERROR(INDEX('Check giá'!$C$4:$C$203,MATCH($C174,'Check giá'!$A$4:$A$203,0)),""))</f>
        <v/>
      </c>
      <c r="E174" s="37" t="str">
        <f aca="false">IF($C174="","",IFERROR(INDEX('Check giá'!$D$4:$D$203,MATCH($C174,'Check giá'!$A$4:$A$203,0)),""))</f>
        <v/>
      </c>
      <c r="F174" s="37" t="str">
        <f aca="false">IF($C174="","",IFERROR(INDEX('Check giá'!$E$4:$E$203,MATCH($C174,'Check giá'!$A$4:$A$203,0)),""))</f>
        <v/>
      </c>
      <c r="G174" s="37" t="str">
        <f aca="false">IF($C174="","",IFERROR(INDEX('Check giá'!$F$4:$F$203,MATCH($C174,'Check giá'!$A$4:$A$203,0)),""))</f>
        <v/>
      </c>
      <c r="H174" s="37" t="str">
        <f aca="false">IF($C174="","",IFERROR(INDEX('Check giá'!$G$4:$G$203,MATCH($C174,'Check giá'!$A$4:$A$203,0)),""))</f>
        <v/>
      </c>
      <c r="I174" s="38" t="str">
        <f aca="false">IF($C174="","",IFERROR(INDEX('Check giá'!$Q$4:$Q$203,MATCH($C174,'Check giá'!$A$4:$A$203,0)),""))</f>
        <v/>
      </c>
      <c r="J174" s="34"/>
      <c r="K174" s="34"/>
      <c r="L174" s="38" t="str">
        <f aca="false">IF($A174="","",$J174*$K174)</f>
        <v/>
      </c>
      <c r="M174" s="33"/>
      <c r="N174" s="32"/>
      <c r="O174" s="32"/>
      <c r="P174" s="33"/>
      <c r="Q174" s="32"/>
    </row>
    <row r="175" customFormat="false" ht="15" hidden="false" customHeight="false" outlineLevel="0" collapsed="false">
      <c r="A175" s="32"/>
      <c r="B175" s="33"/>
      <c r="C175" s="32"/>
      <c r="D175" s="37" t="str">
        <f aca="false">IF($C175="","",IFERROR(INDEX('Check giá'!$C$4:$C$203,MATCH($C175,'Check giá'!$A$4:$A$203,0)),""))</f>
        <v/>
      </c>
      <c r="E175" s="37" t="str">
        <f aca="false">IF($C175="","",IFERROR(INDEX('Check giá'!$D$4:$D$203,MATCH($C175,'Check giá'!$A$4:$A$203,0)),""))</f>
        <v/>
      </c>
      <c r="F175" s="37" t="str">
        <f aca="false">IF($C175="","",IFERROR(INDEX('Check giá'!$E$4:$E$203,MATCH($C175,'Check giá'!$A$4:$A$203,0)),""))</f>
        <v/>
      </c>
      <c r="G175" s="37" t="str">
        <f aca="false">IF($C175="","",IFERROR(INDEX('Check giá'!$F$4:$F$203,MATCH($C175,'Check giá'!$A$4:$A$203,0)),""))</f>
        <v/>
      </c>
      <c r="H175" s="37" t="str">
        <f aca="false">IF($C175="","",IFERROR(INDEX('Check giá'!$G$4:$G$203,MATCH($C175,'Check giá'!$A$4:$A$203,0)),""))</f>
        <v/>
      </c>
      <c r="I175" s="38" t="str">
        <f aca="false">IF($C175="","",IFERROR(INDEX('Check giá'!$Q$4:$Q$203,MATCH($C175,'Check giá'!$A$4:$A$203,0)),""))</f>
        <v/>
      </c>
      <c r="J175" s="34"/>
      <c r="K175" s="34"/>
      <c r="L175" s="38" t="str">
        <f aca="false">IF($A175="","",$J175*$K175)</f>
        <v/>
      </c>
      <c r="M175" s="33"/>
      <c r="N175" s="32"/>
      <c r="O175" s="32"/>
      <c r="P175" s="33"/>
      <c r="Q175" s="32"/>
    </row>
    <row r="176" customFormat="false" ht="15" hidden="false" customHeight="false" outlineLevel="0" collapsed="false">
      <c r="A176" s="32"/>
      <c r="B176" s="33"/>
      <c r="C176" s="32"/>
      <c r="D176" s="37" t="str">
        <f aca="false">IF($C176="","",IFERROR(INDEX('Check giá'!$C$4:$C$203,MATCH($C176,'Check giá'!$A$4:$A$203,0)),""))</f>
        <v/>
      </c>
      <c r="E176" s="37" t="str">
        <f aca="false">IF($C176="","",IFERROR(INDEX('Check giá'!$D$4:$D$203,MATCH($C176,'Check giá'!$A$4:$A$203,0)),""))</f>
        <v/>
      </c>
      <c r="F176" s="37" t="str">
        <f aca="false">IF($C176="","",IFERROR(INDEX('Check giá'!$E$4:$E$203,MATCH($C176,'Check giá'!$A$4:$A$203,0)),""))</f>
        <v/>
      </c>
      <c r="G176" s="37" t="str">
        <f aca="false">IF($C176="","",IFERROR(INDEX('Check giá'!$F$4:$F$203,MATCH($C176,'Check giá'!$A$4:$A$203,0)),""))</f>
        <v/>
      </c>
      <c r="H176" s="37" t="str">
        <f aca="false">IF($C176="","",IFERROR(INDEX('Check giá'!$G$4:$G$203,MATCH($C176,'Check giá'!$A$4:$A$203,0)),""))</f>
        <v/>
      </c>
      <c r="I176" s="38" t="str">
        <f aca="false">IF($C176="","",IFERROR(INDEX('Check giá'!$Q$4:$Q$203,MATCH($C176,'Check giá'!$A$4:$A$203,0)),""))</f>
        <v/>
      </c>
      <c r="J176" s="34"/>
      <c r="K176" s="34"/>
      <c r="L176" s="38" t="str">
        <f aca="false">IF($A176="","",$J176*$K176)</f>
        <v/>
      </c>
      <c r="M176" s="33"/>
      <c r="N176" s="32"/>
      <c r="O176" s="32"/>
      <c r="P176" s="33"/>
      <c r="Q176" s="32"/>
    </row>
    <row r="177" customFormat="false" ht="15" hidden="false" customHeight="false" outlineLevel="0" collapsed="false">
      <c r="A177" s="32"/>
      <c r="B177" s="33"/>
      <c r="C177" s="32"/>
      <c r="D177" s="37" t="str">
        <f aca="false">IF($C177="","",IFERROR(INDEX('Check giá'!$C$4:$C$203,MATCH($C177,'Check giá'!$A$4:$A$203,0)),""))</f>
        <v/>
      </c>
      <c r="E177" s="37" t="str">
        <f aca="false">IF($C177="","",IFERROR(INDEX('Check giá'!$D$4:$D$203,MATCH($C177,'Check giá'!$A$4:$A$203,0)),""))</f>
        <v/>
      </c>
      <c r="F177" s="37" t="str">
        <f aca="false">IF($C177="","",IFERROR(INDEX('Check giá'!$E$4:$E$203,MATCH($C177,'Check giá'!$A$4:$A$203,0)),""))</f>
        <v/>
      </c>
      <c r="G177" s="37" t="str">
        <f aca="false">IF($C177="","",IFERROR(INDEX('Check giá'!$F$4:$F$203,MATCH($C177,'Check giá'!$A$4:$A$203,0)),""))</f>
        <v/>
      </c>
      <c r="H177" s="37" t="str">
        <f aca="false">IF($C177="","",IFERROR(INDEX('Check giá'!$G$4:$G$203,MATCH($C177,'Check giá'!$A$4:$A$203,0)),""))</f>
        <v/>
      </c>
      <c r="I177" s="38" t="str">
        <f aca="false">IF($C177="","",IFERROR(INDEX('Check giá'!$Q$4:$Q$203,MATCH($C177,'Check giá'!$A$4:$A$203,0)),""))</f>
        <v/>
      </c>
      <c r="J177" s="34"/>
      <c r="K177" s="34"/>
      <c r="L177" s="38" t="str">
        <f aca="false">IF($A177="","",$J177*$K177)</f>
        <v/>
      </c>
      <c r="M177" s="33"/>
      <c r="N177" s="32"/>
      <c r="O177" s="32"/>
      <c r="P177" s="33"/>
      <c r="Q177" s="32"/>
    </row>
    <row r="178" customFormat="false" ht="15" hidden="false" customHeight="false" outlineLevel="0" collapsed="false">
      <c r="A178" s="32"/>
      <c r="B178" s="33"/>
      <c r="C178" s="32"/>
      <c r="D178" s="37" t="str">
        <f aca="false">IF($C178="","",IFERROR(INDEX('Check giá'!$C$4:$C$203,MATCH($C178,'Check giá'!$A$4:$A$203,0)),""))</f>
        <v/>
      </c>
      <c r="E178" s="37" t="str">
        <f aca="false">IF($C178="","",IFERROR(INDEX('Check giá'!$D$4:$D$203,MATCH($C178,'Check giá'!$A$4:$A$203,0)),""))</f>
        <v/>
      </c>
      <c r="F178" s="37" t="str">
        <f aca="false">IF($C178="","",IFERROR(INDEX('Check giá'!$E$4:$E$203,MATCH($C178,'Check giá'!$A$4:$A$203,0)),""))</f>
        <v/>
      </c>
      <c r="G178" s="37" t="str">
        <f aca="false">IF($C178="","",IFERROR(INDEX('Check giá'!$F$4:$F$203,MATCH($C178,'Check giá'!$A$4:$A$203,0)),""))</f>
        <v/>
      </c>
      <c r="H178" s="37" t="str">
        <f aca="false">IF($C178="","",IFERROR(INDEX('Check giá'!$G$4:$G$203,MATCH($C178,'Check giá'!$A$4:$A$203,0)),""))</f>
        <v/>
      </c>
      <c r="I178" s="38" t="str">
        <f aca="false">IF($C178="","",IFERROR(INDEX('Check giá'!$Q$4:$Q$203,MATCH($C178,'Check giá'!$A$4:$A$203,0)),""))</f>
        <v/>
      </c>
      <c r="J178" s="34"/>
      <c r="K178" s="34"/>
      <c r="L178" s="38" t="str">
        <f aca="false">IF($A178="","",$J178*$K178)</f>
        <v/>
      </c>
      <c r="M178" s="33"/>
      <c r="N178" s="32"/>
      <c r="O178" s="32"/>
      <c r="P178" s="33"/>
      <c r="Q178" s="32"/>
    </row>
    <row r="179" customFormat="false" ht="15" hidden="false" customHeight="false" outlineLevel="0" collapsed="false">
      <c r="A179" s="32"/>
      <c r="B179" s="33"/>
      <c r="C179" s="32"/>
      <c r="D179" s="37" t="str">
        <f aca="false">IF($C179="","",IFERROR(INDEX('Check giá'!$C$4:$C$203,MATCH($C179,'Check giá'!$A$4:$A$203,0)),""))</f>
        <v/>
      </c>
      <c r="E179" s="37" t="str">
        <f aca="false">IF($C179="","",IFERROR(INDEX('Check giá'!$D$4:$D$203,MATCH($C179,'Check giá'!$A$4:$A$203,0)),""))</f>
        <v/>
      </c>
      <c r="F179" s="37" t="str">
        <f aca="false">IF($C179="","",IFERROR(INDEX('Check giá'!$E$4:$E$203,MATCH($C179,'Check giá'!$A$4:$A$203,0)),""))</f>
        <v/>
      </c>
      <c r="G179" s="37" t="str">
        <f aca="false">IF($C179="","",IFERROR(INDEX('Check giá'!$F$4:$F$203,MATCH($C179,'Check giá'!$A$4:$A$203,0)),""))</f>
        <v/>
      </c>
      <c r="H179" s="37" t="str">
        <f aca="false">IF($C179="","",IFERROR(INDEX('Check giá'!$G$4:$G$203,MATCH($C179,'Check giá'!$A$4:$A$203,0)),""))</f>
        <v/>
      </c>
      <c r="I179" s="38" t="str">
        <f aca="false">IF($C179="","",IFERROR(INDEX('Check giá'!$Q$4:$Q$203,MATCH($C179,'Check giá'!$A$4:$A$203,0)),""))</f>
        <v/>
      </c>
      <c r="J179" s="34"/>
      <c r="K179" s="34"/>
      <c r="L179" s="38" t="str">
        <f aca="false">IF($A179="","",$J179*$K179)</f>
        <v/>
      </c>
      <c r="M179" s="33"/>
      <c r="N179" s="32"/>
      <c r="O179" s="32"/>
      <c r="P179" s="33"/>
      <c r="Q179" s="32"/>
    </row>
    <row r="180" customFormat="false" ht="15" hidden="false" customHeight="false" outlineLevel="0" collapsed="false">
      <c r="A180" s="32"/>
      <c r="B180" s="33"/>
      <c r="C180" s="32"/>
      <c r="D180" s="37" t="str">
        <f aca="false">IF($C180="","",IFERROR(INDEX('Check giá'!$C$4:$C$203,MATCH($C180,'Check giá'!$A$4:$A$203,0)),""))</f>
        <v/>
      </c>
      <c r="E180" s="37" t="str">
        <f aca="false">IF($C180="","",IFERROR(INDEX('Check giá'!$D$4:$D$203,MATCH($C180,'Check giá'!$A$4:$A$203,0)),""))</f>
        <v/>
      </c>
      <c r="F180" s="37" t="str">
        <f aca="false">IF($C180="","",IFERROR(INDEX('Check giá'!$E$4:$E$203,MATCH($C180,'Check giá'!$A$4:$A$203,0)),""))</f>
        <v/>
      </c>
      <c r="G180" s="37" t="str">
        <f aca="false">IF($C180="","",IFERROR(INDEX('Check giá'!$F$4:$F$203,MATCH($C180,'Check giá'!$A$4:$A$203,0)),""))</f>
        <v/>
      </c>
      <c r="H180" s="37" t="str">
        <f aca="false">IF($C180="","",IFERROR(INDEX('Check giá'!$G$4:$G$203,MATCH($C180,'Check giá'!$A$4:$A$203,0)),""))</f>
        <v/>
      </c>
      <c r="I180" s="38" t="str">
        <f aca="false">IF($C180="","",IFERROR(INDEX('Check giá'!$Q$4:$Q$203,MATCH($C180,'Check giá'!$A$4:$A$203,0)),""))</f>
        <v/>
      </c>
      <c r="J180" s="34"/>
      <c r="K180" s="34"/>
      <c r="L180" s="38" t="str">
        <f aca="false">IF($A180="","",$J180*$K180)</f>
        <v/>
      </c>
      <c r="M180" s="33"/>
      <c r="N180" s="32"/>
      <c r="O180" s="32"/>
      <c r="P180" s="33"/>
      <c r="Q180" s="32"/>
    </row>
    <row r="181" customFormat="false" ht="15" hidden="false" customHeight="false" outlineLevel="0" collapsed="false">
      <c r="A181" s="32"/>
      <c r="B181" s="33"/>
      <c r="C181" s="32"/>
      <c r="D181" s="37" t="str">
        <f aca="false">IF($C181="","",IFERROR(INDEX('Check giá'!$C$4:$C$203,MATCH($C181,'Check giá'!$A$4:$A$203,0)),""))</f>
        <v/>
      </c>
      <c r="E181" s="37" t="str">
        <f aca="false">IF($C181="","",IFERROR(INDEX('Check giá'!$D$4:$D$203,MATCH($C181,'Check giá'!$A$4:$A$203,0)),""))</f>
        <v/>
      </c>
      <c r="F181" s="37" t="str">
        <f aca="false">IF($C181="","",IFERROR(INDEX('Check giá'!$E$4:$E$203,MATCH($C181,'Check giá'!$A$4:$A$203,0)),""))</f>
        <v/>
      </c>
      <c r="G181" s="37" t="str">
        <f aca="false">IF($C181="","",IFERROR(INDEX('Check giá'!$F$4:$F$203,MATCH($C181,'Check giá'!$A$4:$A$203,0)),""))</f>
        <v/>
      </c>
      <c r="H181" s="37" t="str">
        <f aca="false">IF($C181="","",IFERROR(INDEX('Check giá'!$G$4:$G$203,MATCH($C181,'Check giá'!$A$4:$A$203,0)),""))</f>
        <v/>
      </c>
      <c r="I181" s="38" t="str">
        <f aca="false">IF($C181="","",IFERROR(INDEX('Check giá'!$Q$4:$Q$203,MATCH($C181,'Check giá'!$A$4:$A$203,0)),""))</f>
        <v/>
      </c>
      <c r="J181" s="34"/>
      <c r="K181" s="34"/>
      <c r="L181" s="38" t="str">
        <f aca="false">IF($A181="","",$J181*$K181)</f>
        <v/>
      </c>
      <c r="M181" s="33"/>
      <c r="N181" s="32"/>
      <c r="O181" s="32"/>
      <c r="P181" s="33"/>
      <c r="Q181" s="32"/>
    </row>
    <row r="182" customFormat="false" ht="15" hidden="false" customHeight="false" outlineLevel="0" collapsed="false">
      <c r="A182" s="32"/>
      <c r="B182" s="33"/>
      <c r="C182" s="32"/>
      <c r="D182" s="37" t="str">
        <f aca="false">IF($C182="","",IFERROR(INDEX('Check giá'!$C$4:$C$203,MATCH($C182,'Check giá'!$A$4:$A$203,0)),""))</f>
        <v/>
      </c>
      <c r="E182" s="37" t="str">
        <f aca="false">IF($C182="","",IFERROR(INDEX('Check giá'!$D$4:$D$203,MATCH($C182,'Check giá'!$A$4:$A$203,0)),""))</f>
        <v/>
      </c>
      <c r="F182" s="37" t="str">
        <f aca="false">IF($C182="","",IFERROR(INDEX('Check giá'!$E$4:$E$203,MATCH($C182,'Check giá'!$A$4:$A$203,0)),""))</f>
        <v/>
      </c>
      <c r="G182" s="37" t="str">
        <f aca="false">IF($C182="","",IFERROR(INDEX('Check giá'!$F$4:$F$203,MATCH($C182,'Check giá'!$A$4:$A$203,0)),""))</f>
        <v/>
      </c>
      <c r="H182" s="37" t="str">
        <f aca="false">IF($C182="","",IFERROR(INDEX('Check giá'!$G$4:$G$203,MATCH($C182,'Check giá'!$A$4:$A$203,0)),""))</f>
        <v/>
      </c>
      <c r="I182" s="38" t="str">
        <f aca="false">IF($C182="","",IFERROR(INDEX('Check giá'!$Q$4:$Q$203,MATCH($C182,'Check giá'!$A$4:$A$203,0)),""))</f>
        <v/>
      </c>
      <c r="J182" s="34"/>
      <c r="K182" s="34"/>
      <c r="L182" s="38" t="str">
        <f aca="false">IF($A182="","",$J182*$K182)</f>
        <v/>
      </c>
      <c r="M182" s="33"/>
      <c r="N182" s="32"/>
      <c r="O182" s="32"/>
      <c r="P182" s="33"/>
      <c r="Q182" s="32"/>
    </row>
    <row r="183" customFormat="false" ht="15" hidden="false" customHeight="false" outlineLevel="0" collapsed="false">
      <c r="A183" s="32"/>
      <c r="B183" s="33"/>
      <c r="C183" s="32"/>
      <c r="D183" s="37" t="str">
        <f aca="false">IF($C183="","",IFERROR(INDEX('Check giá'!$C$4:$C$203,MATCH($C183,'Check giá'!$A$4:$A$203,0)),""))</f>
        <v/>
      </c>
      <c r="E183" s="37" t="str">
        <f aca="false">IF($C183="","",IFERROR(INDEX('Check giá'!$D$4:$D$203,MATCH($C183,'Check giá'!$A$4:$A$203,0)),""))</f>
        <v/>
      </c>
      <c r="F183" s="37" t="str">
        <f aca="false">IF($C183="","",IFERROR(INDEX('Check giá'!$E$4:$E$203,MATCH($C183,'Check giá'!$A$4:$A$203,0)),""))</f>
        <v/>
      </c>
      <c r="G183" s="37" t="str">
        <f aca="false">IF($C183="","",IFERROR(INDEX('Check giá'!$F$4:$F$203,MATCH($C183,'Check giá'!$A$4:$A$203,0)),""))</f>
        <v/>
      </c>
      <c r="H183" s="37" t="str">
        <f aca="false">IF($C183="","",IFERROR(INDEX('Check giá'!$G$4:$G$203,MATCH($C183,'Check giá'!$A$4:$A$203,0)),""))</f>
        <v/>
      </c>
      <c r="I183" s="38" t="str">
        <f aca="false">IF($C183="","",IFERROR(INDEX('Check giá'!$Q$4:$Q$203,MATCH($C183,'Check giá'!$A$4:$A$203,0)),""))</f>
        <v/>
      </c>
      <c r="J183" s="34"/>
      <c r="K183" s="34"/>
      <c r="L183" s="38" t="str">
        <f aca="false">IF($A183="","",$J183*$K183)</f>
        <v/>
      </c>
      <c r="M183" s="33"/>
      <c r="N183" s="32"/>
      <c r="O183" s="32"/>
      <c r="P183" s="33"/>
      <c r="Q183" s="32"/>
    </row>
    <row r="184" customFormat="false" ht="15" hidden="false" customHeight="false" outlineLevel="0" collapsed="false">
      <c r="A184" s="32"/>
      <c r="B184" s="33"/>
      <c r="C184" s="32"/>
      <c r="D184" s="37" t="str">
        <f aca="false">IF($C184="","",IFERROR(INDEX('Check giá'!$C$4:$C$203,MATCH($C184,'Check giá'!$A$4:$A$203,0)),""))</f>
        <v/>
      </c>
      <c r="E184" s="37" t="str">
        <f aca="false">IF($C184="","",IFERROR(INDEX('Check giá'!$D$4:$D$203,MATCH($C184,'Check giá'!$A$4:$A$203,0)),""))</f>
        <v/>
      </c>
      <c r="F184" s="37" t="str">
        <f aca="false">IF($C184="","",IFERROR(INDEX('Check giá'!$E$4:$E$203,MATCH($C184,'Check giá'!$A$4:$A$203,0)),""))</f>
        <v/>
      </c>
      <c r="G184" s="37" t="str">
        <f aca="false">IF($C184="","",IFERROR(INDEX('Check giá'!$F$4:$F$203,MATCH($C184,'Check giá'!$A$4:$A$203,0)),""))</f>
        <v/>
      </c>
      <c r="H184" s="37" t="str">
        <f aca="false">IF($C184="","",IFERROR(INDEX('Check giá'!$G$4:$G$203,MATCH($C184,'Check giá'!$A$4:$A$203,0)),""))</f>
        <v/>
      </c>
      <c r="I184" s="38" t="str">
        <f aca="false">IF($C184="","",IFERROR(INDEX('Check giá'!$Q$4:$Q$203,MATCH($C184,'Check giá'!$A$4:$A$203,0)),""))</f>
        <v/>
      </c>
      <c r="J184" s="34"/>
      <c r="K184" s="34"/>
      <c r="L184" s="38" t="str">
        <f aca="false">IF($A184="","",$J184*$K184)</f>
        <v/>
      </c>
      <c r="M184" s="33"/>
      <c r="N184" s="32"/>
      <c r="O184" s="32"/>
      <c r="P184" s="33"/>
      <c r="Q184" s="32"/>
    </row>
    <row r="185" customFormat="false" ht="15" hidden="false" customHeight="false" outlineLevel="0" collapsed="false">
      <c r="A185" s="32"/>
      <c r="B185" s="33"/>
      <c r="C185" s="32"/>
      <c r="D185" s="37" t="str">
        <f aca="false">IF($C185="","",IFERROR(INDEX('Check giá'!$C$4:$C$203,MATCH($C185,'Check giá'!$A$4:$A$203,0)),""))</f>
        <v/>
      </c>
      <c r="E185" s="37" t="str">
        <f aca="false">IF($C185="","",IFERROR(INDEX('Check giá'!$D$4:$D$203,MATCH($C185,'Check giá'!$A$4:$A$203,0)),""))</f>
        <v/>
      </c>
      <c r="F185" s="37" t="str">
        <f aca="false">IF($C185="","",IFERROR(INDEX('Check giá'!$E$4:$E$203,MATCH($C185,'Check giá'!$A$4:$A$203,0)),""))</f>
        <v/>
      </c>
      <c r="G185" s="37" t="str">
        <f aca="false">IF($C185="","",IFERROR(INDEX('Check giá'!$F$4:$F$203,MATCH($C185,'Check giá'!$A$4:$A$203,0)),""))</f>
        <v/>
      </c>
      <c r="H185" s="37" t="str">
        <f aca="false">IF($C185="","",IFERROR(INDEX('Check giá'!$G$4:$G$203,MATCH($C185,'Check giá'!$A$4:$A$203,0)),""))</f>
        <v/>
      </c>
      <c r="I185" s="38" t="str">
        <f aca="false">IF($C185="","",IFERROR(INDEX('Check giá'!$Q$4:$Q$203,MATCH($C185,'Check giá'!$A$4:$A$203,0)),""))</f>
        <v/>
      </c>
      <c r="J185" s="34"/>
      <c r="K185" s="34"/>
      <c r="L185" s="38" t="str">
        <f aca="false">IF($A185="","",$J185*$K185)</f>
        <v/>
      </c>
      <c r="M185" s="33"/>
      <c r="N185" s="32"/>
      <c r="O185" s="32"/>
      <c r="P185" s="33"/>
      <c r="Q185" s="32"/>
    </row>
    <row r="186" customFormat="false" ht="15" hidden="false" customHeight="false" outlineLevel="0" collapsed="false">
      <c r="A186" s="32"/>
      <c r="B186" s="33"/>
      <c r="C186" s="32"/>
      <c r="D186" s="37" t="str">
        <f aca="false">IF($C186="","",IFERROR(INDEX('Check giá'!$C$4:$C$203,MATCH($C186,'Check giá'!$A$4:$A$203,0)),""))</f>
        <v/>
      </c>
      <c r="E186" s="37" t="str">
        <f aca="false">IF($C186="","",IFERROR(INDEX('Check giá'!$D$4:$D$203,MATCH($C186,'Check giá'!$A$4:$A$203,0)),""))</f>
        <v/>
      </c>
      <c r="F186" s="37" t="str">
        <f aca="false">IF($C186="","",IFERROR(INDEX('Check giá'!$E$4:$E$203,MATCH($C186,'Check giá'!$A$4:$A$203,0)),""))</f>
        <v/>
      </c>
      <c r="G186" s="37" t="str">
        <f aca="false">IF($C186="","",IFERROR(INDEX('Check giá'!$F$4:$F$203,MATCH($C186,'Check giá'!$A$4:$A$203,0)),""))</f>
        <v/>
      </c>
      <c r="H186" s="37" t="str">
        <f aca="false">IF($C186="","",IFERROR(INDEX('Check giá'!$G$4:$G$203,MATCH($C186,'Check giá'!$A$4:$A$203,0)),""))</f>
        <v/>
      </c>
      <c r="I186" s="38" t="str">
        <f aca="false">IF($C186="","",IFERROR(INDEX('Check giá'!$Q$4:$Q$203,MATCH($C186,'Check giá'!$A$4:$A$203,0)),""))</f>
        <v/>
      </c>
      <c r="J186" s="34"/>
      <c r="K186" s="34"/>
      <c r="L186" s="38" t="str">
        <f aca="false">IF($A186="","",$J186*$K186)</f>
        <v/>
      </c>
      <c r="M186" s="33"/>
      <c r="N186" s="32"/>
      <c r="O186" s="32"/>
      <c r="P186" s="33"/>
      <c r="Q186" s="32"/>
    </row>
    <row r="187" customFormat="false" ht="15" hidden="false" customHeight="false" outlineLevel="0" collapsed="false">
      <c r="A187" s="32"/>
      <c r="B187" s="33"/>
      <c r="C187" s="32"/>
      <c r="D187" s="37" t="str">
        <f aca="false">IF($C187="","",IFERROR(INDEX('Check giá'!$C$4:$C$203,MATCH($C187,'Check giá'!$A$4:$A$203,0)),""))</f>
        <v/>
      </c>
      <c r="E187" s="37" t="str">
        <f aca="false">IF($C187="","",IFERROR(INDEX('Check giá'!$D$4:$D$203,MATCH($C187,'Check giá'!$A$4:$A$203,0)),""))</f>
        <v/>
      </c>
      <c r="F187" s="37" t="str">
        <f aca="false">IF($C187="","",IFERROR(INDEX('Check giá'!$E$4:$E$203,MATCH($C187,'Check giá'!$A$4:$A$203,0)),""))</f>
        <v/>
      </c>
      <c r="G187" s="37" t="str">
        <f aca="false">IF($C187="","",IFERROR(INDEX('Check giá'!$F$4:$F$203,MATCH($C187,'Check giá'!$A$4:$A$203,0)),""))</f>
        <v/>
      </c>
      <c r="H187" s="37" t="str">
        <f aca="false">IF($C187="","",IFERROR(INDEX('Check giá'!$G$4:$G$203,MATCH($C187,'Check giá'!$A$4:$A$203,0)),""))</f>
        <v/>
      </c>
      <c r="I187" s="38" t="str">
        <f aca="false">IF($C187="","",IFERROR(INDEX('Check giá'!$Q$4:$Q$203,MATCH($C187,'Check giá'!$A$4:$A$203,0)),""))</f>
        <v/>
      </c>
      <c r="J187" s="34"/>
      <c r="K187" s="34"/>
      <c r="L187" s="38" t="str">
        <f aca="false">IF($A187="","",$J187*$K187)</f>
        <v/>
      </c>
      <c r="M187" s="33"/>
      <c r="N187" s="32"/>
      <c r="O187" s="32"/>
      <c r="P187" s="33"/>
      <c r="Q187" s="32"/>
    </row>
    <row r="188" customFormat="false" ht="15" hidden="false" customHeight="false" outlineLevel="0" collapsed="false">
      <c r="A188" s="32"/>
      <c r="B188" s="33"/>
      <c r="C188" s="32"/>
      <c r="D188" s="37" t="str">
        <f aca="false">IF($C188="","",IFERROR(INDEX('Check giá'!$C$4:$C$203,MATCH($C188,'Check giá'!$A$4:$A$203,0)),""))</f>
        <v/>
      </c>
      <c r="E188" s="37" t="str">
        <f aca="false">IF($C188="","",IFERROR(INDEX('Check giá'!$D$4:$D$203,MATCH($C188,'Check giá'!$A$4:$A$203,0)),""))</f>
        <v/>
      </c>
      <c r="F188" s="37" t="str">
        <f aca="false">IF($C188="","",IFERROR(INDEX('Check giá'!$E$4:$E$203,MATCH($C188,'Check giá'!$A$4:$A$203,0)),""))</f>
        <v/>
      </c>
      <c r="G188" s="37" t="str">
        <f aca="false">IF($C188="","",IFERROR(INDEX('Check giá'!$F$4:$F$203,MATCH($C188,'Check giá'!$A$4:$A$203,0)),""))</f>
        <v/>
      </c>
      <c r="H188" s="37" t="str">
        <f aca="false">IF($C188="","",IFERROR(INDEX('Check giá'!$G$4:$G$203,MATCH($C188,'Check giá'!$A$4:$A$203,0)),""))</f>
        <v/>
      </c>
      <c r="I188" s="38" t="str">
        <f aca="false">IF($C188="","",IFERROR(INDEX('Check giá'!$Q$4:$Q$203,MATCH($C188,'Check giá'!$A$4:$A$203,0)),""))</f>
        <v/>
      </c>
      <c r="J188" s="34"/>
      <c r="K188" s="34"/>
      <c r="L188" s="38" t="str">
        <f aca="false">IF($A188="","",$J188*$K188)</f>
        <v/>
      </c>
      <c r="M188" s="33"/>
      <c r="N188" s="32"/>
      <c r="O188" s="32"/>
      <c r="P188" s="33"/>
      <c r="Q188" s="32"/>
    </row>
    <row r="189" customFormat="false" ht="15" hidden="false" customHeight="false" outlineLevel="0" collapsed="false">
      <c r="A189" s="32"/>
      <c r="B189" s="33"/>
      <c r="C189" s="32"/>
      <c r="D189" s="37" t="str">
        <f aca="false">IF($C189="","",IFERROR(INDEX('Check giá'!$C$4:$C$203,MATCH($C189,'Check giá'!$A$4:$A$203,0)),""))</f>
        <v/>
      </c>
      <c r="E189" s="37" t="str">
        <f aca="false">IF($C189="","",IFERROR(INDEX('Check giá'!$D$4:$D$203,MATCH($C189,'Check giá'!$A$4:$A$203,0)),""))</f>
        <v/>
      </c>
      <c r="F189" s="37" t="str">
        <f aca="false">IF($C189="","",IFERROR(INDEX('Check giá'!$E$4:$E$203,MATCH($C189,'Check giá'!$A$4:$A$203,0)),""))</f>
        <v/>
      </c>
      <c r="G189" s="37" t="str">
        <f aca="false">IF($C189="","",IFERROR(INDEX('Check giá'!$F$4:$F$203,MATCH($C189,'Check giá'!$A$4:$A$203,0)),""))</f>
        <v/>
      </c>
      <c r="H189" s="37" t="str">
        <f aca="false">IF($C189="","",IFERROR(INDEX('Check giá'!$G$4:$G$203,MATCH($C189,'Check giá'!$A$4:$A$203,0)),""))</f>
        <v/>
      </c>
      <c r="I189" s="38" t="str">
        <f aca="false">IF($C189="","",IFERROR(INDEX('Check giá'!$Q$4:$Q$203,MATCH($C189,'Check giá'!$A$4:$A$203,0)),""))</f>
        <v/>
      </c>
      <c r="J189" s="34"/>
      <c r="K189" s="34"/>
      <c r="L189" s="38" t="str">
        <f aca="false">IF($A189="","",$J189*$K189)</f>
        <v/>
      </c>
      <c r="M189" s="33"/>
      <c r="N189" s="32"/>
      <c r="O189" s="32"/>
      <c r="P189" s="33"/>
      <c r="Q189" s="32"/>
    </row>
    <row r="190" customFormat="false" ht="15" hidden="false" customHeight="false" outlineLevel="0" collapsed="false">
      <c r="A190" s="32"/>
      <c r="B190" s="33"/>
      <c r="C190" s="32"/>
      <c r="D190" s="37" t="str">
        <f aca="false">IF($C190="","",IFERROR(INDEX('Check giá'!$C$4:$C$203,MATCH($C190,'Check giá'!$A$4:$A$203,0)),""))</f>
        <v/>
      </c>
      <c r="E190" s="37" t="str">
        <f aca="false">IF($C190="","",IFERROR(INDEX('Check giá'!$D$4:$D$203,MATCH($C190,'Check giá'!$A$4:$A$203,0)),""))</f>
        <v/>
      </c>
      <c r="F190" s="37" t="str">
        <f aca="false">IF($C190="","",IFERROR(INDEX('Check giá'!$E$4:$E$203,MATCH($C190,'Check giá'!$A$4:$A$203,0)),""))</f>
        <v/>
      </c>
      <c r="G190" s="37" t="str">
        <f aca="false">IF($C190="","",IFERROR(INDEX('Check giá'!$F$4:$F$203,MATCH($C190,'Check giá'!$A$4:$A$203,0)),""))</f>
        <v/>
      </c>
      <c r="H190" s="37" t="str">
        <f aca="false">IF($C190="","",IFERROR(INDEX('Check giá'!$G$4:$G$203,MATCH($C190,'Check giá'!$A$4:$A$203,0)),""))</f>
        <v/>
      </c>
      <c r="I190" s="38" t="str">
        <f aca="false">IF($C190="","",IFERROR(INDEX('Check giá'!$Q$4:$Q$203,MATCH($C190,'Check giá'!$A$4:$A$203,0)),""))</f>
        <v/>
      </c>
      <c r="J190" s="34"/>
      <c r="K190" s="34"/>
      <c r="L190" s="38" t="str">
        <f aca="false">IF($A190="","",$J190*$K190)</f>
        <v/>
      </c>
      <c r="M190" s="33"/>
      <c r="N190" s="32"/>
      <c r="O190" s="32"/>
      <c r="P190" s="33"/>
      <c r="Q190" s="32"/>
    </row>
    <row r="191" customFormat="false" ht="15" hidden="false" customHeight="false" outlineLevel="0" collapsed="false">
      <c r="A191" s="32"/>
      <c r="B191" s="33"/>
      <c r="C191" s="32"/>
      <c r="D191" s="37" t="str">
        <f aca="false">IF($C191="","",IFERROR(INDEX('Check giá'!$C$4:$C$203,MATCH($C191,'Check giá'!$A$4:$A$203,0)),""))</f>
        <v/>
      </c>
      <c r="E191" s="37" t="str">
        <f aca="false">IF($C191="","",IFERROR(INDEX('Check giá'!$D$4:$D$203,MATCH($C191,'Check giá'!$A$4:$A$203,0)),""))</f>
        <v/>
      </c>
      <c r="F191" s="37" t="str">
        <f aca="false">IF($C191="","",IFERROR(INDEX('Check giá'!$E$4:$E$203,MATCH($C191,'Check giá'!$A$4:$A$203,0)),""))</f>
        <v/>
      </c>
      <c r="G191" s="37" t="str">
        <f aca="false">IF($C191="","",IFERROR(INDEX('Check giá'!$F$4:$F$203,MATCH($C191,'Check giá'!$A$4:$A$203,0)),""))</f>
        <v/>
      </c>
      <c r="H191" s="37" t="str">
        <f aca="false">IF($C191="","",IFERROR(INDEX('Check giá'!$G$4:$G$203,MATCH($C191,'Check giá'!$A$4:$A$203,0)),""))</f>
        <v/>
      </c>
      <c r="I191" s="38" t="str">
        <f aca="false">IF($C191="","",IFERROR(INDEX('Check giá'!$Q$4:$Q$203,MATCH($C191,'Check giá'!$A$4:$A$203,0)),""))</f>
        <v/>
      </c>
      <c r="J191" s="34"/>
      <c r="K191" s="34"/>
      <c r="L191" s="38" t="str">
        <f aca="false">IF($A191="","",$J191*$K191)</f>
        <v/>
      </c>
      <c r="M191" s="33"/>
      <c r="N191" s="32"/>
      <c r="O191" s="32"/>
      <c r="P191" s="33"/>
      <c r="Q191" s="32"/>
    </row>
    <row r="192" customFormat="false" ht="15" hidden="false" customHeight="false" outlineLevel="0" collapsed="false">
      <c r="A192" s="32"/>
      <c r="B192" s="33"/>
      <c r="C192" s="32"/>
      <c r="D192" s="37" t="str">
        <f aca="false">IF($C192="","",IFERROR(INDEX('Check giá'!$C$4:$C$203,MATCH($C192,'Check giá'!$A$4:$A$203,0)),""))</f>
        <v/>
      </c>
      <c r="E192" s="37" t="str">
        <f aca="false">IF($C192="","",IFERROR(INDEX('Check giá'!$D$4:$D$203,MATCH($C192,'Check giá'!$A$4:$A$203,0)),""))</f>
        <v/>
      </c>
      <c r="F192" s="37" t="str">
        <f aca="false">IF($C192="","",IFERROR(INDEX('Check giá'!$E$4:$E$203,MATCH($C192,'Check giá'!$A$4:$A$203,0)),""))</f>
        <v/>
      </c>
      <c r="G192" s="37" t="str">
        <f aca="false">IF($C192="","",IFERROR(INDEX('Check giá'!$F$4:$F$203,MATCH($C192,'Check giá'!$A$4:$A$203,0)),""))</f>
        <v/>
      </c>
      <c r="H192" s="37" t="str">
        <f aca="false">IF($C192="","",IFERROR(INDEX('Check giá'!$G$4:$G$203,MATCH($C192,'Check giá'!$A$4:$A$203,0)),""))</f>
        <v/>
      </c>
      <c r="I192" s="38" t="str">
        <f aca="false">IF($C192="","",IFERROR(INDEX('Check giá'!$Q$4:$Q$203,MATCH($C192,'Check giá'!$A$4:$A$203,0)),""))</f>
        <v/>
      </c>
      <c r="J192" s="34"/>
      <c r="K192" s="34"/>
      <c r="L192" s="38" t="str">
        <f aca="false">IF($A192="","",$J192*$K192)</f>
        <v/>
      </c>
      <c r="M192" s="33"/>
      <c r="N192" s="32"/>
      <c r="O192" s="32"/>
      <c r="P192" s="33"/>
      <c r="Q192" s="32"/>
    </row>
    <row r="193" customFormat="false" ht="15" hidden="false" customHeight="false" outlineLevel="0" collapsed="false">
      <c r="A193" s="32"/>
      <c r="B193" s="33"/>
      <c r="C193" s="32"/>
      <c r="D193" s="37" t="str">
        <f aca="false">IF($C193="","",IFERROR(INDEX('Check giá'!$C$4:$C$203,MATCH($C193,'Check giá'!$A$4:$A$203,0)),""))</f>
        <v/>
      </c>
      <c r="E193" s="37" t="str">
        <f aca="false">IF($C193="","",IFERROR(INDEX('Check giá'!$D$4:$D$203,MATCH($C193,'Check giá'!$A$4:$A$203,0)),""))</f>
        <v/>
      </c>
      <c r="F193" s="37" t="str">
        <f aca="false">IF($C193="","",IFERROR(INDEX('Check giá'!$E$4:$E$203,MATCH($C193,'Check giá'!$A$4:$A$203,0)),""))</f>
        <v/>
      </c>
      <c r="G193" s="37" t="str">
        <f aca="false">IF($C193="","",IFERROR(INDEX('Check giá'!$F$4:$F$203,MATCH($C193,'Check giá'!$A$4:$A$203,0)),""))</f>
        <v/>
      </c>
      <c r="H193" s="37" t="str">
        <f aca="false">IF($C193="","",IFERROR(INDEX('Check giá'!$G$4:$G$203,MATCH($C193,'Check giá'!$A$4:$A$203,0)),""))</f>
        <v/>
      </c>
      <c r="I193" s="38" t="str">
        <f aca="false">IF($C193="","",IFERROR(INDEX('Check giá'!$Q$4:$Q$203,MATCH($C193,'Check giá'!$A$4:$A$203,0)),""))</f>
        <v/>
      </c>
      <c r="J193" s="34"/>
      <c r="K193" s="34"/>
      <c r="L193" s="38" t="str">
        <f aca="false">IF($A193="","",$J193*$K193)</f>
        <v/>
      </c>
      <c r="M193" s="33"/>
      <c r="N193" s="32"/>
      <c r="O193" s="32"/>
      <c r="P193" s="33"/>
      <c r="Q193" s="32"/>
    </row>
    <row r="194" customFormat="false" ht="15" hidden="false" customHeight="false" outlineLevel="0" collapsed="false">
      <c r="A194" s="32"/>
      <c r="B194" s="33"/>
      <c r="C194" s="32"/>
      <c r="D194" s="37" t="str">
        <f aca="false">IF($C194="","",IFERROR(INDEX('Check giá'!$C$4:$C$203,MATCH($C194,'Check giá'!$A$4:$A$203,0)),""))</f>
        <v/>
      </c>
      <c r="E194" s="37" t="str">
        <f aca="false">IF($C194="","",IFERROR(INDEX('Check giá'!$D$4:$D$203,MATCH($C194,'Check giá'!$A$4:$A$203,0)),""))</f>
        <v/>
      </c>
      <c r="F194" s="37" t="str">
        <f aca="false">IF($C194="","",IFERROR(INDEX('Check giá'!$E$4:$E$203,MATCH($C194,'Check giá'!$A$4:$A$203,0)),""))</f>
        <v/>
      </c>
      <c r="G194" s="37" t="str">
        <f aca="false">IF($C194="","",IFERROR(INDEX('Check giá'!$F$4:$F$203,MATCH($C194,'Check giá'!$A$4:$A$203,0)),""))</f>
        <v/>
      </c>
      <c r="H194" s="37" t="str">
        <f aca="false">IF($C194="","",IFERROR(INDEX('Check giá'!$G$4:$G$203,MATCH($C194,'Check giá'!$A$4:$A$203,0)),""))</f>
        <v/>
      </c>
      <c r="I194" s="38" t="str">
        <f aca="false">IF($C194="","",IFERROR(INDEX('Check giá'!$Q$4:$Q$203,MATCH($C194,'Check giá'!$A$4:$A$203,0)),""))</f>
        <v/>
      </c>
      <c r="J194" s="34"/>
      <c r="K194" s="34"/>
      <c r="L194" s="38" t="str">
        <f aca="false">IF($A194="","",$J194*$K194)</f>
        <v/>
      </c>
      <c r="M194" s="33"/>
      <c r="N194" s="32"/>
      <c r="O194" s="32"/>
      <c r="P194" s="33"/>
      <c r="Q194" s="32"/>
    </row>
    <row r="195" customFormat="false" ht="15" hidden="false" customHeight="false" outlineLevel="0" collapsed="false">
      <c r="A195" s="32"/>
      <c r="B195" s="33"/>
      <c r="C195" s="32"/>
      <c r="D195" s="37" t="str">
        <f aca="false">IF($C195="","",IFERROR(INDEX('Check giá'!$C$4:$C$203,MATCH($C195,'Check giá'!$A$4:$A$203,0)),""))</f>
        <v/>
      </c>
      <c r="E195" s="37" t="str">
        <f aca="false">IF($C195="","",IFERROR(INDEX('Check giá'!$D$4:$D$203,MATCH($C195,'Check giá'!$A$4:$A$203,0)),""))</f>
        <v/>
      </c>
      <c r="F195" s="37" t="str">
        <f aca="false">IF($C195="","",IFERROR(INDEX('Check giá'!$E$4:$E$203,MATCH($C195,'Check giá'!$A$4:$A$203,0)),""))</f>
        <v/>
      </c>
      <c r="G195" s="37" t="str">
        <f aca="false">IF($C195="","",IFERROR(INDEX('Check giá'!$F$4:$F$203,MATCH($C195,'Check giá'!$A$4:$A$203,0)),""))</f>
        <v/>
      </c>
      <c r="H195" s="37" t="str">
        <f aca="false">IF($C195="","",IFERROR(INDEX('Check giá'!$G$4:$G$203,MATCH($C195,'Check giá'!$A$4:$A$203,0)),""))</f>
        <v/>
      </c>
      <c r="I195" s="38" t="str">
        <f aca="false">IF($C195="","",IFERROR(INDEX('Check giá'!$Q$4:$Q$203,MATCH($C195,'Check giá'!$A$4:$A$203,0)),""))</f>
        <v/>
      </c>
      <c r="J195" s="34"/>
      <c r="K195" s="34"/>
      <c r="L195" s="38" t="str">
        <f aca="false">IF($A195="","",$J195*$K195)</f>
        <v/>
      </c>
      <c r="M195" s="33"/>
      <c r="N195" s="32"/>
      <c r="O195" s="32"/>
      <c r="P195" s="33"/>
      <c r="Q195" s="32"/>
    </row>
    <row r="196" customFormat="false" ht="15" hidden="false" customHeight="false" outlineLevel="0" collapsed="false">
      <c r="A196" s="32"/>
      <c r="B196" s="33"/>
      <c r="C196" s="32"/>
      <c r="D196" s="37" t="str">
        <f aca="false">IF($C196="","",IFERROR(INDEX('Check giá'!$C$4:$C$203,MATCH($C196,'Check giá'!$A$4:$A$203,0)),""))</f>
        <v/>
      </c>
      <c r="E196" s="37" t="str">
        <f aca="false">IF($C196="","",IFERROR(INDEX('Check giá'!$D$4:$D$203,MATCH($C196,'Check giá'!$A$4:$A$203,0)),""))</f>
        <v/>
      </c>
      <c r="F196" s="37" t="str">
        <f aca="false">IF($C196="","",IFERROR(INDEX('Check giá'!$E$4:$E$203,MATCH($C196,'Check giá'!$A$4:$A$203,0)),""))</f>
        <v/>
      </c>
      <c r="G196" s="37" t="str">
        <f aca="false">IF($C196="","",IFERROR(INDEX('Check giá'!$F$4:$F$203,MATCH($C196,'Check giá'!$A$4:$A$203,0)),""))</f>
        <v/>
      </c>
      <c r="H196" s="37" t="str">
        <f aca="false">IF($C196="","",IFERROR(INDEX('Check giá'!$G$4:$G$203,MATCH($C196,'Check giá'!$A$4:$A$203,0)),""))</f>
        <v/>
      </c>
      <c r="I196" s="38" t="str">
        <f aca="false">IF($C196="","",IFERROR(INDEX('Check giá'!$Q$4:$Q$203,MATCH($C196,'Check giá'!$A$4:$A$203,0)),""))</f>
        <v/>
      </c>
      <c r="J196" s="34"/>
      <c r="K196" s="34"/>
      <c r="L196" s="38" t="str">
        <f aca="false">IF($A196="","",$J196*$K196)</f>
        <v/>
      </c>
      <c r="M196" s="33"/>
      <c r="N196" s="32"/>
      <c r="O196" s="32"/>
      <c r="P196" s="33"/>
      <c r="Q196" s="32"/>
    </row>
    <row r="197" customFormat="false" ht="15" hidden="false" customHeight="false" outlineLevel="0" collapsed="false">
      <c r="A197" s="32"/>
      <c r="B197" s="33"/>
      <c r="C197" s="32"/>
      <c r="D197" s="37" t="str">
        <f aca="false">IF($C197="","",IFERROR(INDEX('Check giá'!$C$4:$C$203,MATCH($C197,'Check giá'!$A$4:$A$203,0)),""))</f>
        <v/>
      </c>
      <c r="E197" s="37" t="str">
        <f aca="false">IF($C197="","",IFERROR(INDEX('Check giá'!$D$4:$D$203,MATCH($C197,'Check giá'!$A$4:$A$203,0)),""))</f>
        <v/>
      </c>
      <c r="F197" s="37" t="str">
        <f aca="false">IF($C197="","",IFERROR(INDEX('Check giá'!$E$4:$E$203,MATCH($C197,'Check giá'!$A$4:$A$203,0)),""))</f>
        <v/>
      </c>
      <c r="G197" s="37" t="str">
        <f aca="false">IF($C197="","",IFERROR(INDEX('Check giá'!$F$4:$F$203,MATCH($C197,'Check giá'!$A$4:$A$203,0)),""))</f>
        <v/>
      </c>
      <c r="H197" s="37" t="str">
        <f aca="false">IF($C197="","",IFERROR(INDEX('Check giá'!$G$4:$G$203,MATCH($C197,'Check giá'!$A$4:$A$203,0)),""))</f>
        <v/>
      </c>
      <c r="I197" s="38" t="str">
        <f aca="false">IF($C197="","",IFERROR(INDEX('Check giá'!$Q$4:$Q$203,MATCH($C197,'Check giá'!$A$4:$A$203,0)),""))</f>
        <v/>
      </c>
      <c r="J197" s="34"/>
      <c r="K197" s="34"/>
      <c r="L197" s="38" t="str">
        <f aca="false">IF($A197="","",$J197*$K197)</f>
        <v/>
      </c>
      <c r="M197" s="33"/>
      <c r="N197" s="32"/>
      <c r="O197" s="32"/>
      <c r="P197" s="33"/>
      <c r="Q197" s="32"/>
    </row>
    <row r="198" customFormat="false" ht="15" hidden="false" customHeight="false" outlineLevel="0" collapsed="false">
      <c r="A198" s="32"/>
      <c r="B198" s="33"/>
      <c r="C198" s="32"/>
      <c r="D198" s="37" t="str">
        <f aca="false">IF($C198="","",IFERROR(INDEX('Check giá'!$C$4:$C$203,MATCH($C198,'Check giá'!$A$4:$A$203,0)),""))</f>
        <v/>
      </c>
      <c r="E198" s="37" t="str">
        <f aca="false">IF($C198="","",IFERROR(INDEX('Check giá'!$D$4:$D$203,MATCH($C198,'Check giá'!$A$4:$A$203,0)),""))</f>
        <v/>
      </c>
      <c r="F198" s="37" t="str">
        <f aca="false">IF($C198="","",IFERROR(INDEX('Check giá'!$E$4:$E$203,MATCH($C198,'Check giá'!$A$4:$A$203,0)),""))</f>
        <v/>
      </c>
      <c r="G198" s="37" t="str">
        <f aca="false">IF($C198="","",IFERROR(INDEX('Check giá'!$F$4:$F$203,MATCH($C198,'Check giá'!$A$4:$A$203,0)),""))</f>
        <v/>
      </c>
      <c r="H198" s="37" t="str">
        <f aca="false">IF($C198="","",IFERROR(INDEX('Check giá'!$G$4:$G$203,MATCH($C198,'Check giá'!$A$4:$A$203,0)),""))</f>
        <v/>
      </c>
      <c r="I198" s="38" t="str">
        <f aca="false">IF($C198="","",IFERROR(INDEX('Check giá'!$Q$4:$Q$203,MATCH($C198,'Check giá'!$A$4:$A$203,0)),""))</f>
        <v/>
      </c>
      <c r="J198" s="34"/>
      <c r="K198" s="34"/>
      <c r="L198" s="38" t="str">
        <f aca="false">IF($A198="","",$J198*$K198)</f>
        <v/>
      </c>
      <c r="M198" s="33"/>
      <c r="N198" s="32"/>
      <c r="O198" s="32"/>
      <c r="P198" s="33"/>
      <c r="Q198" s="32"/>
    </row>
    <row r="199" customFormat="false" ht="15" hidden="false" customHeight="false" outlineLevel="0" collapsed="false">
      <c r="A199" s="32"/>
      <c r="B199" s="33"/>
      <c r="C199" s="32"/>
      <c r="D199" s="37" t="str">
        <f aca="false">IF($C199="","",IFERROR(INDEX('Check giá'!$C$4:$C$203,MATCH($C199,'Check giá'!$A$4:$A$203,0)),""))</f>
        <v/>
      </c>
      <c r="E199" s="37" t="str">
        <f aca="false">IF($C199="","",IFERROR(INDEX('Check giá'!$D$4:$D$203,MATCH($C199,'Check giá'!$A$4:$A$203,0)),""))</f>
        <v/>
      </c>
      <c r="F199" s="37" t="str">
        <f aca="false">IF($C199="","",IFERROR(INDEX('Check giá'!$E$4:$E$203,MATCH($C199,'Check giá'!$A$4:$A$203,0)),""))</f>
        <v/>
      </c>
      <c r="G199" s="37" t="str">
        <f aca="false">IF($C199="","",IFERROR(INDEX('Check giá'!$F$4:$F$203,MATCH($C199,'Check giá'!$A$4:$A$203,0)),""))</f>
        <v/>
      </c>
      <c r="H199" s="37" t="str">
        <f aca="false">IF($C199="","",IFERROR(INDEX('Check giá'!$G$4:$G$203,MATCH($C199,'Check giá'!$A$4:$A$203,0)),""))</f>
        <v/>
      </c>
      <c r="I199" s="38" t="str">
        <f aca="false">IF($C199="","",IFERROR(INDEX('Check giá'!$Q$4:$Q$203,MATCH($C199,'Check giá'!$A$4:$A$203,0)),""))</f>
        <v/>
      </c>
      <c r="J199" s="34"/>
      <c r="K199" s="34"/>
      <c r="L199" s="38" t="str">
        <f aca="false">IF($A199="","",$J199*$K199)</f>
        <v/>
      </c>
      <c r="M199" s="33"/>
      <c r="N199" s="32"/>
      <c r="O199" s="32"/>
      <c r="P199" s="33"/>
      <c r="Q199" s="32"/>
    </row>
    <row r="200" customFormat="false" ht="15" hidden="false" customHeight="false" outlineLevel="0" collapsed="false">
      <c r="A200" s="32"/>
      <c r="B200" s="33"/>
      <c r="C200" s="32"/>
      <c r="D200" s="37" t="str">
        <f aca="false">IF($C200="","",IFERROR(INDEX('Check giá'!$C$4:$C$203,MATCH($C200,'Check giá'!$A$4:$A$203,0)),""))</f>
        <v/>
      </c>
      <c r="E200" s="37" t="str">
        <f aca="false">IF($C200="","",IFERROR(INDEX('Check giá'!$D$4:$D$203,MATCH($C200,'Check giá'!$A$4:$A$203,0)),""))</f>
        <v/>
      </c>
      <c r="F200" s="37" t="str">
        <f aca="false">IF($C200="","",IFERROR(INDEX('Check giá'!$E$4:$E$203,MATCH($C200,'Check giá'!$A$4:$A$203,0)),""))</f>
        <v/>
      </c>
      <c r="G200" s="37" t="str">
        <f aca="false">IF($C200="","",IFERROR(INDEX('Check giá'!$F$4:$F$203,MATCH($C200,'Check giá'!$A$4:$A$203,0)),""))</f>
        <v/>
      </c>
      <c r="H200" s="37" t="str">
        <f aca="false">IF($C200="","",IFERROR(INDEX('Check giá'!$G$4:$G$203,MATCH($C200,'Check giá'!$A$4:$A$203,0)),""))</f>
        <v/>
      </c>
      <c r="I200" s="38" t="str">
        <f aca="false">IF($C200="","",IFERROR(INDEX('Check giá'!$Q$4:$Q$203,MATCH($C200,'Check giá'!$A$4:$A$203,0)),""))</f>
        <v/>
      </c>
      <c r="J200" s="34"/>
      <c r="K200" s="34"/>
      <c r="L200" s="38" t="str">
        <f aca="false">IF($A200="","",$J200*$K200)</f>
        <v/>
      </c>
      <c r="M200" s="33"/>
      <c r="N200" s="32"/>
      <c r="O200" s="32"/>
      <c r="P200" s="33"/>
      <c r="Q200" s="32"/>
    </row>
    <row r="201" customFormat="false" ht="15" hidden="false" customHeight="false" outlineLevel="0" collapsed="false">
      <c r="A201" s="32"/>
      <c r="B201" s="33"/>
      <c r="C201" s="32"/>
      <c r="D201" s="37" t="str">
        <f aca="false">IF($C201="","",IFERROR(INDEX('Check giá'!$C$4:$C$203,MATCH($C201,'Check giá'!$A$4:$A$203,0)),""))</f>
        <v/>
      </c>
      <c r="E201" s="37" t="str">
        <f aca="false">IF($C201="","",IFERROR(INDEX('Check giá'!$D$4:$D$203,MATCH($C201,'Check giá'!$A$4:$A$203,0)),""))</f>
        <v/>
      </c>
      <c r="F201" s="37" t="str">
        <f aca="false">IF($C201="","",IFERROR(INDEX('Check giá'!$E$4:$E$203,MATCH($C201,'Check giá'!$A$4:$A$203,0)),""))</f>
        <v/>
      </c>
      <c r="G201" s="37" t="str">
        <f aca="false">IF($C201="","",IFERROR(INDEX('Check giá'!$F$4:$F$203,MATCH($C201,'Check giá'!$A$4:$A$203,0)),""))</f>
        <v/>
      </c>
      <c r="H201" s="37" t="str">
        <f aca="false">IF($C201="","",IFERROR(INDEX('Check giá'!$G$4:$G$203,MATCH($C201,'Check giá'!$A$4:$A$203,0)),""))</f>
        <v/>
      </c>
      <c r="I201" s="38" t="str">
        <f aca="false">IF($C201="","",IFERROR(INDEX('Check giá'!$Q$4:$Q$203,MATCH($C201,'Check giá'!$A$4:$A$203,0)),""))</f>
        <v/>
      </c>
      <c r="J201" s="34"/>
      <c r="K201" s="34"/>
      <c r="L201" s="38" t="str">
        <f aca="false">IF($A201="","",$J201*$K201)</f>
        <v/>
      </c>
      <c r="M201" s="33"/>
      <c r="N201" s="32"/>
      <c r="O201" s="32"/>
      <c r="P201" s="33"/>
      <c r="Q201" s="32"/>
    </row>
    <row r="202" customFormat="false" ht="15" hidden="false" customHeight="false" outlineLevel="0" collapsed="false">
      <c r="A202" s="32"/>
      <c r="B202" s="33"/>
      <c r="C202" s="32"/>
      <c r="D202" s="37" t="str">
        <f aca="false">IF($C202="","",IFERROR(INDEX('Check giá'!$C$4:$C$203,MATCH($C202,'Check giá'!$A$4:$A$203,0)),""))</f>
        <v/>
      </c>
      <c r="E202" s="37" t="str">
        <f aca="false">IF($C202="","",IFERROR(INDEX('Check giá'!$D$4:$D$203,MATCH($C202,'Check giá'!$A$4:$A$203,0)),""))</f>
        <v/>
      </c>
      <c r="F202" s="37" t="str">
        <f aca="false">IF($C202="","",IFERROR(INDEX('Check giá'!$E$4:$E$203,MATCH($C202,'Check giá'!$A$4:$A$203,0)),""))</f>
        <v/>
      </c>
      <c r="G202" s="37" t="str">
        <f aca="false">IF($C202="","",IFERROR(INDEX('Check giá'!$F$4:$F$203,MATCH($C202,'Check giá'!$A$4:$A$203,0)),""))</f>
        <v/>
      </c>
      <c r="H202" s="37" t="str">
        <f aca="false">IF($C202="","",IFERROR(INDEX('Check giá'!$G$4:$G$203,MATCH($C202,'Check giá'!$A$4:$A$203,0)),""))</f>
        <v/>
      </c>
      <c r="I202" s="38" t="str">
        <f aca="false">IF($C202="","",IFERROR(INDEX('Check giá'!$Q$4:$Q$203,MATCH($C202,'Check giá'!$A$4:$A$203,0)),""))</f>
        <v/>
      </c>
      <c r="J202" s="34"/>
      <c r="K202" s="34"/>
      <c r="L202" s="38" t="str">
        <f aca="false">IF($A202="","",$J202*$K202)</f>
        <v/>
      </c>
      <c r="M202" s="33"/>
      <c r="N202" s="32"/>
      <c r="O202" s="32"/>
      <c r="P202" s="33"/>
      <c r="Q202" s="32"/>
    </row>
    <row r="203" customFormat="false" ht="15" hidden="false" customHeight="false" outlineLevel="0" collapsed="false">
      <c r="A203" s="32"/>
      <c r="B203" s="33"/>
      <c r="C203" s="32"/>
      <c r="D203" s="37" t="str">
        <f aca="false">IF($C203="","",IFERROR(INDEX('Check giá'!$C$4:$C$203,MATCH($C203,'Check giá'!$A$4:$A$203,0)),""))</f>
        <v/>
      </c>
      <c r="E203" s="37" t="str">
        <f aca="false">IF($C203="","",IFERROR(INDEX('Check giá'!$D$4:$D$203,MATCH($C203,'Check giá'!$A$4:$A$203,0)),""))</f>
        <v/>
      </c>
      <c r="F203" s="37" t="str">
        <f aca="false">IF($C203="","",IFERROR(INDEX('Check giá'!$E$4:$E$203,MATCH($C203,'Check giá'!$A$4:$A$203,0)),""))</f>
        <v/>
      </c>
      <c r="G203" s="37" t="str">
        <f aca="false">IF($C203="","",IFERROR(INDEX('Check giá'!$F$4:$F$203,MATCH($C203,'Check giá'!$A$4:$A$203,0)),""))</f>
        <v/>
      </c>
      <c r="H203" s="37" t="str">
        <f aca="false">IF($C203="","",IFERROR(INDEX('Check giá'!$G$4:$G$203,MATCH($C203,'Check giá'!$A$4:$A$203,0)),""))</f>
        <v/>
      </c>
      <c r="I203" s="38" t="str">
        <f aca="false">IF($C203="","",IFERROR(INDEX('Check giá'!$Q$4:$Q$203,MATCH($C203,'Check giá'!$A$4:$A$203,0)),""))</f>
        <v/>
      </c>
      <c r="J203" s="34"/>
      <c r="K203" s="34"/>
      <c r="L203" s="38" t="str">
        <f aca="false">IF($A203="","",$J203*$K203)</f>
        <v/>
      </c>
      <c r="M203" s="33"/>
      <c r="N203" s="32"/>
      <c r="O203" s="32"/>
      <c r="P203" s="33"/>
      <c r="Q203" s="32"/>
    </row>
  </sheetData>
  <autoFilter ref="A3:Q203"/>
  <conditionalFormatting sqref="A4:Q203">
    <cfRule type="expression" priority="2" aboveAverage="0" equalAverage="0" bottom="0" percent="0" rank="0" text="" dxfId="13">
      <formula>$N4="Từ chối"</formula>
    </cfRule>
  </conditionalFormatting>
  <dataValidations count="1">
    <dataValidation allowBlank="true" errorStyle="stop" operator="between" showDropDown="false" showErrorMessage="false" showInputMessage="false" sqref="N4:N203" type="list">
      <formula1>"Chờ duyệt,Đã duyệt,Từ chối,Đã huỷ"</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AB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5"/>
    <col collapsed="false" customWidth="true" hidden="false" outlineLevel="0" max="4" min="4" style="0" width="13"/>
    <col collapsed="false" customWidth="true" hidden="false" outlineLevel="0" max="5" min="5" style="0" width="30"/>
    <col collapsed="false" customWidth="true" hidden="false" outlineLevel="0" max="6" min="6" style="0" width="32"/>
    <col collapsed="false" customWidth="true" hidden="false" outlineLevel="0" max="7" min="7" style="0" width="20"/>
    <col collapsed="false" customWidth="true" hidden="false" outlineLevel="0" max="8" min="8" style="0" width="12"/>
    <col collapsed="false" customWidth="true" hidden="false" outlineLevel="0" max="9" min="9" style="0" width="30"/>
    <col collapsed="false" customWidth="true" hidden="false" outlineLevel="0" max="10" min="10" style="0" width="11"/>
    <col collapsed="false" customWidth="true" hidden="false" outlineLevel="0" max="11" min="11" style="0" width="14"/>
    <col collapsed="false" customWidth="true" hidden="false" outlineLevel="0" max="13" min="12" style="0" width="16"/>
    <col collapsed="false" customWidth="true" hidden="false" outlineLevel="0" max="14" min="14" style="0" width="15"/>
    <col collapsed="false" customWidth="true" hidden="false" outlineLevel="0" max="15" min="15" style="0" width="20"/>
    <col collapsed="false" customWidth="true" hidden="false" outlineLevel="0" max="18" min="16" style="0" width="13"/>
    <col collapsed="false" customWidth="true" hidden="false" outlineLevel="0" max="19" min="19" style="0" width="15"/>
    <col collapsed="false" customWidth="true" hidden="false" outlineLevel="0" max="20" min="20" style="0" width="10"/>
    <col collapsed="false" customWidth="true" hidden="false" outlineLevel="0" max="24" min="21" style="0" width="11"/>
    <col collapsed="false" customWidth="true" hidden="false" outlineLevel="0" max="25" min="25" style="0" width="14"/>
    <col collapsed="false" customWidth="true" hidden="false" outlineLevel="0" max="26" min="26" style="0" width="12"/>
    <col collapsed="false" customWidth="true" hidden="false" outlineLevel="0" max="27" min="27" style="0" width="13"/>
    <col collapsed="false" customWidth="true" hidden="false" outlineLevel="0" max="28" min="28" style="0" width="26"/>
  </cols>
  <sheetData>
    <row r="1" customFormat="false" ht="17.35" hidden="false" customHeight="false" outlineLevel="0" collapsed="false">
      <c r="A1" s="30" t="s">
        <v>257</v>
      </c>
    </row>
    <row r="2" customFormat="false" ht="15" hidden="false" customHeight="false" outlineLevel="0" collapsed="false">
      <c r="A2" s="8" t="s">
        <v>258</v>
      </c>
    </row>
    <row r="3" customFormat="false" ht="33.75" hidden="false" customHeight="true" outlineLevel="0" collapsed="false">
      <c r="A3" s="40" t="s">
        <v>259</v>
      </c>
      <c r="B3" s="40" t="s">
        <v>260</v>
      </c>
      <c r="C3" s="40" t="s">
        <v>245</v>
      </c>
      <c r="D3" s="40" t="s">
        <v>116</v>
      </c>
      <c r="E3" s="40" t="s">
        <v>135</v>
      </c>
      <c r="F3" s="40" t="s">
        <v>261</v>
      </c>
      <c r="G3" s="40" t="s">
        <v>247</v>
      </c>
      <c r="H3" s="40" t="s">
        <v>156</v>
      </c>
      <c r="I3" s="40" t="s">
        <v>229</v>
      </c>
      <c r="J3" s="40" t="s">
        <v>262</v>
      </c>
      <c r="K3" s="40" t="s">
        <v>263</v>
      </c>
      <c r="L3" s="40" t="s">
        <v>264</v>
      </c>
      <c r="M3" s="40" t="s">
        <v>265</v>
      </c>
      <c r="N3" s="40" t="s">
        <v>266</v>
      </c>
      <c r="O3" s="40" t="s">
        <v>267</v>
      </c>
      <c r="P3" s="40" t="s">
        <v>268</v>
      </c>
      <c r="Q3" s="40" t="s">
        <v>269</v>
      </c>
      <c r="R3" s="40" t="s">
        <v>270</v>
      </c>
      <c r="S3" s="40" t="s">
        <v>271</v>
      </c>
      <c r="T3" s="40" t="s">
        <v>272</v>
      </c>
      <c r="U3" s="40" t="s">
        <v>273</v>
      </c>
      <c r="V3" s="40" t="s">
        <v>274</v>
      </c>
      <c r="W3" s="40" t="s">
        <v>275</v>
      </c>
      <c r="X3" s="40" t="s">
        <v>276</v>
      </c>
      <c r="Y3" s="40" t="s">
        <v>277</v>
      </c>
      <c r="Z3" s="40" t="s">
        <v>162</v>
      </c>
      <c r="AA3" s="40" t="s">
        <v>100</v>
      </c>
      <c r="AB3" s="40" t="s">
        <v>142</v>
      </c>
    </row>
    <row r="4" customFormat="false" ht="15" hidden="false" customHeight="false" outlineLevel="0" collapsed="false">
      <c r="A4" s="32" t="s">
        <v>278</v>
      </c>
      <c r="B4" s="33" t="n">
        <v>46037</v>
      </c>
      <c r="C4" s="32" t="s">
        <v>254</v>
      </c>
      <c r="D4" s="37" t="str">
        <f aca="false">IF($C4="","",IFERROR(INDEX(PR!$D$4:$D$203,MATCH($C4,PR!$A$4:$A$203,0)),""))</f>
        <v>DA-2026-01</v>
      </c>
      <c r="E4" s="37" t="str">
        <f aca="false">IF($C4="","",IFERROR(INDEX(PR!$E$4:$E$203,MATCH($C4,PR!$A$4:$A$203,0)),""))</f>
        <v>Nhà máy Bao bì Tân Uyên – Giai đoạn 2</v>
      </c>
      <c r="F4" s="37" t="str">
        <f aca="false">IF($C4="","",IFERROR(INDEX(PR!$G$4:$G$203,MATCH($C4,PR!$A$4:$A$203,0)),""))</f>
        <v>Thép tấm SS400 dày 10mm (1500x6000)</v>
      </c>
      <c r="G4" s="37" t="str">
        <f aca="false">IF($C4="","",IFERROR(INDEX(PR!$F$4:$F$203,MATCH($C4,PR!$A$4:$A$203,0)),""))</f>
        <v>Phòng Dự án – Trần Văn Nam</v>
      </c>
      <c r="H4" s="32" t="s">
        <v>166</v>
      </c>
      <c r="I4" s="37" t="str">
        <f aca="false">IF($H4="","",IFERROR(INDEX('Nhà cung cấp'!$B$4:$B$203,MATCH($H4,'Nhà cung cấp'!$A$4:$A$203,0)),""))</f>
        <v>Công ty TNHH Thép Việt An</v>
      </c>
      <c r="J4" s="34" t="n">
        <v>200</v>
      </c>
      <c r="K4" s="34" t="n">
        <v>1180000</v>
      </c>
      <c r="L4" s="38" t="n">
        <f aca="false">IF($A4="","",IFERROR($J4*$K4,""))</f>
        <v>236000000</v>
      </c>
      <c r="M4" s="38" t="n">
        <f aca="false">IF($C4="","",IFERROR(INDEX(PR!$L$4:$L$203,MATCH($C4,PR!$A$4:$A$203,0)),""))</f>
        <v>250000000</v>
      </c>
      <c r="N4" s="38" t="n">
        <f aca="false">IF($A4="","",IFERROR($M4-$L4,""))</f>
        <v>14000000</v>
      </c>
      <c r="O4" s="32" t="s">
        <v>279</v>
      </c>
      <c r="P4" s="33" t="n">
        <v>46036</v>
      </c>
      <c r="Q4" s="33" t="n">
        <v>46068</v>
      </c>
      <c r="R4" s="33" t="n">
        <v>46071</v>
      </c>
      <c r="S4" s="37" t="str">
        <f aca="true">IF($A4="","",IF($Q4="","",IF($R4="",IF(TODAY()&gt;$Q4,"Trễ hạn","Chưa đến hạn"),IF($R4&lt;=$Q4,"Đúng hạn","Giao trễ"))))</f>
        <v>Giao trễ</v>
      </c>
      <c r="T4" s="38" t="n">
        <f aca="true">IF($A4="","",IF($Q4="",0,IF($R4="",IF(TODAY()&gt;$Q4,TODAY()-$Q4,0),MAX(0,$R4-$Q4))))</f>
        <v>3</v>
      </c>
      <c r="U4" s="34" t="n">
        <v>200</v>
      </c>
      <c r="V4" s="34" t="n">
        <v>3</v>
      </c>
      <c r="W4" s="39" t="n">
        <f aca="false">IF($A4="","",IFERROR($V4/$U4,""))</f>
        <v>0.015</v>
      </c>
      <c r="X4" s="34" t="n">
        <v>3</v>
      </c>
      <c r="Y4" s="37" t="str">
        <f aca="false">IF($A4="","",IF($U4="","",IF($W4&lt;='Tổng quan'!$C$8,"Đạt","Không đạt")))</f>
        <v>Đạt</v>
      </c>
      <c r="Z4" s="38" t="n">
        <f aca="false">IF($H4="","",IFERROR(INDEX('Nhà cung cấp'!$G$4:$G$203,MATCH($H4,'Nhà cung cấp'!$A$4:$A$203,0)),""))</f>
        <v>30</v>
      </c>
      <c r="AA4" s="41" t="n">
        <f aca="false">IF($A4="","",IFERROR($R4+$Z4,""))</f>
        <v>46101</v>
      </c>
      <c r="AB4" s="35" t="s">
        <v>148</v>
      </c>
    </row>
    <row r="5" customFormat="false" ht="15" hidden="false" customHeight="false" outlineLevel="0" collapsed="false">
      <c r="A5" s="32"/>
      <c r="B5" s="33"/>
      <c r="C5" s="32"/>
      <c r="D5" s="37" t="str">
        <f aca="false">IF($C5="","",IFERROR(INDEX(PR!$D$4:$D$203,MATCH($C5,PR!$A$4:$A$203,0)),""))</f>
        <v/>
      </c>
      <c r="E5" s="37" t="str">
        <f aca="false">IF($C5="","",IFERROR(INDEX(PR!$E$4:$E$203,MATCH($C5,PR!$A$4:$A$203,0)),""))</f>
        <v/>
      </c>
      <c r="F5" s="37" t="str">
        <f aca="false">IF($C5="","",IFERROR(INDEX(PR!$G$4:$G$203,MATCH($C5,PR!$A$4:$A$203,0)),""))</f>
        <v/>
      </c>
      <c r="G5" s="37" t="str">
        <f aca="false">IF($C5="","",IFERROR(INDEX(PR!$F$4:$F$203,MATCH($C5,PR!$A$4:$A$203,0)),""))</f>
        <v/>
      </c>
      <c r="H5" s="32"/>
      <c r="I5" s="37" t="str">
        <f aca="false">IF($H5="","",IFERROR(INDEX('Nhà cung cấp'!$B$4:$B$203,MATCH($H5,'Nhà cung cấp'!$A$4:$A$203,0)),""))</f>
        <v/>
      </c>
      <c r="J5" s="34"/>
      <c r="K5" s="34"/>
      <c r="L5" s="38" t="str">
        <f aca="false">IF($A5="","",IFERROR($J5*$K5,""))</f>
        <v/>
      </c>
      <c r="M5" s="38" t="str">
        <f aca="false">IF($C5="","",IFERROR(INDEX(PR!$L$4:$L$203,MATCH($C5,PR!$A$4:$A$203,0)),""))</f>
        <v/>
      </c>
      <c r="N5" s="38" t="str">
        <f aca="false">IF($A5="","",IFERROR($M5-$L5,""))</f>
        <v/>
      </c>
      <c r="O5" s="32"/>
      <c r="P5" s="33"/>
      <c r="Q5" s="33"/>
      <c r="R5" s="33"/>
      <c r="S5" s="37" t="str">
        <f aca="true">IF($A5="","",IF($Q5="","",IF($R5="",IF(TODAY()&gt;$Q5,"Trễ hạn","Chưa đến hạn"),IF($R5&lt;=$Q5,"Đúng hạn","Giao trễ"))))</f>
        <v/>
      </c>
      <c r="T5" s="38" t="str">
        <f aca="true">IF($A5="","",IF($Q5="",0,IF($R5="",IF(TODAY()&gt;$Q5,TODAY()-$Q5,0),MAX(0,$R5-$Q5))))</f>
        <v/>
      </c>
      <c r="U5" s="34"/>
      <c r="V5" s="34"/>
      <c r="W5" s="39" t="str">
        <f aca="false">IF($A5="","",IFERROR($V5/$U5,""))</f>
        <v/>
      </c>
      <c r="X5" s="34"/>
      <c r="Y5" s="37" t="str">
        <f aca="false">IF($A5="","",IF($U5="","",IF($W5&lt;='Tổng quan'!$C$8,"Đạt","Không đạt")))</f>
        <v/>
      </c>
      <c r="Z5" s="38" t="str">
        <f aca="false">IF($H5="","",IFERROR(INDEX('Nhà cung cấp'!$G$4:$G$203,MATCH($H5,'Nhà cung cấp'!$A$4:$A$203,0)),""))</f>
        <v/>
      </c>
      <c r="AA5" s="41" t="str">
        <f aca="false">IF($A5="","",IFERROR($R5+$Z5,""))</f>
        <v/>
      </c>
      <c r="AB5" s="32"/>
    </row>
    <row r="6" customFormat="false" ht="15" hidden="false" customHeight="false" outlineLevel="0" collapsed="false">
      <c r="A6" s="32"/>
      <c r="B6" s="33"/>
      <c r="C6" s="32"/>
      <c r="D6" s="37" t="str">
        <f aca="false">IF($C6="","",IFERROR(INDEX(PR!$D$4:$D$203,MATCH($C6,PR!$A$4:$A$203,0)),""))</f>
        <v/>
      </c>
      <c r="E6" s="37" t="str">
        <f aca="false">IF($C6="","",IFERROR(INDEX(PR!$E$4:$E$203,MATCH($C6,PR!$A$4:$A$203,0)),""))</f>
        <v/>
      </c>
      <c r="F6" s="37" t="str">
        <f aca="false">IF($C6="","",IFERROR(INDEX(PR!$G$4:$G$203,MATCH($C6,PR!$A$4:$A$203,0)),""))</f>
        <v/>
      </c>
      <c r="G6" s="37" t="str">
        <f aca="false">IF($C6="","",IFERROR(INDEX(PR!$F$4:$F$203,MATCH($C6,PR!$A$4:$A$203,0)),""))</f>
        <v/>
      </c>
      <c r="H6" s="32"/>
      <c r="I6" s="37" t="str">
        <f aca="false">IF($H6="","",IFERROR(INDEX('Nhà cung cấp'!$B$4:$B$203,MATCH($H6,'Nhà cung cấp'!$A$4:$A$203,0)),""))</f>
        <v/>
      </c>
      <c r="J6" s="34"/>
      <c r="K6" s="34"/>
      <c r="L6" s="38" t="str">
        <f aca="false">IF($A6="","",IFERROR($J6*$K6,""))</f>
        <v/>
      </c>
      <c r="M6" s="38" t="str">
        <f aca="false">IF($C6="","",IFERROR(INDEX(PR!$L$4:$L$203,MATCH($C6,PR!$A$4:$A$203,0)),""))</f>
        <v/>
      </c>
      <c r="N6" s="38" t="str">
        <f aca="false">IF($A6="","",IFERROR($M6-$L6,""))</f>
        <v/>
      </c>
      <c r="O6" s="32"/>
      <c r="P6" s="33"/>
      <c r="Q6" s="33"/>
      <c r="R6" s="33"/>
      <c r="S6" s="37" t="str">
        <f aca="true">IF($A6="","",IF($Q6="","",IF($R6="",IF(TODAY()&gt;$Q6,"Trễ hạn","Chưa đến hạn"),IF($R6&lt;=$Q6,"Đúng hạn","Giao trễ"))))</f>
        <v/>
      </c>
      <c r="T6" s="38" t="str">
        <f aca="true">IF($A6="","",IF($Q6="",0,IF($R6="",IF(TODAY()&gt;$Q6,TODAY()-$Q6,0),MAX(0,$R6-$Q6))))</f>
        <v/>
      </c>
      <c r="U6" s="34"/>
      <c r="V6" s="34"/>
      <c r="W6" s="39" t="str">
        <f aca="false">IF($A6="","",IFERROR($V6/$U6,""))</f>
        <v/>
      </c>
      <c r="X6" s="34"/>
      <c r="Y6" s="37" t="str">
        <f aca="false">IF($A6="","",IF($U6="","",IF($W6&lt;='Tổng quan'!$C$8,"Đạt","Không đạt")))</f>
        <v/>
      </c>
      <c r="Z6" s="38" t="str">
        <f aca="false">IF($H6="","",IFERROR(INDEX('Nhà cung cấp'!$G$4:$G$203,MATCH($H6,'Nhà cung cấp'!$A$4:$A$203,0)),""))</f>
        <v/>
      </c>
      <c r="AA6" s="41" t="str">
        <f aca="false">IF($A6="","",IFERROR($R6+$Z6,""))</f>
        <v/>
      </c>
      <c r="AB6" s="32"/>
    </row>
    <row r="7" customFormat="false" ht="15" hidden="false" customHeight="false" outlineLevel="0" collapsed="false">
      <c r="A7" s="32"/>
      <c r="B7" s="33"/>
      <c r="C7" s="32"/>
      <c r="D7" s="37" t="str">
        <f aca="false">IF($C7="","",IFERROR(INDEX(PR!$D$4:$D$203,MATCH($C7,PR!$A$4:$A$203,0)),""))</f>
        <v/>
      </c>
      <c r="E7" s="37" t="str">
        <f aca="false">IF($C7="","",IFERROR(INDEX(PR!$E$4:$E$203,MATCH($C7,PR!$A$4:$A$203,0)),""))</f>
        <v/>
      </c>
      <c r="F7" s="37" t="str">
        <f aca="false">IF($C7="","",IFERROR(INDEX(PR!$G$4:$G$203,MATCH($C7,PR!$A$4:$A$203,0)),""))</f>
        <v/>
      </c>
      <c r="G7" s="37" t="str">
        <f aca="false">IF($C7="","",IFERROR(INDEX(PR!$F$4:$F$203,MATCH($C7,PR!$A$4:$A$203,0)),""))</f>
        <v/>
      </c>
      <c r="H7" s="32"/>
      <c r="I7" s="37" t="str">
        <f aca="false">IF($H7="","",IFERROR(INDEX('Nhà cung cấp'!$B$4:$B$203,MATCH($H7,'Nhà cung cấp'!$A$4:$A$203,0)),""))</f>
        <v/>
      </c>
      <c r="J7" s="34"/>
      <c r="K7" s="34"/>
      <c r="L7" s="38" t="str">
        <f aca="false">IF($A7="","",IFERROR($J7*$K7,""))</f>
        <v/>
      </c>
      <c r="M7" s="38" t="str">
        <f aca="false">IF($C7="","",IFERROR(INDEX(PR!$L$4:$L$203,MATCH($C7,PR!$A$4:$A$203,0)),""))</f>
        <v/>
      </c>
      <c r="N7" s="38" t="str">
        <f aca="false">IF($A7="","",IFERROR($M7-$L7,""))</f>
        <v/>
      </c>
      <c r="O7" s="32"/>
      <c r="P7" s="33"/>
      <c r="Q7" s="33"/>
      <c r="R7" s="33"/>
      <c r="S7" s="37" t="str">
        <f aca="true">IF($A7="","",IF($Q7="","",IF($R7="",IF(TODAY()&gt;$Q7,"Trễ hạn","Chưa đến hạn"),IF($R7&lt;=$Q7,"Đúng hạn","Giao trễ"))))</f>
        <v/>
      </c>
      <c r="T7" s="38" t="str">
        <f aca="true">IF($A7="","",IF($Q7="",0,IF($R7="",IF(TODAY()&gt;$Q7,TODAY()-$Q7,0),MAX(0,$R7-$Q7))))</f>
        <v/>
      </c>
      <c r="U7" s="34"/>
      <c r="V7" s="34"/>
      <c r="W7" s="39" t="str">
        <f aca="false">IF($A7="","",IFERROR($V7/$U7,""))</f>
        <v/>
      </c>
      <c r="X7" s="34"/>
      <c r="Y7" s="37" t="str">
        <f aca="false">IF($A7="","",IF($U7="","",IF($W7&lt;='Tổng quan'!$C$8,"Đạt","Không đạt")))</f>
        <v/>
      </c>
      <c r="Z7" s="38" t="str">
        <f aca="false">IF($H7="","",IFERROR(INDEX('Nhà cung cấp'!$G$4:$G$203,MATCH($H7,'Nhà cung cấp'!$A$4:$A$203,0)),""))</f>
        <v/>
      </c>
      <c r="AA7" s="41" t="str">
        <f aca="false">IF($A7="","",IFERROR($R7+$Z7,""))</f>
        <v/>
      </c>
      <c r="AB7" s="32"/>
    </row>
    <row r="8" customFormat="false" ht="15" hidden="false" customHeight="false" outlineLevel="0" collapsed="false">
      <c r="A8" s="32"/>
      <c r="B8" s="33"/>
      <c r="C8" s="32"/>
      <c r="D8" s="37" t="str">
        <f aca="false">IF($C8="","",IFERROR(INDEX(PR!$D$4:$D$203,MATCH($C8,PR!$A$4:$A$203,0)),""))</f>
        <v/>
      </c>
      <c r="E8" s="37" t="str">
        <f aca="false">IF($C8="","",IFERROR(INDEX(PR!$E$4:$E$203,MATCH($C8,PR!$A$4:$A$203,0)),""))</f>
        <v/>
      </c>
      <c r="F8" s="37" t="str">
        <f aca="false">IF($C8="","",IFERROR(INDEX(PR!$G$4:$G$203,MATCH($C8,PR!$A$4:$A$203,0)),""))</f>
        <v/>
      </c>
      <c r="G8" s="37" t="str">
        <f aca="false">IF($C8="","",IFERROR(INDEX(PR!$F$4:$F$203,MATCH($C8,PR!$A$4:$A$203,0)),""))</f>
        <v/>
      </c>
      <c r="H8" s="32"/>
      <c r="I8" s="37" t="str">
        <f aca="false">IF($H8="","",IFERROR(INDEX('Nhà cung cấp'!$B$4:$B$203,MATCH($H8,'Nhà cung cấp'!$A$4:$A$203,0)),""))</f>
        <v/>
      </c>
      <c r="J8" s="34"/>
      <c r="K8" s="34"/>
      <c r="L8" s="38" t="str">
        <f aca="false">IF($A8="","",IFERROR($J8*$K8,""))</f>
        <v/>
      </c>
      <c r="M8" s="38" t="str">
        <f aca="false">IF($C8="","",IFERROR(INDEX(PR!$L$4:$L$203,MATCH($C8,PR!$A$4:$A$203,0)),""))</f>
        <v/>
      </c>
      <c r="N8" s="38" t="str">
        <f aca="false">IF($A8="","",IFERROR($M8-$L8,""))</f>
        <v/>
      </c>
      <c r="O8" s="32"/>
      <c r="P8" s="33"/>
      <c r="Q8" s="33"/>
      <c r="R8" s="33"/>
      <c r="S8" s="37" t="str">
        <f aca="true">IF($A8="","",IF($Q8="","",IF($R8="",IF(TODAY()&gt;$Q8,"Trễ hạn","Chưa đến hạn"),IF($R8&lt;=$Q8,"Đúng hạn","Giao trễ"))))</f>
        <v/>
      </c>
      <c r="T8" s="38" t="str">
        <f aca="true">IF($A8="","",IF($Q8="",0,IF($R8="",IF(TODAY()&gt;$Q8,TODAY()-$Q8,0),MAX(0,$R8-$Q8))))</f>
        <v/>
      </c>
      <c r="U8" s="34"/>
      <c r="V8" s="34"/>
      <c r="W8" s="39" t="str">
        <f aca="false">IF($A8="","",IFERROR($V8/$U8,""))</f>
        <v/>
      </c>
      <c r="X8" s="34"/>
      <c r="Y8" s="37" t="str">
        <f aca="false">IF($A8="","",IF($U8="","",IF($W8&lt;='Tổng quan'!$C$8,"Đạt","Không đạt")))</f>
        <v/>
      </c>
      <c r="Z8" s="38" t="str">
        <f aca="false">IF($H8="","",IFERROR(INDEX('Nhà cung cấp'!$G$4:$G$203,MATCH($H8,'Nhà cung cấp'!$A$4:$A$203,0)),""))</f>
        <v/>
      </c>
      <c r="AA8" s="41" t="str">
        <f aca="false">IF($A8="","",IFERROR($R8+$Z8,""))</f>
        <v/>
      </c>
      <c r="AB8" s="32"/>
    </row>
    <row r="9" customFormat="false" ht="15" hidden="false" customHeight="false" outlineLevel="0" collapsed="false">
      <c r="A9" s="32"/>
      <c r="B9" s="33"/>
      <c r="C9" s="32"/>
      <c r="D9" s="37" t="str">
        <f aca="false">IF($C9="","",IFERROR(INDEX(PR!$D$4:$D$203,MATCH($C9,PR!$A$4:$A$203,0)),""))</f>
        <v/>
      </c>
      <c r="E9" s="37" t="str">
        <f aca="false">IF($C9="","",IFERROR(INDEX(PR!$E$4:$E$203,MATCH($C9,PR!$A$4:$A$203,0)),""))</f>
        <v/>
      </c>
      <c r="F9" s="37" t="str">
        <f aca="false">IF($C9="","",IFERROR(INDEX(PR!$G$4:$G$203,MATCH($C9,PR!$A$4:$A$203,0)),""))</f>
        <v/>
      </c>
      <c r="G9" s="37" t="str">
        <f aca="false">IF($C9="","",IFERROR(INDEX(PR!$F$4:$F$203,MATCH($C9,PR!$A$4:$A$203,0)),""))</f>
        <v/>
      </c>
      <c r="H9" s="32"/>
      <c r="I9" s="37" t="str">
        <f aca="false">IF($H9="","",IFERROR(INDEX('Nhà cung cấp'!$B$4:$B$203,MATCH($H9,'Nhà cung cấp'!$A$4:$A$203,0)),""))</f>
        <v/>
      </c>
      <c r="J9" s="34"/>
      <c r="K9" s="34"/>
      <c r="L9" s="38" t="str">
        <f aca="false">IF($A9="","",IFERROR($J9*$K9,""))</f>
        <v/>
      </c>
      <c r="M9" s="38" t="str">
        <f aca="false">IF($C9="","",IFERROR(INDEX(PR!$L$4:$L$203,MATCH($C9,PR!$A$4:$A$203,0)),""))</f>
        <v/>
      </c>
      <c r="N9" s="38" t="str">
        <f aca="false">IF($A9="","",IFERROR($M9-$L9,""))</f>
        <v/>
      </c>
      <c r="O9" s="32"/>
      <c r="P9" s="33"/>
      <c r="Q9" s="33"/>
      <c r="R9" s="33"/>
      <c r="S9" s="37" t="str">
        <f aca="true">IF($A9="","",IF($Q9="","",IF($R9="",IF(TODAY()&gt;$Q9,"Trễ hạn","Chưa đến hạn"),IF($R9&lt;=$Q9,"Đúng hạn","Giao trễ"))))</f>
        <v/>
      </c>
      <c r="T9" s="38" t="str">
        <f aca="true">IF($A9="","",IF($Q9="",0,IF($R9="",IF(TODAY()&gt;$Q9,TODAY()-$Q9,0),MAX(0,$R9-$Q9))))</f>
        <v/>
      </c>
      <c r="U9" s="34"/>
      <c r="V9" s="34"/>
      <c r="W9" s="39" t="str">
        <f aca="false">IF($A9="","",IFERROR($V9/$U9,""))</f>
        <v/>
      </c>
      <c r="X9" s="34"/>
      <c r="Y9" s="37" t="str">
        <f aca="false">IF($A9="","",IF($U9="","",IF($W9&lt;='Tổng quan'!$C$8,"Đạt","Không đạt")))</f>
        <v/>
      </c>
      <c r="Z9" s="38" t="str">
        <f aca="false">IF($H9="","",IFERROR(INDEX('Nhà cung cấp'!$G$4:$G$203,MATCH($H9,'Nhà cung cấp'!$A$4:$A$203,0)),""))</f>
        <v/>
      </c>
      <c r="AA9" s="41" t="str">
        <f aca="false">IF($A9="","",IFERROR($R9+$Z9,""))</f>
        <v/>
      </c>
      <c r="AB9" s="32"/>
    </row>
    <row r="10" customFormat="false" ht="15" hidden="false" customHeight="false" outlineLevel="0" collapsed="false">
      <c r="A10" s="32"/>
      <c r="B10" s="33"/>
      <c r="C10" s="32"/>
      <c r="D10" s="37" t="str">
        <f aca="false">IF($C10="","",IFERROR(INDEX(PR!$D$4:$D$203,MATCH($C10,PR!$A$4:$A$203,0)),""))</f>
        <v/>
      </c>
      <c r="E10" s="37" t="str">
        <f aca="false">IF($C10="","",IFERROR(INDEX(PR!$E$4:$E$203,MATCH($C10,PR!$A$4:$A$203,0)),""))</f>
        <v/>
      </c>
      <c r="F10" s="37" t="str">
        <f aca="false">IF($C10="","",IFERROR(INDEX(PR!$G$4:$G$203,MATCH($C10,PR!$A$4:$A$203,0)),""))</f>
        <v/>
      </c>
      <c r="G10" s="37" t="str">
        <f aca="false">IF($C10="","",IFERROR(INDEX(PR!$F$4:$F$203,MATCH($C10,PR!$A$4:$A$203,0)),""))</f>
        <v/>
      </c>
      <c r="H10" s="32"/>
      <c r="I10" s="37" t="str">
        <f aca="false">IF($H10="","",IFERROR(INDEX('Nhà cung cấp'!$B$4:$B$203,MATCH($H10,'Nhà cung cấp'!$A$4:$A$203,0)),""))</f>
        <v/>
      </c>
      <c r="J10" s="34"/>
      <c r="K10" s="34"/>
      <c r="L10" s="38" t="str">
        <f aca="false">IF($A10="","",IFERROR($J10*$K10,""))</f>
        <v/>
      </c>
      <c r="M10" s="38" t="str">
        <f aca="false">IF($C10="","",IFERROR(INDEX(PR!$L$4:$L$203,MATCH($C10,PR!$A$4:$A$203,0)),""))</f>
        <v/>
      </c>
      <c r="N10" s="38" t="str">
        <f aca="false">IF($A10="","",IFERROR($M10-$L10,""))</f>
        <v/>
      </c>
      <c r="O10" s="32"/>
      <c r="P10" s="33"/>
      <c r="Q10" s="33"/>
      <c r="R10" s="33"/>
      <c r="S10" s="37" t="str">
        <f aca="true">IF($A10="","",IF($Q10="","",IF($R10="",IF(TODAY()&gt;$Q10,"Trễ hạn","Chưa đến hạn"),IF($R10&lt;=$Q10,"Đúng hạn","Giao trễ"))))</f>
        <v/>
      </c>
      <c r="T10" s="38" t="str">
        <f aca="true">IF($A10="","",IF($Q10="",0,IF($R10="",IF(TODAY()&gt;$Q10,TODAY()-$Q10,0),MAX(0,$R10-$Q10))))</f>
        <v/>
      </c>
      <c r="U10" s="34"/>
      <c r="V10" s="34"/>
      <c r="W10" s="39" t="str">
        <f aca="false">IF($A10="","",IFERROR($V10/$U10,""))</f>
        <v/>
      </c>
      <c r="X10" s="34"/>
      <c r="Y10" s="37" t="str">
        <f aca="false">IF($A10="","",IF($U10="","",IF($W10&lt;='Tổng quan'!$C$8,"Đạt","Không đạt")))</f>
        <v/>
      </c>
      <c r="Z10" s="38" t="str">
        <f aca="false">IF($H10="","",IFERROR(INDEX('Nhà cung cấp'!$G$4:$G$203,MATCH($H10,'Nhà cung cấp'!$A$4:$A$203,0)),""))</f>
        <v/>
      </c>
      <c r="AA10" s="41" t="str">
        <f aca="false">IF($A10="","",IFERROR($R10+$Z10,""))</f>
        <v/>
      </c>
      <c r="AB10" s="32"/>
    </row>
    <row r="11" customFormat="false" ht="15" hidden="false" customHeight="false" outlineLevel="0" collapsed="false">
      <c r="A11" s="32"/>
      <c r="B11" s="33"/>
      <c r="C11" s="32"/>
      <c r="D11" s="37" t="str">
        <f aca="false">IF($C11="","",IFERROR(INDEX(PR!$D$4:$D$203,MATCH($C11,PR!$A$4:$A$203,0)),""))</f>
        <v/>
      </c>
      <c r="E11" s="37" t="str">
        <f aca="false">IF($C11="","",IFERROR(INDEX(PR!$E$4:$E$203,MATCH($C11,PR!$A$4:$A$203,0)),""))</f>
        <v/>
      </c>
      <c r="F11" s="37" t="str">
        <f aca="false">IF($C11="","",IFERROR(INDEX(PR!$G$4:$G$203,MATCH($C11,PR!$A$4:$A$203,0)),""))</f>
        <v/>
      </c>
      <c r="G11" s="37" t="str">
        <f aca="false">IF($C11="","",IFERROR(INDEX(PR!$F$4:$F$203,MATCH($C11,PR!$A$4:$A$203,0)),""))</f>
        <v/>
      </c>
      <c r="H11" s="32"/>
      <c r="I11" s="37" t="str">
        <f aca="false">IF($H11="","",IFERROR(INDEX('Nhà cung cấp'!$B$4:$B$203,MATCH($H11,'Nhà cung cấp'!$A$4:$A$203,0)),""))</f>
        <v/>
      </c>
      <c r="J11" s="34"/>
      <c r="K11" s="34"/>
      <c r="L11" s="38" t="str">
        <f aca="false">IF($A11="","",IFERROR($J11*$K11,""))</f>
        <v/>
      </c>
      <c r="M11" s="38" t="str">
        <f aca="false">IF($C11="","",IFERROR(INDEX(PR!$L$4:$L$203,MATCH($C11,PR!$A$4:$A$203,0)),""))</f>
        <v/>
      </c>
      <c r="N11" s="38" t="str">
        <f aca="false">IF($A11="","",IFERROR($M11-$L11,""))</f>
        <v/>
      </c>
      <c r="O11" s="32"/>
      <c r="P11" s="33"/>
      <c r="Q11" s="33"/>
      <c r="R11" s="33"/>
      <c r="S11" s="37" t="str">
        <f aca="true">IF($A11="","",IF($Q11="","",IF($R11="",IF(TODAY()&gt;$Q11,"Trễ hạn","Chưa đến hạn"),IF($R11&lt;=$Q11,"Đúng hạn","Giao trễ"))))</f>
        <v/>
      </c>
      <c r="T11" s="38" t="str">
        <f aca="true">IF($A11="","",IF($Q11="",0,IF($R11="",IF(TODAY()&gt;$Q11,TODAY()-$Q11,0),MAX(0,$R11-$Q11))))</f>
        <v/>
      </c>
      <c r="U11" s="34"/>
      <c r="V11" s="34"/>
      <c r="W11" s="39" t="str">
        <f aca="false">IF($A11="","",IFERROR($V11/$U11,""))</f>
        <v/>
      </c>
      <c r="X11" s="34"/>
      <c r="Y11" s="37" t="str">
        <f aca="false">IF($A11="","",IF($U11="","",IF($W11&lt;='Tổng quan'!$C$8,"Đạt","Không đạt")))</f>
        <v/>
      </c>
      <c r="Z11" s="38" t="str">
        <f aca="false">IF($H11="","",IFERROR(INDEX('Nhà cung cấp'!$G$4:$G$203,MATCH($H11,'Nhà cung cấp'!$A$4:$A$203,0)),""))</f>
        <v/>
      </c>
      <c r="AA11" s="41" t="str">
        <f aca="false">IF($A11="","",IFERROR($R11+$Z11,""))</f>
        <v/>
      </c>
      <c r="AB11" s="32"/>
    </row>
    <row r="12" customFormat="false" ht="15" hidden="false" customHeight="false" outlineLevel="0" collapsed="false">
      <c r="A12" s="32"/>
      <c r="B12" s="33"/>
      <c r="C12" s="32"/>
      <c r="D12" s="37" t="str">
        <f aca="false">IF($C12="","",IFERROR(INDEX(PR!$D$4:$D$203,MATCH($C12,PR!$A$4:$A$203,0)),""))</f>
        <v/>
      </c>
      <c r="E12" s="37" t="str">
        <f aca="false">IF($C12="","",IFERROR(INDEX(PR!$E$4:$E$203,MATCH($C12,PR!$A$4:$A$203,0)),""))</f>
        <v/>
      </c>
      <c r="F12" s="37" t="str">
        <f aca="false">IF($C12="","",IFERROR(INDEX(PR!$G$4:$G$203,MATCH($C12,PR!$A$4:$A$203,0)),""))</f>
        <v/>
      </c>
      <c r="G12" s="37" t="str">
        <f aca="false">IF($C12="","",IFERROR(INDEX(PR!$F$4:$F$203,MATCH($C12,PR!$A$4:$A$203,0)),""))</f>
        <v/>
      </c>
      <c r="H12" s="32"/>
      <c r="I12" s="37" t="str">
        <f aca="false">IF($H12="","",IFERROR(INDEX('Nhà cung cấp'!$B$4:$B$203,MATCH($H12,'Nhà cung cấp'!$A$4:$A$203,0)),""))</f>
        <v/>
      </c>
      <c r="J12" s="34"/>
      <c r="K12" s="34"/>
      <c r="L12" s="38" t="str">
        <f aca="false">IF($A12="","",IFERROR($J12*$K12,""))</f>
        <v/>
      </c>
      <c r="M12" s="38" t="str">
        <f aca="false">IF($C12="","",IFERROR(INDEX(PR!$L$4:$L$203,MATCH($C12,PR!$A$4:$A$203,0)),""))</f>
        <v/>
      </c>
      <c r="N12" s="38" t="str">
        <f aca="false">IF($A12="","",IFERROR($M12-$L12,""))</f>
        <v/>
      </c>
      <c r="O12" s="32"/>
      <c r="P12" s="33"/>
      <c r="Q12" s="33"/>
      <c r="R12" s="33"/>
      <c r="S12" s="37" t="str">
        <f aca="true">IF($A12="","",IF($Q12="","",IF($R12="",IF(TODAY()&gt;$Q12,"Trễ hạn","Chưa đến hạn"),IF($R12&lt;=$Q12,"Đúng hạn","Giao trễ"))))</f>
        <v/>
      </c>
      <c r="T12" s="38" t="str">
        <f aca="true">IF($A12="","",IF($Q12="",0,IF($R12="",IF(TODAY()&gt;$Q12,TODAY()-$Q12,0),MAX(0,$R12-$Q12))))</f>
        <v/>
      </c>
      <c r="U12" s="34"/>
      <c r="V12" s="34"/>
      <c r="W12" s="39" t="str">
        <f aca="false">IF($A12="","",IFERROR($V12/$U12,""))</f>
        <v/>
      </c>
      <c r="X12" s="34"/>
      <c r="Y12" s="37" t="str">
        <f aca="false">IF($A12="","",IF($U12="","",IF($W12&lt;='Tổng quan'!$C$8,"Đạt","Không đạt")))</f>
        <v/>
      </c>
      <c r="Z12" s="38" t="str">
        <f aca="false">IF($H12="","",IFERROR(INDEX('Nhà cung cấp'!$G$4:$G$203,MATCH($H12,'Nhà cung cấp'!$A$4:$A$203,0)),""))</f>
        <v/>
      </c>
      <c r="AA12" s="41" t="str">
        <f aca="false">IF($A12="","",IFERROR($R12+$Z12,""))</f>
        <v/>
      </c>
      <c r="AB12" s="32"/>
    </row>
    <row r="13" customFormat="false" ht="15" hidden="false" customHeight="false" outlineLevel="0" collapsed="false">
      <c r="A13" s="32"/>
      <c r="B13" s="33"/>
      <c r="C13" s="32"/>
      <c r="D13" s="37" t="str">
        <f aca="false">IF($C13="","",IFERROR(INDEX(PR!$D$4:$D$203,MATCH($C13,PR!$A$4:$A$203,0)),""))</f>
        <v/>
      </c>
      <c r="E13" s="37" t="str">
        <f aca="false">IF($C13="","",IFERROR(INDEX(PR!$E$4:$E$203,MATCH($C13,PR!$A$4:$A$203,0)),""))</f>
        <v/>
      </c>
      <c r="F13" s="37" t="str">
        <f aca="false">IF($C13="","",IFERROR(INDEX(PR!$G$4:$G$203,MATCH($C13,PR!$A$4:$A$203,0)),""))</f>
        <v/>
      </c>
      <c r="G13" s="37" t="str">
        <f aca="false">IF($C13="","",IFERROR(INDEX(PR!$F$4:$F$203,MATCH($C13,PR!$A$4:$A$203,0)),""))</f>
        <v/>
      </c>
      <c r="H13" s="32"/>
      <c r="I13" s="37" t="str">
        <f aca="false">IF($H13="","",IFERROR(INDEX('Nhà cung cấp'!$B$4:$B$203,MATCH($H13,'Nhà cung cấp'!$A$4:$A$203,0)),""))</f>
        <v/>
      </c>
      <c r="J13" s="34"/>
      <c r="K13" s="34"/>
      <c r="L13" s="38" t="str">
        <f aca="false">IF($A13="","",IFERROR($J13*$K13,""))</f>
        <v/>
      </c>
      <c r="M13" s="38" t="str">
        <f aca="false">IF($C13="","",IFERROR(INDEX(PR!$L$4:$L$203,MATCH($C13,PR!$A$4:$A$203,0)),""))</f>
        <v/>
      </c>
      <c r="N13" s="38" t="str">
        <f aca="false">IF($A13="","",IFERROR($M13-$L13,""))</f>
        <v/>
      </c>
      <c r="O13" s="32"/>
      <c r="P13" s="33"/>
      <c r="Q13" s="33"/>
      <c r="R13" s="33"/>
      <c r="S13" s="37" t="str">
        <f aca="true">IF($A13="","",IF($Q13="","",IF($R13="",IF(TODAY()&gt;$Q13,"Trễ hạn","Chưa đến hạn"),IF($R13&lt;=$Q13,"Đúng hạn","Giao trễ"))))</f>
        <v/>
      </c>
      <c r="T13" s="38" t="str">
        <f aca="true">IF($A13="","",IF($Q13="",0,IF($R13="",IF(TODAY()&gt;$Q13,TODAY()-$Q13,0),MAX(0,$R13-$Q13))))</f>
        <v/>
      </c>
      <c r="U13" s="34"/>
      <c r="V13" s="34"/>
      <c r="W13" s="39" t="str">
        <f aca="false">IF($A13="","",IFERROR($V13/$U13,""))</f>
        <v/>
      </c>
      <c r="X13" s="34"/>
      <c r="Y13" s="37" t="str">
        <f aca="false">IF($A13="","",IF($U13="","",IF($W13&lt;='Tổng quan'!$C$8,"Đạt","Không đạt")))</f>
        <v/>
      </c>
      <c r="Z13" s="38" t="str">
        <f aca="false">IF($H13="","",IFERROR(INDEX('Nhà cung cấp'!$G$4:$G$203,MATCH($H13,'Nhà cung cấp'!$A$4:$A$203,0)),""))</f>
        <v/>
      </c>
      <c r="AA13" s="41" t="str">
        <f aca="false">IF($A13="","",IFERROR($R13+$Z13,""))</f>
        <v/>
      </c>
      <c r="AB13" s="32"/>
    </row>
    <row r="14" customFormat="false" ht="15" hidden="false" customHeight="false" outlineLevel="0" collapsed="false">
      <c r="A14" s="32"/>
      <c r="B14" s="33"/>
      <c r="C14" s="32"/>
      <c r="D14" s="37" t="str">
        <f aca="false">IF($C14="","",IFERROR(INDEX(PR!$D$4:$D$203,MATCH($C14,PR!$A$4:$A$203,0)),""))</f>
        <v/>
      </c>
      <c r="E14" s="37" t="str">
        <f aca="false">IF($C14="","",IFERROR(INDEX(PR!$E$4:$E$203,MATCH($C14,PR!$A$4:$A$203,0)),""))</f>
        <v/>
      </c>
      <c r="F14" s="37" t="str">
        <f aca="false">IF($C14="","",IFERROR(INDEX(PR!$G$4:$G$203,MATCH($C14,PR!$A$4:$A$203,0)),""))</f>
        <v/>
      </c>
      <c r="G14" s="37" t="str">
        <f aca="false">IF($C14="","",IFERROR(INDEX(PR!$F$4:$F$203,MATCH($C14,PR!$A$4:$A$203,0)),""))</f>
        <v/>
      </c>
      <c r="H14" s="32"/>
      <c r="I14" s="37" t="str">
        <f aca="false">IF($H14="","",IFERROR(INDEX('Nhà cung cấp'!$B$4:$B$203,MATCH($H14,'Nhà cung cấp'!$A$4:$A$203,0)),""))</f>
        <v/>
      </c>
      <c r="J14" s="34"/>
      <c r="K14" s="34"/>
      <c r="L14" s="38" t="str">
        <f aca="false">IF($A14="","",IFERROR($J14*$K14,""))</f>
        <v/>
      </c>
      <c r="M14" s="38" t="str">
        <f aca="false">IF($C14="","",IFERROR(INDEX(PR!$L$4:$L$203,MATCH($C14,PR!$A$4:$A$203,0)),""))</f>
        <v/>
      </c>
      <c r="N14" s="38" t="str">
        <f aca="false">IF($A14="","",IFERROR($M14-$L14,""))</f>
        <v/>
      </c>
      <c r="O14" s="32"/>
      <c r="P14" s="33"/>
      <c r="Q14" s="33"/>
      <c r="R14" s="33"/>
      <c r="S14" s="37" t="str">
        <f aca="true">IF($A14="","",IF($Q14="","",IF($R14="",IF(TODAY()&gt;$Q14,"Trễ hạn","Chưa đến hạn"),IF($R14&lt;=$Q14,"Đúng hạn","Giao trễ"))))</f>
        <v/>
      </c>
      <c r="T14" s="38" t="str">
        <f aca="true">IF($A14="","",IF($Q14="",0,IF($R14="",IF(TODAY()&gt;$Q14,TODAY()-$Q14,0),MAX(0,$R14-$Q14))))</f>
        <v/>
      </c>
      <c r="U14" s="34"/>
      <c r="V14" s="34"/>
      <c r="W14" s="39" t="str">
        <f aca="false">IF($A14="","",IFERROR($V14/$U14,""))</f>
        <v/>
      </c>
      <c r="X14" s="34"/>
      <c r="Y14" s="37" t="str">
        <f aca="false">IF($A14="","",IF($U14="","",IF($W14&lt;='Tổng quan'!$C$8,"Đạt","Không đạt")))</f>
        <v/>
      </c>
      <c r="Z14" s="38" t="str">
        <f aca="false">IF($H14="","",IFERROR(INDEX('Nhà cung cấp'!$G$4:$G$203,MATCH($H14,'Nhà cung cấp'!$A$4:$A$203,0)),""))</f>
        <v/>
      </c>
      <c r="AA14" s="41" t="str">
        <f aca="false">IF($A14="","",IFERROR($R14+$Z14,""))</f>
        <v/>
      </c>
      <c r="AB14" s="32"/>
    </row>
    <row r="15" customFormat="false" ht="15" hidden="false" customHeight="false" outlineLevel="0" collapsed="false">
      <c r="A15" s="32"/>
      <c r="B15" s="33"/>
      <c r="C15" s="32"/>
      <c r="D15" s="37" t="str">
        <f aca="false">IF($C15="","",IFERROR(INDEX(PR!$D$4:$D$203,MATCH($C15,PR!$A$4:$A$203,0)),""))</f>
        <v/>
      </c>
      <c r="E15" s="37" t="str">
        <f aca="false">IF($C15="","",IFERROR(INDEX(PR!$E$4:$E$203,MATCH($C15,PR!$A$4:$A$203,0)),""))</f>
        <v/>
      </c>
      <c r="F15" s="37" t="str">
        <f aca="false">IF($C15="","",IFERROR(INDEX(PR!$G$4:$G$203,MATCH($C15,PR!$A$4:$A$203,0)),""))</f>
        <v/>
      </c>
      <c r="G15" s="37" t="str">
        <f aca="false">IF($C15="","",IFERROR(INDEX(PR!$F$4:$F$203,MATCH($C15,PR!$A$4:$A$203,0)),""))</f>
        <v/>
      </c>
      <c r="H15" s="32"/>
      <c r="I15" s="37" t="str">
        <f aca="false">IF($H15="","",IFERROR(INDEX('Nhà cung cấp'!$B$4:$B$203,MATCH($H15,'Nhà cung cấp'!$A$4:$A$203,0)),""))</f>
        <v/>
      </c>
      <c r="J15" s="34"/>
      <c r="K15" s="34"/>
      <c r="L15" s="38" t="str">
        <f aca="false">IF($A15="","",IFERROR($J15*$K15,""))</f>
        <v/>
      </c>
      <c r="M15" s="38" t="str">
        <f aca="false">IF($C15="","",IFERROR(INDEX(PR!$L$4:$L$203,MATCH($C15,PR!$A$4:$A$203,0)),""))</f>
        <v/>
      </c>
      <c r="N15" s="38" t="str">
        <f aca="false">IF($A15="","",IFERROR($M15-$L15,""))</f>
        <v/>
      </c>
      <c r="O15" s="32"/>
      <c r="P15" s="33"/>
      <c r="Q15" s="33"/>
      <c r="R15" s="33"/>
      <c r="S15" s="37" t="str">
        <f aca="true">IF($A15="","",IF($Q15="","",IF($R15="",IF(TODAY()&gt;$Q15,"Trễ hạn","Chưa đến hạn"),IF($R15&lt;=$Q15,"Đúng hạn","Giao trễ"))))</f>
        <v/>
      </c>
      <c r="T15" s="38" t="str">
        <f aca="true">IF($A15="","",IF($Q15="",0,IF($R15="",IF(TODAY()&gt;$Q15,TODAY()-$Q15,0),MAX(0,$R15-$Q15))))</f>
        <v/>
      </c>
      <c r="U15" s="34"/>
      <c r="V15" s="34"/>
      <c r="W15" s="39" t="str">
        <f aca="false">IF($A15="","",IFERROR($V15/$U15,""))</f>
        <v/>
      </c>
      <c r="X15" s="34"/>
      <c r="Y15" s="37" t="str">
        <f aca="false">IF($A15="","",IF($U15="","",IF($W15&lt;='Tổng quan'!$C$8,"Đạt","Không đạt")))</f>
        <v/>
      </c>
      <c r="Z15" s="38" t="str">
        <f aca="false">IF($H15="","",IFERROR(INDEX('Nhà cung cấp'!$G$4:$G$203,MATCH($H15,'Nhà cung cấp'!$A$4:$A$203,0)),""))</f>
        <v/>
      </c>
      <c r="AA15" s="41" t="str">
        <f aca="false">IF($A15="","",IFERROR($R15+$Z15,""))</f>
        <v/>
      </c>
      <c r="AB15" s="32"/>
    </row>
    <row r="16" customFormat="false" ht="15" hidden="false" customHeight="false" outlineLevel="0" collapsed="false">
      <c r="A16" s="32"/>
      <c r="B16" s="33"/>
      <c r="C16" s="32"/>
      <c r="D16" s="37" t="str">
        <f aca="false">IF($C16="","",IFERROR(INDEX(PR!$D$4:$D$203,MATCH($C16,PR!$A$4:$A$203,0)),""))</f>
        <v/>
      </c>
      <c r="E16" s="37" t="str">
        <f aca="false">IF($C16="","",IFERROR(INDEX(PR!$E$4:$E$203,MATCH($C16,PR!$A$4:$A$203,0)),""))</f>
        <v/>
      </c>
      <c r="F16" s="37" t="str">
        <f aca="false">IF($C16="","",IFERROR(INDEX(PR!$G$4:$G$203,MATCH($C16,PR!$A$4:$A$203,0)),""))</f>
        <v/>
      </c>
      <c r="G16" s="37" t="str">
        <f aca="false">IF($C16="","",IFERROR(INDEX(PR!$F$4:$F$203,MATCH($C16,PR!$A$4:$A$203,0)),""))</f>
        <v/>
      </c>
      <c r="H16" s="32"/>
      <c r="I16" s="37" t="str">
        <f aca="false">IF($H16="","",IFERROR(INDEX('Nhà cung cấp'!$B$4:$B$203,MATCH($H16,'Nhà cung cấp'!$A$4:$A$203,0)),""))</f>
        <v/>
      </c>
      <c r="J16" s="34"/>
      <c r="K16" s="34"/>
      <c r="L16" s="38" t="str">
        <f aca="false">IF($A16="","",IFERROR($J16*$K16,""))</f>
        <v/>
      </c>
      <c r="M16" s="38" t="str">
        <f aca="false">IF($C16="","",IFERROR(INDEX(PR!$L$4:$L$203,MATCH($C16,PR!$A$4:$A$203,0)),""))</f>
        <v/>
      </c>
      <c r="N16" s="38" t="str">
        <f aca="false">IF($A16="","",IFERROR($M16-$L16,""))</f>
        <v/>
      </c>
      <c r="O16" s="32"/>
      <c r="P16" s="33"/>
      <c r="Q16" s="33"/>
      <c r="R16" s="33"/>
      <c r="S16" s="37" t="str">
        <f aca="true">IF($A16="","",IF($Q16="","",IF($R16="",IF(TODAY()&gt;$Q16,"Trễ hạn","Chưa đến hạn"),IF($R16&lt;=$Q16,"Đúng hạn","Giao trễ"))))</f>
        <v/>
      </c>
      <c r="T16" s="38" t="str">
        <f aca="true">IF($A16="","",IF($Q16="",0,IF($R16="",IF(TODAY()&gt;$Q16,TODAY()-$Q16,0),MAX(0,$R16-$Q16))))</f>
        <v/>
      </c>
      <c r="U16" s="34"/>
      <c r="V16" s="34"/>
      <c r="W16" s="39" t="str">
        <f aca="false">IF($A16="","",IFERROR($V16/$U16,""))</f>
        <v/>
      </c>
      <c r="X16" s="34"/>
      <c r="Y16" s="37" t="str">
        <f aca="false">IF($A16="","",IF($U16="","",IF($W16&lt;='Tổng quan'!$C$8,"Đạt","Không đạt")))</f>
        <v/>
      </c>
      <c r="Z16" s="38" t="str">
        <f aca="false">IF($H16="","",IFERROR(INDEX('Nhà cung cấp'!$G$4:$G$203,MATCH($H16,'Nhà cung cấp'!$A$4:$A$203,0)),""))</f>
        <v/>
      </c>
      <c r="AA16" s="41" t="str">
        <f aca="false">IF($A16="","",IFERROR($R16+$Z16,""))</f>
        <v/>
      </c>
      <c r="AB16" s="32"/>
    </row>
    <row r="17" customFormat="false" ht="15" hidden="false" customHeight="false" outlineLevel="0" collapsed="false">
      <c r="A17" s="32"/>
      <c r="B17" s="33"/>
      <c r="C17" s="32"/>
      <c r="D17" s="37" t="str">
        <f aca="false">IF($C17="","",IFERROR(INDEX(PR!$D$4:$D$203,MATCH($C17,PR!$A$4:$A$203,0)),""))</f>
        <v/>
      </c>
      <c r="E17" s="37" t="str">
        <f aca="false">IF($C17="","",IFERROR(INDEX(PR!$E$4:$E$203,MATCH($C17,PR!$A$4:$A$203,0)),""))</f>
        <v/>
      </c>
      <c r="F17" s="37" t="str">
        <f aca="false">IF($C17="","",IFERROR(INDEX(PR!$G$4:$G$203,MATCH($C17,PR!$A$4:$A$203,0)),""))</f>
        <v/>
      </c>
      <c r="G17" s="37" t="str">
        <f aca="false">IF($C17="","",IFERROR(INDEX(PR!$F$4:$F$203,MATCH($C17,PR!$A$4:$A$203,0)),""))</f>
        <v/>
      </c>
      <c r="H17" s="32"/>
      <c r="I17" s="37" t="str">
        <f aca="false">IF($H17="","",IFERROR(INDEX('Nhà cung cấp'!$B$4:$B$203,MATCH($H17,'Nhà cung cấp'!$A$4:$A$203,0)),""))</f>
        <v/>
      </c>
      <c r="J17" s="34"/>
      <c r="K17" s="34"/>
      <c r="L17" s="38" t="str">
        <f aca="false">IF($A17="","",IFERROR($J17*$K17,""))</f>
        <v/>
      </c>
      <c r="M17" s="38" t="str">
        <f aca="false">IF($C17="","",IFERROR(INDEX(PR!$L$4:$L$203,MATCH($C17,PR!$A$4:$A$203,0)),""))</f>
        <v/>
      </c>
      <c r="N17" s="38" t="str">
        <f aca="false">IF($A17="","",IFERROR($M17-$L17,""))</f>
        <v/>
      </c>
      <c r="O17" s="32"/>
      <c r="P17" s="33"/>
      <c r="Q17" s="33"/>
      <c r="R17" s="33"/>
      <c r="S17" s="37" t="str">
        <f aca="true">IF($A17="","",IF($Q17="","",IF($R17="",IF(TODAY()&gt;$Q17,"Trễ hạn","Chưa đến hạn"),IF($R17&lt;=$Q17,"Đúng hạn","Giao trễ"))))</f>
        <v/>
      </c>
      <c r="T17" s="38" t="str">
        <f aca="true">IF($A17="","",IF($Q17="",0,IF($R17="",IF(TODAY()&gt;$Q17,TODAY()-$Q17,0),MAX(0,$R17-$Q17))))</f>
        <v/>
      </c>
      <c r="U17" s="34"/>
      <c r="V17" s="34"/>
      <c r="W17" s="39" t="str">
        <f aca="false">IF($A17="","",IFERROR($V17/$U17,""))</f>
        <v/>
      </c>
      <c r="X17" s="34"/>
      <c r="Y17" s="37" t="str">
        <f aca="false">IF($A17="","",IF($U17="","",IF($W17&lt;='Tổng quan'!$C$8,"Đạt","Không đạt")))</f>
        <v/>
      </c>
      <c r="Z17" s="38" t="str">
        <f aca="false">IF($H17="","",IFERROR(INDEX('Nhà cung cấp'!$G$4:$G$203,MATCH($H17,'Nhà cung cấp'!$A$4:$A$203,0)),""))</f>
        <v/>
      </c>
      <c r="AA17" s="41" t="str">
        <f aca="false">IF($A17="","",IFERROR($R17+$Z17,""))</f>
        <v/>
      </c>
      <c r="AB17" s="32"/>
    </row>
    <row r="18" customFormat="false" ht="15" hidden="false" customHeight="false" outlineLevel="0" collapsed="false">
      <c r="A18" s="32"/>
      <c r="B18" s="33"/>
      <c r="C18" s="32"/>
      <c r="D18" s="37" t="str">
        <f aca="false">IF($C18="","",IFERROR(INDEX(PR!$D$4:$D$203,MATCH($C18,PR!$A$4:$A$203,0)),""))</f>
        <v/>
      </c>
      <c r="E18" s="37" t="str">
        <f aca="false">IF($C18="","",IFERROR(INDEX(PR!$E$4:$E$203,MATCH($C18,PR!$A$4:$A$203,0)),""))</f>
        <v/>
      </c>
      <c r="F18" s="37" t="str">
        <f aca="false">IF($C18="","",IFERROR(INDEX(PR!$G$4:$G$203,MATCH($C18,PR!$A$4:$A$203,0)),""))</f>
        <v/>
      </c>
      <c r="G18" s="37" t="str">
        <f aca="false">IF($C18="","",IFERROR(INDEX(PR!$F$4:$F$203,MATCH($C18,PR!$A$4:$A$203,0)),""))</f>
        <v/>
      </c>
      <c r="H18" s="32"/>
      <c r="I18" s="37" t="str">
        <f aca="false">IF($H18="","",IFERROR(INDEX('Nhà cung cấp'!$B$4:$B$203,MATCH($H18,'Nhà cung cấp'!$A$4:$A$203,0)),""))</f>
        <v/>
      </c>
      <c r="J18" s="34"/>
      <c r="K18" s="34"/>
      <c r="L18" s="38" t="str">
        <f aca="false">IF($A18="","",IFERROR($J18*$K18,""))</f>
        <v/>
      </c>
      <c r="M18" s="38" t="str">
        <f aca="false">IF($C18="","",IFERROR(INDEX(PR!$L$4:$L$203,MATCH($C18,PR!$A$4:$A$203,0)),""))</f>
        <v/>
      </c>
      <c r="N18" s="38" t="str">
        <f aca="false">IF($A18="","",IFERROR($M18-$L18,""))</f>
        <v/>
      </c>
      <c r="O18" s="32"/>
      <c r="P18" s="33"/>
      <c r="Q18" s="33"/>
      <c r="R18" s="33"/>
      <c r="S18" s="37" t="str">
        <f aca="true">IF($A18="","",IF($Q18="","",IF($R18="",IF(TODAY()&gt;$Q18,"Trễ hạn","Chưa đến hạn"),IF($R18&lt;=$Q18,"Đúng hạn","Giao trễ"))))</f>
        <v/>
      </c>
      <c r="T18" s="38" t="str">
        <f aca="true">IF($A18="","",IF($Q18="",0,IF($R18="",IF(TODAY()&gt;$Q18,TODAY()-$Q18,0),MAX(0,$R18-$Q18))))</f>
        <v/>
      </c>
      <c r="U18" s="34"/>
      <c r="V18" s="34"/>
      <c r="W18" s="39" t="str">
        <f aca="false">IF($A18="","",IFERROR($V18/$U18,""))</f>
        <v/>
      </c>
      <c r="X18" s="34"/>
      <c r="Y18" s="37" t="str">
        <f aca="false">IF($A18="","",IF($U18="","",IF($W18&lt;='Tổng quan'!$C$8,"Đạt","Không đạt")))</f>
        <v/>
      </c>
      <c r="Z18" s="38" t="str">
        <f aca="false">IF($H18="","",IFERROR(INDEX('Nhà cung cấp'!$G$4:$G$203,MATCH($H18,'Nhà cung cấp'!$A$4:$A$203,0)),""))</f>
        <v/>
      </c>
      <c r="AA18" s="41" t="str">
        <f aca="false">IF($A18="","",IFERROR($R18+$Z18,""))</f>
        <v/>
      </c>
      <c r="AB18" s="32"/>
    </row>
    <row r="19" customFormat="false" ht="15" hidden="false" customHeight="false" outlineLevel="0" collapsed="false">
      <c r="A19" s="32"/>
      <c r="B19" s="33"/>
      <c r="C19" s="32"/>
      <c r="D19" s="37" t="str">
        <f aca="false">IF($C19="","",IFERROR(INDEX(PR!$D$4:$D$203,MATCH($C19,PR!$A$4:$A$203,0)),""))</f>
        <v/>
      </c>
      <c r="E19" s="37" t="str">
        <f aca="false">IF($C19="","",IFERROR(INDEX(PR!$E$4:$E$203,MATCH($C19,PR!$A$4:$A$203,0)),""))</f>
        <v/>
      </c>
      <c r="F19" s="37" t="str">
        <f aca="false">IF($C19="","",IFERROR(INDEX(PR!$G$4:$G$203,MATCH($C19,PR!$A$4:$A$203,0)),""))</f>
        <v/>
      </c>
      <c r="G19" s="37" t="str">
        <f aca="false">IF($C19="","",IFERROR(INDEX(PR!$F$4:$F$203,MATCH($C19,PR!$A$4:$A$203,0)),""))</f>
        <v/>
      </c>
      <c r="H19" s="32"/>
      <c r="I19" s="37" t="str">
        <f aca="false">IF($H19="","",IFERROR(INDEX('Nhà cung cấp'!$B$4:$B$203,MATCH($H19,'Nhà cung cấp'!$A$4:$A$203,0)),""))</f>
        <v/>
      </c>
      <c r="J19" s="34"/>
      <c r="K19" s="34"/>
      <c r="L19" s="38" t="str">
        <f aca="false">IF($A19="","",IFERROR($J19*$K19,""))</f>
        <v/>
      </c>
      <c r="M19" s="38" t="str">
        <f aca="false">IF($C19="","",IFERROR(INDEX(PR!$L$4:$L$203,MATCH($C19,PR!$A$4:$A$203,0)),""))</f>
        <v/>
      </c>
      <c r="N19" s="38" t="str">
        <f aca="false">IF($A19="","",IFERROR($M19-$L19,""))</f>
        <v/>
      </c>
      <c r="O19" s="32"/>
      <c r="P19" s="33"/>
      <c r="Q19" s="33"/>
      <c r="R19" s="33"/>
      <c r="S19" s="37" t="str">
        <f aca="true">IF($A19="","",IF($Q19="","",IF($R19="",IF(TODAY()&gt;$Q19,"Trễ hạn","Chưa đến hạn"),IF($R19&lt;=$Q19,"Đúng hạn","Giao trễ"))))</f>
        <v/>
      </c>
      <c r="T19" s="38" t="str">
        <f aca="true">IF($A19="","",IF($Q19="",0,IF($R19="",IF(TODAY()&gt;$Q19,TODAY()-$Q19,0),MAX(0,$R19-$Q19))))</f>
        <v/>
      </c>
      <c r="U19" s="34"/>
      <c r="V19" s="34"/>
      <c r="W19" s="39" t="str">
        <f aca="false">IF($A19="","",IFERROR($V19/$U19,""))</f>
        <v/>
      </c>
      <c r="X19" s="34"/>
      <c r="Y19" s="37" t="str">
        <f aca="false">IF($A19="","",IF($U19="","",IF($W19&lt;='Tổng quan'!$C$8,"Đạt","Không đạt")))</f>
        <v/>
      </c>
      <c r="Z19" s="38" t="str">
        <f aca="false">IF($H19="","",IFERROR(INDEX('Nhà cung cấp'!$G$4:$G$203,MATCH($H19,'Nhà cung cấp'!$A$4:$A$203,0)),""))</f>
        <v/>
      </c>
      <c r="AA19" s="41" t="str">
        <f aca="false">IF($A19="","",IFERROR($R19+$Z19,""))</f>
        <v/>
      </c>
      <c r="AB19" s="32"/>
    </row>
    <row r="20" customFormat="false" ht="15" hidden="false" customHeight="false" outlineLevel="0" collapsed="false">
      <c r="A20" s="32"/>
      <c r="B20" s="33"/>
      <c r="C20" s="32"/>
      <c r="D20" s="37" t="str">
        <f aca="false">IF($C20="","",IFERROR(INDEX(PR!$D$4:$D$203,MATCH($C20,PR!$A$4:$A$203,0)),""))</f>
        <v/>
      </c>
      <c r="E20" s="37" t="str">
        <f aca="false">IF($C20="","",IFERROR(INDEX(PR!$E$4:$E$203,MATCH($C20,PR!$A$4:$A$203,0)),""))</f>
        <v/>
      </c>
      <c r="F20" s="37" t="str">
        <f aca="false">IF($C20="","",IFERROR(INDEX(PR!$G$4:$G$203,MATCH($C20,PR!$A$4:$A$203,0)),""))</f>
        <v/>
      </c>
      <c r="G20" s="37" t="str">
        <f aca="false">IF($C20="","",IFERROR(INDEX(PR!$F$4:$F$203,MATCH($C20,PR!$A$4:$A$203,0)),""))</f>
        <v/>
      </c>
      <c r="H20" s="32"/>
      <c r="I20" s="37" t="str">
        <f aca="false">IF($H20="","",IFERROR(INDEX('Nhà cung cấp'!$B$4:$B$203,MATCH($H20,'Nhà cung cấp'!$A$4:$A$203,0)),""))</f>
        <v/>
      </c>
      <c r="J20" s="34"/>
      <c r="K20" s="34"/>
      <c r="L20" s="38" t="str">
        <f aca="false">IF($A20="","",IFERROR($J20*$K20,""))</f>
        <v/>
      </c>
      <c r="M20" s="38" t="str">
        <f aca="false">IF($C20="","",IFERROR(INDEX(PR!$L$4:$L$203,MATCH($C20,PR!$A$4:$A$203,0)),""))</f>
        <v/>
      </c>
      <c r="N20" s="38" t="str">
        <f aca="false">IF($A20="","",IFERROR($M20-$L20,""))</f>
        <v/>
      </c>
      <c r="O20" s="32"/>
      <c r="P20" s="33"/>
      <c r="Q20" s="33"/>
      <c r="R20" s="33"/>
      <c r="S20" s="37" t="str">
        <f aca="true">IF($A20="","",IF($Q20="","",IF($R20="",IF(TODAY()&gt;$Q20,"Trễ hạn","Chưa đến hạn"),IF($R20&lt;=$Q20,"Đúng hạn","Giao trễ"))))</f>
        <v/>
      </c>
      <c r="T20" s="38" t="str">
        <f aca="true">IF($A20="","",IF($Q20="",0,IF($R20="",IF(TODAY()&gt;$Q20,TODAY()-$Q20,0),MAX(0,$R20-$Q20))))</f>
        <v/>
      </c>
      <c r="U20" s="34"/>
      <c r="V20" s="34"/>
      <c r="W20" s="39" t="str">
        <f aca="false">IF($A20="","",IFERROR($V20/$U20,""))</f>
        <v/>
      </c>
      <c r="X20" s="34"/>
      <c r="Y20" s="37" t="str">
        <f aca="false">IF($A20="","",IF($U20="","",IF($W20&lt;='Tổng quan'!$C$8,"Đạt","Không đạt")))</f>
        <v/>
      </c>
      <c r="Z20" s="38" t="str">
        <f aca="false">IF($H20="","",IFERROR(INDEX('Nhà cung cấp'!$G$4:$G$203,MATCH($H20,'Nhà cung cấp'!$A$4:$A$203,0)),""))</f>
        <v/>
      </c>
      <c r="AA20" s="41" t="str">
        <f aca="false">IF($A20="","",IFERROR($R20+$Z20,""))</f>
        <v/>
      </c>
      <c r="AB20" s="32"/>
    </row>
    <row r="21" customFormat="false" ht="15" hidden="false" customHeight="false" outlineLevel="0" collapsed="false">
      <c r="A21" s="32"/>
      <c r="B21" s="33"/>
      <c r="C21" s="32"/>
      <c r="D21" s="37" t="str">
        <f aca="false">IF($C21="","",IFERROR(INDEX(PR!$D$4:$D$203,MATCH($C21,PR!$A$4:$A$203,0)),""))</f>
        <v/>
      </c>
      <c r="E21" s="37" t="str">
        <f aca="false">IF($C21="","",IFERROR(INDEX(PR!$E$4:$E$203,MATCH($C21,PR!$A$4:$A$203,0)),""))</f>
        <v/>
      </c>
      <c r="F21" s="37" t="str">
        <f aca="false">IF($C21="","",IFERROR(INDEX(PR!$G$4:$G$203,MATCH($C21,PR!$A$4:$A$203,0)),""))</f>
        <v/>
      </c>
      <c r="G21" s="37" t="str">
        <f aca="false">IF($C21="","",IFERROR(INDEX(PR!$F$4:$F$203,MATCH($C21,PR!$A$4:$A$203,0)),""))</f>
        <v/>
      </c>
      <c r="H21" s="32"/>
      <c r="I21" s="37" t="str">
        <f aca="false">IF($H21="","",IFERROR(INDEX('Nhà cung cấp'!$B$4:$B$203,MATCH($H21,'Nhà cung cấp'!$A$4:$A$203,0)),""))</f>
        <v/>
      </c>
      <c r="J21" s="34"/>
      <c r="K21" s="34"/>
      <c r="L21" s="38" t="str">
        <f aca="false">IF($A21="","",IFERROR($J21*$K21,""))</f>
        <v/>
      </c>
      <c r="M21" s="38" t="str">
        <f aca="false">IF($C21="","",IFERROR(INDEX(PR!$L$4:$L$203,MATCH($C21,PR!$A$4:$A$203,0)),""))</f>
        <v/>
      </c>
      <c r="N21" s="38" t="str">
        <f aca="false">IF($A21="","",IFERROR($M21-$L21,""))</f>
        <v/>
      </c>
      <c r="O21" s="32"/>
      <c r="P21" s="33"/>
      <c r="Q21" s="33"/>
      <c r="R21" s="33"/>
      <c r="S21" s="37" t="str">
        <f aca="true">IF($A21="","",IF($Q21="","",IF($R21="",IF(TODAY()&gt;$Q21,"Trễ hạn","Chưa đến hạn"),IF($R21&lt;=$Q21,"Đúng hạn","Giao trễ"))))</f>
        <v/>
      </c>
      <c r="T21" s="38" t="str">
        <f aca="true">IF($A21="","",IF($Q21="",0,IF($R21="",IF(TODAY()&gt;$Q21,TODAY()-$Q21,0),MAX(0,$R21-$Q21))))</f>
        <v/>
      </c>
      <c r="U21" s="34"/>
      <c r="V21" s="34"/>
      <c r="W21" s="39" t="str">
        <f aca="false">IF($A21="","",IFERROR($V21/$U21,""))</f>
        <v/>
      </c>
      <c r="X21" s="34"/>
      <c r="Y21" s="37" t="str">
        <f aca="false">IF($A21="","",IF($U21="","",IF($W21&lt;='Tổng quan'!$C$8,"Đạt","Không đạt")))</f>
        <v/>
      </c>
      <c r="Z21" s="38" t="str">
        <f aca="false">IF($H21="","",IFERROR(INDEX('Nhà cung cấp'!$G$4:$G$203,MATCH($H21,'Nhà cung cấp'!$A$4:$A$203,0)),""))</f>
        <v/>
      </c>
      <c r="AA21" s="41" t="str">
        <f aca="false">IF($A21="","",IFERROR($R21+$Z21,""))</f>
        <v/>
      </c>
      <c r="AB21" s="32"/>
    </row>
    <row r="22" customFormat="false" ht="15" hidden="false" customHeight="false" outlineLevel="0" collapsed="false">
      <c r="A22" s="32"/>
      <c r="B22" s="33"/>
      <c r="C22" s="32"/>
      <c r="D22" s="37" t="str">
        <f aca="false">IF($C22="","",IFERROR(INDEX(PR!$D$4:$D$203,MATCH($C22,PR!$A$4:$A$203,0)),""))</f>
        <v/>
      </c>
      <c r="E22" s="37" t="str">
        <f aca="false">IF($C22="","",IFERROR(INDEX(PR!$E$4:$E$203,MATCH($C22,PR!$A$4:$A$203,0)),""))</f>
        <v/>
      </c>
      <c r="F22" s="37" t="str">
        <f aca="false">IF($C22="","",IFERROR(INDEX(PR!$G$4:$G$203,MATCH($C22,PR!$A$4:$A$203,0)),""))</f>
        <v/>
      </c>
      <c r="G22" s="37" t="str">
        <f aca="false">IF($C22="","",IFERROR(INDEX(PR!$F$4:$F$203,MATCH($C22,PR!$A$4:$A$203,0)),""))</f>
        <v/>
      </c>
      <c r="H22" s="32"/>
      <c r="I22" s="37" t="str">
        <f aca="false">IF($H22="","",IFERROR(INDEX('Nhà cung cấp'!$B$4:$B$203,MATCH($H22,'Nhà cung cấp'!$A$4:$A$203,0)),""))</f>
        <v/>
      </c>
      <c r="J22" s="34"/>
      <c r="K22" s="34"/>
      <c r="L22" s="38" t="str">
        <f aca="false">IF($A22="","",IFERROR($J22*$K22,""))</f>
        <v/>
      </c>
      <c r="M22" s="38" t="str">
        <f aca="false">IF($C22="","",IFERROR(INDEX(PR!$L$4:$L$203,MATCH($C22,PR!$A$4:$A$203,0)),""))</f>
        <v/>
      </c>
      <c r="N22" s="38" t="str">
        <f aca="false">IF($A22="","",IFERROR($M22-$L22,""))</f>
        <v/>
      </c>
      <c r="O22" s="32"/>
      <c r="P22" s="33"/>
      <c r="Q22" s="33"/>
      <c r="R22" s="33"/>
      <c r="S22" s="37" t="str">
        <f aca="true">IF($A22="","",IF($Q22="","",IF($R22="",IF(TODAY()&gt;$Q22,"Trễ hạn","Chưa đến hạn"),IF($R22&lt;=$Q22,"Đúng hạn","Giao trễ"))))</f>
        <v/>
      </c>
      <c r="T22" s="38" t="str">
        <f aca="true">IF($A22="","",IF($Q22="",0,IF($R22="",IF(TODAY()&gt;$Q22,TODAY()-$Q22,0),MAX(0,$R22-$Q22))))</f>
        <v/>
      </c>
      <c r="U22" s="34"/>
      <c r="V22" s="34"/>
      <c r="W22" s="39" t="str">
        <f aca="false">IF($A22="","",IFERROR($V22/$U22,""))</f>
        <v/>
      </c>
      <c r="X22" s="34"/>
      <c r="Y22" s="37" t="str">
        <f aca="false">IF($A22="","",IF($U22="","",IF($W22&lt;='Tổng quan'!$C$8,"Đạt","Không đạt")))</f>
        <v/>
      </c>
      <c r="Z22" s="38" t="str">
        <f aca="false">IF($H22="","",IFERROR(INDEX('Nhà cung cấp'!$G$4:$G$203,MATCH($H22,'Nhà cung cấp'!$A$4:$A$203,0)),""))</f>
        <v/>
      </c>
      <c r="AA22" s="41" t="str">
        <f aca="false">IF($A22="","",IFERROR($R22+$Z22,""))</f>
        <v/>
      </c>
      <c r="AB22" s="32"/>
    </row>
    <row r="23" customFormat="false" ht="15" hidden="false" customHeight="false" outlineLevel="0" collapsed="false">
      <c r="A23" s="32"/>
      <c r="B23" s="33"/>
      <c r="C23" s="32"/>
      <c r="D23" s="37" t="str">
        <f aca="false">IF($C23="","",IFERROR(INDEX(PR!$D$4:$D$203,MATCH($C23,PR!$A$4:$A$203,0)),""))</f>
        <v/>
      </c>
      <c r="E23" s="37" t="str">
        <f aca="false">IF($C23="","",IFERROR(INDEX(PR!$E$4:$E$203,MATCH($C23,PR!$A$4:$A$203,0)),""))</f>
        <v/>
      </c>
      <c r="F23" s="37" t="str">
        <f aca="false">IF($C23="","",IFERROR(INDEX(PR!$G$4:$G$203,MATCH($C23,PR!$A$4:$A$203,0)),""))</f>
        <v/>
      </c>
      <c r="G23" s="37" t="str">
        <f aca="false">IF($C23="","",IFERROR(INDEX(PR!$F$4:$F$203,MATCH($C23,PR!$A$4:$A$203,0)),""))</f>
        <v/>
      </c>
      <c r="H23" s="32"/>
      <c r="I23" s="37" t="str">
        <f aca="false">IF($H23="","",IFERROR(INDEX('Nhà cung cấp'!$B$4:$B$203,MATCH($H23,'Nhà cung cấp'!$A$4:$A$203,0)),""))</f>
        <v/>
      </c>
      <c r="J23" s="34"/>
      <c r="K23" s="34"/>
      <c r="L23" s="38" t="str">
        <f aca="false">IF($A23="","",IFERROR($J23*$K23,""))</f>
        <v/>
      </c>
      <c r="M23" s="38" t="str">
        <f aca="false">IF($C23="","",IFERROR(INDEX(PR!$L$4:$L$203,MATCH($C23,PR!$A$4:$A$203,0)),""))</f>
        <v/>
      </c>
      <c r="N23" s="38" t="str">
        <f aca="false">IF($A23="","",IFERROR($M23-$L23,""))</f>
        <v/>
      </c>
      <c r="O23" s="32"/>
      <c r="P23" s="33"/>
      <c r="Q23" s="33"/>
      <c r="R23" s="33"/>
      <c r="S23" s="37" t="str">
        <f aca="true">IF($A23="","",IF($Q23="","",IF($R23="",IF(TODAY()&gt;$Q23,"Trễ hạn","Chưa đến hạn"),IF($R23&lt;=$Q23,"Đúng hạn","Giao trễ"))))</f>
        <v/>
      </c>
      <c r="T23" s="38" t="str">
        <f aca="true">IF($A23="","",IF($Q23="",0,IF($R23="",IF(TODAY()&gt;$Q23,TODAY()-$Q23,0),MAX(0,$R23-$Q23))))</f>
        <v/>
      </c>
      <c r="U23" s="34"/>
      <c r="V23" s="34"/>
      <c r="W23" s="39" t="str">
        <f aca="false">IF($A23="","",IFERROR($V23/$U23,""))</f>
        <v/>
      </c>
      <c r="X23" s="34"/>
      <c r="Y23" s="37" t="str">
        <f aca="false">IF($A23="","",IF($U23="","",IF($W23&lt;='Tổng quan'!$C$8,"Đạt","Không đạt")))</f>
        <v/>
      </c>
      <c r="Z23" s="38" t="str">
        <f aca="false">IF($H23="","",IFERROR(INDEX('Nhà cung cấp'!$G$4:$G$203,MATCH($H23,'Nhà cung cấp'!$A$4:$A$203,0)),""))</f>
        <v/>
      </c>
      <c r="AA23" s="41" t="str">
        <f aca="false">IF($A23="","",IFERROR($R23+$Z23,""))</f>
        <v/>
      </c>
      <c r="AB23" s="32"/>
    </row>
    <row r="24" customFormat="false" ht="15" hidden="false" customHeight="false" outlineLevel="0" collapsed="false">
      <c r="A24" s="32"/>
      <c r="B24" s="33"/>
      <c r="C24" s="32"/>
      <c r="D24" s="37" t="str">
        <f aca="false">IF($C24="","",IFERROR(INDEX(PR!$D$4:$D$203,MATCH($C24,PR!$A$4:$A$203,0)),""))</f>
        <v/>
      </c>
      <c r="E24" s="37" t="str">
        <f aca="false">IF($C24="","",IFERROR(INDEX(PR!$E$4:$E$203,MATCH($C24,PR!$A$4:$A$203,0)),""))</f>
        <v/>
      </c>
      <c r="F24" s="37" t="str">
        <f aca="false">IF($C24="","",IFERROR(INDEX(PR!$G$4:$G$203,MATCH($C24,PR!$A$4:$A$203,0)),""))</f>
        <v/>
      </c>
      <c r="G24" s="37" t="str">
        <f aca="false">IF($C24="","",IFERROR(INDEX(PR!$F$4:$F$203,MATCH($C24,PR!$A$4:$A$203,0)),""))</f>
        <v/>
      </c>
      <c r="H24" s="32"/>
      <c r="I24" s="37" t="str">
        <f aca="false">IF($H24="","",IFERROR(INDEX('Nhà cung cấp'!$B$4:$B$203,MATCH($H24,'Nhà cung cấp'!$A$4:$A$203,0)),""))</f>
        <v/>
      </c>
      <c r="J24" s="34"/>
      <c r="K24" s="34"/>
      <c r="L24" s="38" t="str">
        <f aca="false">IF($A24="","",IFERROR($J24*$K24,""))</f>
        <v/>
      </c>
      <c r="M24" s="38" t="str">
        <f aca="false">IF($C24="","",IFERROR(INDEX(PR!$L$4:$L$203,MATCH($C24,PR!$A$4:$A$203,0)),""))</f>
        <v/>
      </c>
      <c r="N24" s="38" t="str">
        <f aca="false">IF($A24="","",IFERROR($M24-$L24,""))</f>
        <v/>
      </c>
      <c r="O24" s="32"/>
      <c r="P24" s="33"/>
      <c r="Q24" s="33"/>
      <c r="R24" s="33"/>
      <c r="S24" s="37" t="str">
        <f aca="true">IF($A24="","",IF($Q24="","",IF($R24="",IF(TODAY()&gt;$Q24,"Trễ hạn","Chưa đến hạn"),IF($R24&lt;=$Q24,"Đúng hạn","Giao trễ"))))</f>
        <v/>
      </c>
      <c r="T24" s="38" t="str">
        <f aca="true">IF($A24="","",IF($Q24="",0,IF($R24="",IF(TODAY()&gt;$Q24,TODAY()-$Q24,0),MAX(0,$R24-$Q24))))</f>
        <v/>
      </c>
      <c r="U24" s="34"/>
      <c r="V24" s="34"/>
      <c r="W24" s="39" t="str">
        <f aca="false">IF($A24="","",IFERROR($V24/$U24,""))</f>
        <v/>
      </c>
      <c r="X24" s="34"/>
      <c r="Y24" s="37" t="str">
        <f aca="false">IF($A24="","",IF($U24="","",IF($W24&lt;='Tổng quan'!$C$8,"Đạt","Không đạt")))</f>
        <v/>
      </c>
      <c r="Z24" s="38" t="str">
        <f aca="false">IF($H24="","",IFERROR(INDEX('Nhà cung cấp'!$G$4:$G$203,MATCH($H24,'Nhà cung cấp'!$A$4:$A$203,0)),""))</f>
        <v/>
      </c>
      <c r="AA24" s="41" t="str">
        <f aca="false">IF($A24="","",IFERROR($R24+$Z24,""))</f>
        <v/>
      </c>
      <c r="AB24" s="32"/>
    </row>
    <row r="25" customFormat="false" ht="15" hidden="false" customHeight="false" outlineLevel="0" collapsed="false">
      <c r="A25" s="32"/>
      <c r="B25" s="33"/>
      <c r="C25" s="32"/>
      <c r="D25" s="37" t="str">
        <f aca="false">IF($C25="","",IFERROR(INDEX(PR!$D$4:$D$203,MATCH($C25,PR!$A$4:$A$203,0)),""))</f>
        <v/>
      </c>
      <c r="E25" s="37" t="str">
        <f aca="false">IF($C25="","",IFERROR(INDEX(PR!$E$4:$E$203,MATCH($C25,PR!$A$4:$A$203,0)),""))</f>
        <v/>
      </c>
      <c r="F25" s="37" t="str">
        <f aca="false">IF($C25="","",IFERROR(INDEX(PR!$G$4:$G$203,MATCH($C25,PR!$A$4:$A$203,0)),""))</f>
        <v/>
      </c>
      <c r="G25" s="37" t="str">
        <f aca="false">IF($C25="","",IFERROR(INDEX(PR!$F$4:$F$203,MATCH($C25,PR!$A$4:$A$203,0)),""))</f>
        <v/>
      </c>
      <c r="H25" s="32"/>
      <c r="I25" s="37" t="str">
        <f aca="false">IF($H25="","",IFERROR(INDEX('Nhà cung cấp'!$B$4:$B$203,MATCH($H25,'Nhà cung cấp'!$A$4:$A$203,0)),""))</f>
        <v/>
      </c>
      <c r="J25" s="34"/>
      <c r="K25" s="34"/>
      <c r="L25" s="38" t="str">
        <f aca="false">IF($A25="","",IFERROR($J25*$K25,""))</f>
        <v/>
      </c>
      <c r="M25" s="38" t="str">
        <f aca="false">IF($C25="","",IFERROR(INDEX(PR!$L$4:$L$203,MATCH($C25,PR!$A$4:$A$203,0)),""))</f>
        <v/>
      </c>
      <c r="N25" s="38" t="str">
        <f aca="false">IF($A25="","",IFERROR($M25-$L25,""))</f>
        <v/>
      </c>
      <c r="O25" s="32"/>
      <c r="P25" s="33"/>
      <c r="Q25" s="33"/>
      <c r="R25" s="33"/>
      <c r="S25" s="37" t="str">
        <f aca="true">IF($A25="","",IF($Q25="","",IF($R25="",IF(TODAY()&gt;$Q25,"Trễ hạn","Chưa đến hạn"),IF($R25&lt;=$Q25,"Đúng hạn","Giao trễ"))))</f>
        <v/>
      </c>
      <c r="T25" s="38" t="str">
        <f aca="true">IF($A25="","",IF($Q25="",0,IF($R25="",IF(TODAY()&gt;$Q25,TODAY()-$Q25,0),MAX(0,$R25-$Q25))))</f>
        <v/>
      </c>
      <c r="U25" s="34"/>
      <c r="V25" s="34"/>
      <c r="W25" s="39" t="str">
        <f aca="false">IF($A25="","",IFERROR($V25/$U25,""))</f>
        <v/>
      </c>
      <c r="X25" s="34"/>
      <c r="Y25" s="37" t="str">
        <f aca="false">IF($A25="","",IF($U25="","",IF($W25&lt;='Tổng quan'!$C$8,"Đạt","Không đạt")))</f>
        <v/>
      </c>
      <c r="Z25" s="38" t="str">
        <f aca="false">IF($H25="","",IFERROR(INDEX('Nhà cung cấp'!$G$4:$G$203,MATCH($H25,'Nhà cung cấp'!$A$4:$A$203,0)),""))</f>
        <v/>
      </c>
      <c r="AA25" s="41" t="str">
        <f aca="false">IF($A25="","",IFERROR($R25+$Z25,""))</f>
        <v/>
      </c>
      <c r="AB25" s="32"/>
    </row>
    <row r="26" customFormat="false" ht="15" hidden="false" customHeight="false" outlineLevel="0" collapsed="false">
      <c r="A26" s="32"/>
      <c r="B26" s="33"/>
      <c r="C26" s="32"/>
      <c r="D26" s="37" t="str">
        <f aca="false">IF($C26="","",IFERROR(INDEX(PR!$D$4:$D$203,MATCH($C26,PR!$A$4:$A$203,0)),""))</f>
        <v/>
      </c>
      <c r="E26" s="37" t="str">
        <f aca="false">IF($C26="","",IFERROR(INDEX(PR!$E$4:$E$203,MATCH($C26,PR!$A$4:$A$203,0)),""))</f>
        <v/>
      </c>
      <c r="F26" s="37" t="str">
        <f aca="false">IF($C26="","",IFERROR(INDEX(PR!$G$4:$G$203,MATCH($C26,PR!$A$4:$A$203,0)),""))</f>
        <v/>
      </c>
      <c r="G26" s="37" t="str">
        <f aca="false">IF($C26="","",IFERROR(INDEX(PR!$F$4:$F$203,MATCH($C26,PR!$A$4:$A$203,0)),""))</f>
        <v/>
      </c>
      <c r="H26" s="32"/>
      <c r="I26" s="37" t="str">
        <f aca="false">IF($H26="","",IFERROR(INDEX('Nhà cung cấp'!$B$4:$B$203,MATCH($H26,'Nhà cung cấp'!$A$4:$A$203,0)),""))</f>
        <v/>
      </c>
      <c r="J26" s="34"/>
      <c r="K26" s="34"/>
      <c r="L26" s="38" t="str">
        <f aca="false">IF($A26="","",IFERROR($J26*$K26,""))</f>
        <v/>
      </c>
      <c r="M26" s="38" t="str">
        <f aca="false">IF($C26="","",IFERROR(INDEX(PR!$L$4:$L$203,MATCH($C26,PR!$A$4:$A$203,0)),""))</f>
        <v/>
      </c>
      <c r="N26" s="38" t="str">
        <f aca="false">IF($A26="","",IFERROR($M26-$L26,""))</f>
        <v/>
      </c>
      <c r="O26" s="32"/>
      <c r="P26" s="33"/>
      <c r="Q26" s="33"/>
      <c r="R26" s="33"/>
      <c r="S26" s="37" t="str">
        <f aca="true">IF($A26="","",IF($Q26="","",IF($R26="",IF(TODAY()&gt;$Q26,"Trễ hạn","Chưa đến hạn"),IF($R26&lt;=$Q26,"Đúng hạn","Giao trễ"))))</f>
        <v/>
      </c>
      <c r="T26" s="38" t="str">
        <f aca="true">IF($A26="","",IF($Q26="",0,IF($R26="",IF(TODAY()&gt;$Q26,TODAY()-$Q26,0),MAX(0,$R26-$Q26))))</f>
        <v/>
      </c>
      <c r="U26" s="34"/>
      <c r="V26" s="34"/>
      <c r="W26" s="39" t="str">
        <f aca="false">IF($A26="","",IFERROR($V26/$U26,""))</f>
        <v/>
      </c>
      <c r="X26" s="34"/>
      <c r="Y26" s="37" t="str">
        <f aca="false">IF($A26="","",IF($U26="","",IF($W26&lt;='Tổng quan'!$C$8,"Đạt","Không đạt")))</f>
        <v/>
      </c>
      <c r="Z26" s="38" t="str">
        <f aca="false">IF($H26="","",IFERROR(INDEX('Nhà cung cấp'!$G$4:$G$203,MATCH($H26,'Nhà cung cấp'!$A$4:$A$203,0)),""))</f>
        <v/>
      </c>
      <c r="AA26" s="41" t="str">
        <f aca="false">IF($A26="","",IFERROR($R26+$Z26,""))</f>
        <v/>
      </c>
      <c r="AB26" s="32"/>
    </row>
    <row r="27" customFormat="false" ht="15" hidden="false" customHeight="false" outlineLevel="0" collapsed="false">
      <c r="A27" s="32"/>
      <c r="B27" s="33"/>
      <c r="C27" s="32"/>
      <c r="D27" s="37" t="str">
        <f aca="false">IF($C27="","",IFERROR(INDEX(PR!$D$4:$D$203,MATCH($C27,PR!$A$4:$A$203,0)),""))</f>
        <v/>
      </c>
      <c r="E27" s="37" t="str">
        <f aca="false">IF($C27="","",IFERROR(INDEX(PR!$E$4:$E$203,MATCH($C27,PR!$A$4:$A$203,0)),""))</f>
        <v/>
      </c>
      <c r="F27" s="37" t="str">
        <f aca="false">IF($C27="","",IFERROR(INDEX(PR!$G$4:$G$203,MATCH($C27,PR!$A$4:$A$203,0)),""))</f>
        <v/>
      </c>
      <c r="G27" s="37" t="str">
        <f aca="false">IF($C27="","",IFERROR(INDEX(PR!$F$4:$F$203,MATCH($C27,PR!$A$4:$A$203,0)),""))</f>
        <v/>
      </c>
      <c r="H27" s="32"/>
      <c r="I27" s="37" t="str">
        <f aca="false">IF($H27="","",IFERROR(INDEX('Nhà cung cấp'!$B$4:$B$203,MATCH($H27,'Nhà cung cấp'!$A$4:$A$203,0)),""))</f>
        <v/>
      </c>
      <c r="J27" s="34"/>
      <c r="K27" s="34"/>
      <c r="L27" s="38" t="str">
        <f aca="false">IF($A27="","",IFERROR($J27*$K27,""))</f>
        <v/>
      </c>
      <c r="M27" s="38" t="str">
        <f aca="false">IF($C27="","",IFERROR(INDEX(PR!$L$4:$L$203,MATCH($C27,PR!$A$4:$A$203,0)),""))</f>
        <v/>
      </c>
      <c r="N27" s="38" t="str">
        <f aca="false">IF($A27="","",IFERROR($M27-$L27,""))</f>
        <v/>
      </c>
      <c r="O27" s="32"/>
      <c r="P27" s="33"/>
      <c r="Q27" s="33"/>
      <c r="R27" s="33"/>
      <c r="S27" s="37" t="str">
        <f aca="true">IF($A27="","",IF($Q27="","",IF($R27="",IF(TODAY()&gt;$Q27,"Trễ hạn","Chưa đến hạn"),IF($R27&lt;=$Q27,"Đúng hạn","Giao trễ"))))</f>
        <v/>
      </c>
      <c r="T27" s="38" t="str">
        <f aca="true">IF($A27="","",IF($Q27="",0,IF($R27="",IF(TODAY()&gt;$Q27,TODAY()-$Q27,0),MAX(0,$R27-$Q27))))</f>
        <v/>
      </c>
      <c r="U27" s="34"/>
      <c r="V27" s="34"/>
      <c r="W27" s="39" t="str">
        <f aca="false">IF($A27="","",IFERROR($V27/$U27,""))</f>
        <v/>
      </c>
      <c r="X27" s="34"/>
      <c r="Y27" s="37" t="str">
        <f aca="false">IF($A27="","",IF($U27="","",IF($W27&lt;='Tổng quan'!$C$8,"Đạt","Không đạt")))</f>
        <v/>
      </c>
      <c r="Z27" s="38" t="str">
        <f aca="false">IF($H27="","",IFERROR(INDEX('Nhà cung cấp'!$G$4:$G$203,MATCH($H27,'Nhà cung cấp'!$A$4:$A$203,0)),""))</f>
        <v/>
      </c>
      <c r="AA27" s="41" t="str">
        <f aca="false">IF($A27="","",IFERROR($R27+$Z27,""))</f>
        <v/>
      </c>
      <c r="AB27" s="32"/>
    </row>
    <row r="28" customFormat="false" ht="15" hidden="false" customHeight="false" outlineLevel="0" collapsed="false">
      <c r="A28" s="32"/>
      <c r="B28" s="33"/>
      <c r="C28" s="32"/>
      <c r="D28" s="37" t="str">
        <f aca="false">IF($C28="","",IFERROR(INDEX(PR!$D$4:$D$203,MATCH($C28,PR!$A$4:$A$203,0)),""))</f>
        <v/>
      </c>
      <c r="E28" s="37" t="str">
        <f aca="false">IF($C28="","",IFERROR(INDEX(PR!$E$4:$E$203,MATCH($C28,PR!$A$4:$A$203,0)),""))</f>
        <v/>
      </c>
      <c r="F28" s="37" t="str">
        <f aca="false">IF($C28="","",IFERROR(INDEX(PR!$G$4:$G$203,MATCH($C28,PR!$A$4:$A$203,0)),""))</f>
        <v/>
      </c>
      <c r="G28" s="37" t="str">
        <f aca="false">IF($C28="","",IFERROR(INDEX(PR!$F$4:$F$203,MATCH($C28,PR!$A$4:$A$203,0)),""))</f>
        <v/>
      </c>
      <c r="H28" s="32"/>
      <c r="I28" s="37" t="str">
        <f aca="false">IF($H28="","",IFERROR(INDEX('Nhà cung cấp'!$B$4:$B$203,MATCH($H28,'Nhà cung cấp'!$A$4:$A$203,0)),""))</f>
        <v/>
      </c>
      <c r="J28" s="34"/>
      <c r="K28" s="34"/>
      <c r="L28" s="38" t="str">
        <f aca="false">IF($A28="","",IFERROR($J28*$K28,""))</f>
        <v/>
      </c>
      <c r="M28" s="38" t="str">
        <f aca="false">IF($C28="","",IFERROR(INDEX(PR!$L$4:$L$203,MATCH($C28,PR!$A$4:$A$203,0)),""))</f>
        <v/>
      </c>
      <c r="N28" s="38" t="str">
        <f aca="false">IF($A28="","",IFERROR($M28-$L28,""))</f>
        <v/>
      </c>
      <c r="O28" s="32"/>
      <c r="P28" s="33"/>
      <c r="Q28" s="33"/>
      <c r="R28" s="33"/>
      <c r="S28" s="37" t="str">
        <f aca="true">IF($A28="","",IF($Q28="","",IF($R28="",IF(TODAY()&gt;$Q28,"Trễ hạn","Chưa đến hạn"),IF($R28&lt;=$Q28,"Đúng hạn","Giao trễ"))))</f>
        <v/>
      </c>
      <c r="T28" s="38" t="str">
        <f aca="true">IF($A28="","",IF($Q28="",0,IF($R28="",IF(TODAY()&gt;$Q28,TODAY()-$Q28,0),MAX(0,$R28-$Q28))))</f>
        <v/>
      </c>
      <c r="U28" s="34"/>
      <c r="V28" s="34"/>
      <c r="W28" s="39" t="str">
        <f aca="false">IF($A28="","",IFERROR($V28/$U28,""))</f>
        <v/>
      </c>
      <c r="X28" s="34"/>
      <c r="Y28" s="37" t="str">
        <f aca="false">IF($A28="","",IF($U28="","",IF($W28&lt;='Tổng quan'!$C$8,"Đạt","Không đạt")))</f>
        <v/>
      </c>
      <c r="Z28" s="38" t="str">
        <f aca="false">IF($H28="","",IFERROR(INDEX('Nhà cung cấp'!$G$4:$G$203,MATCH($H28,'Nhà cung cấp'!$A$4:$A$203,0)),""))</f>
        <v/>
      </c>
      <c r="AA28" s="41" t="str">
        <f aca="false">IF($A28="","",IFERROR($R28+$Z28,""))</f>
        <v/>
      </c>
      <c r="AB28" s="32"/>
    </row>
    <row r="29" customFormat="false" ht="15" hidden="false" customHeight="false" outlineLevel="0" collapsed="false">
      <c r="A29" s="32"/>
      <c r="B29" s="33"/>
      <c r="C29" s="32"/>
      <c r="D29" s="37" t="str">
        <f aca="false">IF($C29="","",IFERROR(INDEX(PR!$D$4:$D$203,MATCH($C29,PR!$A$4:$A$203,0)),""))</f>
        <v/>
      </c>
      <c r="E29" s="37" t="str">
        <f aca="false">IF($C29="","",IFERROR(INDEX(PR!$E$4:$E$203,MATCH($C29,PR!$A$4:$A$203,0)),""))</f>
        <v/>
      </c>
      <c r="F29" s="37" t="str">
        <f aca="false">IF($C29="","",IFERROR(INDEX(PR!$G$4:$G$203,MATCH($C29,PR!$A$4:$A$203,0)),""))</f>
        <v/>
      </c>
      <c r="G29" s="37" t="str">
        <f aca="false">IF($C29="","",IFERROR(INDEX(PR!$F$4:$F$203,MATCH($C29,PR!$A$4:$A$203,0)),""))</f>
        <v/>
      </c>
      <c r="H29" s="32"/>
      <c r="I29" s="37" t="str">
        <f aca="false">IF($H29="","",IFERROR(INDEX('Nhà cung cấp'!$B$4:$B$203,MATCH($H29,'Nhà cung cấp'!$A$4:$A$203,0)),""))</f>
        <v/>
      </c>
      <c r="J29" s="34"/>
      <c r="K29" s="34"/>
      <c r="L29" s="38" t="str">
        <f aca="false">IF($A29="","",IFERROR($J29*$K29,""))</f>
        <v/>
      </c>
      <c r="M29" s="38" t="str">
        <f aca="false">IF($C29="","",IFERROR(INDEX(PR!$L$4:$L$203,MATCH($C29,PR!$A$4:$A$203,0)),""))</f>
        <v/>
      </c>
      <c r="N29" s="38" t="str">
        <f aca="false">IF($A29="","",IFERROR($M29-$L29,""))</f>
        <v/>
      </c>
      <c r="O29" s="32"/>
      <c r="P29" s="33"/>
      <c r="Q29" s="33"/>
      <c r="R29" s="33"/>
      <c r="S29" s="37" t="str">
        <f aca="true">IF($A29="","",IF($Q29="","",IF($R29="",IF(TODAY()&gt;$Q29,"Trễ hạn","Chưa đến hạn"),IF($R29&lt;=$Q29,"Đúng hạn","Giao trễ"))))</f>
        <v/>
      </c>
      <c r="T29" s="38" t="str">
        <f aca="true">IF($A29="","",IF($Q29="",0,IF($R29="",IF(TODAY()&gt;$Q29,TODAY()-$Q29,0),MAX(0,$R29-$Q29))))</f>
        <v/>
      </c>
      <c r="U29" s="34"/>
      <c r="V29" s="34"/>
      <c r="W29" s="39" t="str">
        <f aca="false">IF($A29="","",IFERROR($V29/$U29,""))</f>
        <v/>
      </c>
      <c r="X29" s="34"/>
      <c r="Y29" s="37" t="str">
        <f aca="false">IF($A29="","",IF($U29="","",IF($W29&lt;='Tổng quan'!$C$8,"Đạt","Không đạt")))</f>
        <v/>
      </c>
      <c r="Z29" s="38" t="str">
        <f aca="false">IF($H29="","",IFERROR(INDEX('Nhà cung cấp'!$G$4:$G$203,MATCH($H29,'Nhà cung cấp'!$A$4:$A$203,0)),""))</f>
        <v/>
      </c>
      <c r="AA29" s="41" t="str">
        <f aca="false">IF($A29="","",IFERROR($R29+$Z29,""))</f>
        <v/>
      </c>
      <c r="AB29" s="32"/>
    </row>
    <row r="30" customFormat="false" ht="15" hidden="false" customHeight="false" outlineLevel="0" collapsed="false">
      <c r="A30" s="32"/>
      <c r="B30" s="33"/>
      <c r="C30" s="32"/>
      <c r="D30" s="37" t="str">
        <f aca="false">IF($C30="","",IFERROR(INDEX(PR!$D$4:$D$203,MATCH($C30,PR!$A$4:$A$203,0)),""))</f>
        <v/>
      </c>
      <c r="E30" s="37" t="str">
        <f aca="false">IF($C30="","",IFERROR(INDEX(PR!$E$4:$E$203,MATCH($C30,PR!$A$4:$A$203,0)),""))</f>
        <v/>
      </c>
      <c r="F30" s="37" t="str">
        <f aca="false">IF($C30="","",IFERROR(INDEX(PR!$G$4:$G$203,MATCH($C30,PR!$A$4:$A$203,0)),""))</f>
        <v/>
      </c>
      <c r="G30" s="37" t="str">
        <f aca="false">IF($C30="","",IFERROR(INDEX(PR!$F$4:$F$203,MATCH($C30,PR!$A$4:$A$203,0)),""))</f>
        <v/>
      </c>
      <c r="H30" s="32"/>
      <c r="I30" s="37" t="str">
        <f aca="false">IF($H30="","",IFERROR(INDEX('Nhà cung cấp'!$B$4:$B$203,MATCH($H30,'Nhà cung cấp'!$A$4:$A$203,0)),""))</f>
        <v/>
      </c>
      <c r="J30" s="34"/>
      <c r="K30" s="34"/>
      <c r="L30" s="38" t="str">
        <f aca="false">IF($A30="","",IFERROR($J30*$K30,""))</f>
        <v/>
      </c>
      <c r="M30" s="38" t="str">
        <f aca="false">IF($C30="","",IFERROR(INDEX(PR!$L$4:$L$203,MATCH($C30,PR!$A$4:$A$203,0)),""))</f>
        <v/>
      </c>
      <c r="N30" s="38" t="str">
        <f aca="false">IF($A30="","",IFERROR($M30-$L30,""))</f>
        <v/>
      </c>
      <c r="O30" s="32"/>
      <c r="P30" s="33"/>
      <c r="Q30" s="33"/>
      <c r="R30" s="33"/>
      <c r="S30" s="37" t="str">
        <f aca="true">IF($A30="","",IF($Q30="","",IF($R30="",IF(TODAY()&gt;$Q30,"Trễ hạn","Chưa đến hạn"),IF($R30&lt;=$Q30,"Đúng hạn","Giao trễ"))))</f>
        <v/>
      </c>
      <c r="T30" s="38" t="str">
        <f aca="true">IF($A30="","",IF($Q30="",0,IF($R30="",IF(TODAY()&gt;$Q30,TODAY()-$Q30,0),MAX(0,$R30-$Q30))))</f>
        <v/>
      </c>
      <c r="U30" s="34"/>
      <c r="V30" s="34"/>
      <c r="W30" s="39" t="str">
        <f aca="false">IF($A30="","",IFERROR($V30/$U30,""))</f>
        <v/>
      </c>
      <c r="X30" s="34"/>
      <c r="Y30" s="37" t="str">
        <f aca="false">IF($A30="","",IF($U30="","",IF($W30&lt;='Tổng quan'!$C$8,"Đạt","Không đạt")))</f>
        <v/>
      </c>
      <c r="Z30" s="38" t="str">
        <f aca="false">IF($H30="","",IFERROR(INDEX('Nhà cung cấp'!$G$4:$G$203,MATCH($H30,'Nhà cung cấp'!$A$4:$A$203,0)),""))</f>
        <v/>
      </c>
      <c r="AA30" s="41" t="str">
        <f aca="false">IF($A30="","",IFERROR($R30+$Z30,""))</f>
        <v/>
      </c>
      <c r="AB30" s="32"/>
    </row>
    <row r="31" customFormat="false" ht="15" hidden="false" customHeight="false" outlineLevel="0" collapsed="false">
      <c r="A31" s="32"/>
      <c r="B31" s="33"/>
      <c r="C31" s="32"/>
      <c r="D31" s="37" t="str">
        <f aca="false">IF($C31="","",IFERROR(INDEX(PR!$D$4:$D$203,MATCH($C31,PR!$A$4:$A$203,0)),""))</f>
        <v/>
      </c>
      <c r="E31" s="37" t="str">
        <f aca="false">IF($C31="","",IFERROR(INDEX(PR!$E$4:$E$203,MATCH($C31,PR!$A$4:$A$203,0)),""))</f>
        <v/>
      </c>
      <c r="F31" s="37" t="str">
        <f aca="false">IF($C31="","",IFERROR(INDEX(PR!$G$4:$G$203,MATCH($C31,PR!$A$4:$A$203,0)),""))</f>
        <v/>
      </c>
      <c r="G31" s="37" t="str">
        <f aca="false">IF($C31="","",IFERROR(INDEX(PR!$F$4:$F$203,MATCH($C31,PR!$A$4:$A$203,0)),""))</f>
        <v/>
      </c>
      <c r="H31" s="32"/>
      <c r="I31" s="37" t="str">
        <f aca="false">IF($H31="","",IFERROR(INDEX('Nhà cung cấp'!$B$4:$B$203,MATCH($H31,'Nhà cung cấp'!$A$4:$A$203,0)),""))</f>
        <v/>
      </c>
      <c r="J31" s="34"/>
      <c r="K31" s="34"/>
      <c r="L31" s="38" t="str">
        <f aca="false">IF($A31="","",IFERROR($J31*$K31,""))</f>
        <v/>
      </c>
      <c r="M31" s="38" t="str">
        <f aca="false">IF($C31="","",IFERROR(INDEX(PR!$L$4:$L$203,MATCH($C31,PR!$A$4:$A$203,0)),""))</f>
        <v/>
      </c>
      <c r="N31" s="38" t="str">
        <f aca="false">IF($A31="","",IFERROR($M31-$L31,""))</f>
        <v/>
      </c>
      <c r="O31" s="32"/>
      <c r="P31" s="33"/>
      <c r="Q31" s="33"/>
      <c r="R31" s="33"/>
      <c r="S31" s="37" t="str">
        <f aca="true">IF($A31="","",IF($Q31="","",IF($R31="",IF(TODAY()&gt;$Q31,"Trễ hạn","Chưa đến hạn"),IF($R31&lt;=$Q31,"Đúng hạn","Giao trễ"))))</f>
        <v/>
      </c>
      <c r="T31" s="38" t="str">
        <f aca="true">IF($A31="","",IF($Q31="",0,IF($R31="",IF(TODAY()&gt;$Q31,TODAY()-$Q31,0),MAX(0,$R31-$Q31))))</f>
        <v/>
      </c>
      <c r="U31" s="34"/>
      <c r="V31" s="34"/>
      <c r="W31" s="39" t="str">
        <f aca="false">IF($A31="","",IFERROR($V31/$U31,""))</f>
        <v/>
      </c>
      <c r="X31" s="34"/>
      <c r="Y31" s="37" t="str">
        <f aca="false">IF($A31="","",IF($U31="","",IF($W31&lt;='Tổng quan'!$C$8,"Đạt","Không đạt")))</f>
        <v/>
      </c>
      <c r="Z31" s="38" t="str">
        <f aca="false">IF($H31="","",IFERROR(INDEX('Nhà cung cấp'!$G$4:$G$203,MATCH($H31,'Nhà cung cấp'!$A$4:$A$203,0)),""))</f>
        <v/>
      </c>
      <c r="AA31" s="41" t="str">
        <f aca="false">IF($A31="","",IFERROR($R31+$Z31,""))</f>
        <v/>
      </c>
      <c r="AB31" s="32"/>
    </row>
    <row r="32" customFormat="false" ht="15" hidden="false" customHeight="false" outlineLevel="0" collapsed="false">
      <c r="A32" s="32"/>
      <c r="B32" s="33"/>
      <c r="C32" s="32"/>
      <c r="D32" s="37" t="str">
        <f aca="false">IF($C32="","",IFERROR(INDEX(PR!$D$4:$D$203,MATCH($C32,PR!$A$4:$A$203,0)),""))</f>
        <v/>
      </c>
      <c r="E32" s="37" t="str">
        <f aca="false">IF($C32="","",IFERROR(INDEX(PR!$E$4:$E$203,MATCH($C32,PR!$A$4:$A$203,0)),""))</f>
        <v/>
      </c>
      <c r="F32" s="37" t="str">
        <f aca="false">IF($C32="","",IFERROR(INDEX(PR!$G$4:$G$203,MATCH($C32,PR!$A$4:$A$203,0)),""))</f>
        <v/>
      </c>
      <c r="G32" s="37" t="str">
        <f aca="false">IF($C32="","",IFERROR(INDEX(PR!$F$4:$F$203,MATCH($C32,PR!$A$4:$A$203,0)),""))</f>
        <v/>
      </c>
      <c r="H32" s="32"/>
      <c r="I32" s="37" t="str">
        <f aca="false">IF($H32="","",IFERROR(INDEX('Nhà cung cấp'!$B$4:$B$203,MATCH($H32,'Nhà cung cấp'!$A$4:$A$203,0)),""))</f>
        <v/>
      </c>
      <c r="J32" s="34"/>
      <c r="K32" s="34"/>
      <c r="L32" s="38" t="str">
        <f aca="false">IF($A32="","",IFERROR($J32*$K32,""))</f>
        <v/>
      </c>
      <c r="M32" s="38" t="str">
        <f aca="false">IF($C32="","",IFERROR(INDEX(PR!$L$4:$L$203,MATCH($C32,PR!$A$4:$A$203,0)),""))</f>
        <v/>
      </c>
      <c r="N32" s="38" t="str">
        <f aca="false">IF($A32="","",IFERROR($M32-$L32,""))</f>
        <v/>
      </c>
      <c r="O32" s="32"/>
      <c r="P32" s="33"/>
      <c r="Q32" s="33"/>
      <c r="R32" s="33"/>
      <c r="S32" s="37" t="str">
        <f aca="true">IF($A32="","",IF($Q32="","",IF($R32="",IF(TODAY()&gt;$Q32,"Trễ hạn","Chưa đến hạn"),IF($R32&lt;=$Q32,"Đúng hạn","Giao trễ"))))</f>
        <v/>
      </c>
      <c r="T32" s="38" t="str">
        <f aca="true">IF($A32="","",IF($Q32="",0,IF($R32="",IF(TODAY()&gt;$Q32,TODAY()-$Q32,0),MAX(0,$R32-$Q32))))</f>
        <v/>
      </c>
      <c r="U32" s="34"/>
      <c r="V32" s="34"/>
      <c r="W32" s="39" t="str">
        <f aca="false">IF($A32="","",IFERROR($V32/$U32,""))</f>
        <v/>
      </c>
      <c r="X32" s="34"/>
      <c r="Y32" s="37" t="str">
        <f aca="false">IF($A32="","",IF($U32="","",IF($W32&lt;='Tổng quan'!$C$8,"Đạt","Không đạt")))</f>
        <v/>
      </c>
      <c r="Z32" s="38" t="str">
        <f aca="false">IF($H32="","",IFERROR(INDEX('Nhà cung cấp'!$G$4:$G$203,MATCH($H32,'Nhà cung cấp'!$A$4:$A$203,0)),""))</f>
        <v/>
      </c>
      <c r="AA32" s="41" t="str">
        <f aca="false">IF($A32="","",IFERROR($R32+$Z32,""))</f>
        <v/>
      </c>
      <c r="AB32" s="32"/>
    </row>
    <row r="33" customFormat="false" ht="15" hidden="false" customHeight="false" outlineLevel="0" collapsed="false">
      <c r="A33" s="32"/>
      <c r="B33" s="33"/>
      <c r="C33" s="32"/>
      <c r="D33" s="37" t="str">
        <f aca="false">IF($C33="","",IFERROR(INDEX(PR!$D$4:$D$203,MATCH($C33,PR!$A$4:$A$203,0)),""))</f>
        <v/>
      </c>
      <c r="E33" s="37" t="str">
        <f aca="false">IF($C33="","",IFERROR(INDEX(PR!$E$4:$E$203,MATCH($C33,PR!$A$4:$A$203,0)),""))</f>
        <v/>
      </c>
      <c r="F33" s="37" t="str">
        <f aca="false">IF($C33="","",IFERROR(INDEX(PR!$G$4:$G$203,MATCH($C33,PR!$A$4:$A$203,0)),""))</f>
        <v/>
      </c>
      <c r="G33" s="37" t="str">
        <f aca="false">IF($C33="","",IFERROR(INDEX(PR!$F$4:$F$203,MATCH($C33,PR!$A$4:$A$203,0)),""))</f>
        <v/>
      </c>
      <c r="H33" s="32"/>
      <c r="I33" s="37" t="str">
        <f aca="false">IF($H33="","",IFERROR(INDEX('Nhà cung cấp'!$B$4:$B$203,MATCH($H33,'Nhà cung cấp'!$A$4:$A$203,0)),""))</f>
        <v/>
      </c>
      <c r="J33" s="34"/>
      <c r="K33" s="34"/>
      <c r="L33" s="38" t="str">
        <f aca="false">IF($A33="","",IFERROR($J33*$K33,""))</f>
        <v/>
      </c>
      <c r="M33" s="38" t="str">
        <f aca="false">IF($C33="","",IFERROR(INDEX(PR!$L$4:$L$203,MATCH($C33,PR!$A$4:$A$203,0)),""))</f>
        <v/>
      </c>
      <c r="N33" s="38" t="str">
        <f aca="false">IF($A33="","",IFERROR($M33-$L33,""))</f>
        <v/>
      </c>
      <c r="O33" s="32"/>
      <c r="P33" s="33"/>
      <c r="Q33" s="33"/>
      <c r="R33" s="33"/>
      <c r="S33" s="37" t="str">
        <f aca="true">IF($A33="","",IF($Q33="","",IF($R33="",IF(TODAY()&gt;$Q33,"Trễ hạn","Chưa đến hạn"),IF($R33&lt;=$Q33,"Đúng hạn","Giao trễ"))))</f>
        <v/>
      </c>
      <c r="T33" s="38" t="str">
        <f aca="true">IF($A33="","",IF($Q33="",0,IF($R33="",IF(TODAY()&gt;$Q33,TODAY()-$Q33,0),MAX(0,$R33-$Q33))))</f>
        <v/>
      </c>
      <c r="U33" s="34"/>
      <c r="V33" s="34"/>
      <c r="W33" s="39" t="str">
        <f aca="false">IF($A33="","",IFERROR($V33/$U33,""))</f>
        <v/>
      </c>
      <c r="X33" s="34"/>
      <c r="Y33" s="37" t="str">
        <f aca="false">IF($A33="","",IF($U33="","",IF($W33&lt;='Tổng quan'!$C$8,"Đạt","Không đạt")))</f>
        <v/>
      </c>
      <c r="Z33" s="38" t="str">
        <f aca="false">IF($H33="","",IFERROR(INDEX('Nhà cung cấp'!$G$4:$G$203,MATCH($H33,'Nhà cung cấp'!$A$4:$A$203,0)),""))</f>
        <v/>
      </c>
      <c r="AA33" s="41" t="str">
        <f aca="false">IF($A33="","",IFERROR($R33+$Z33,""))</f>
        <v/>
      </c>
      <c r="AB33" s="32"/>
    </row>
    <row r="34" customFormat="false" ht="15" hidden="false" customHeight="false" outlineLevel="0" collapsed="false">
      <c r="A34" s="32"/>
      <c r="B34" s="33"/>
      <c r="C34" s="32"/>
      <c r="D34" s="37" t="str">
        <f aca="false">IF($C34="","",IFERROR(INDEX(PR!$D$4:$D$203,MATCH($C34,PR!$A$4:$A$203,0)),""))</f>
        <v/>
      </c>
      <c r="E34" s="37" t="str">
        <f aca="false">IF($C34="","",IFERROR(INDEX(PR!$E$4:$E$203,MATCH($C34,PR!$A$4:$A$203,0)),""))</f>
        <v/>
      </c>
      <c r="F34" s="37" t="str">
        <f aca="false">IF($C34="","",IFERROR(INDEX(PR!$G$4:$G$203,MATCH($C34,PR!$A$4:$A$203,0)),""))</f>
        <v/>
      </c>
      <c r="G34" s="37" t="str">
        <f aca="false">IF($C34="","",IFERROR(INDEX(PR!$F$4:$F$203,MATCH($C34,PR!$A$4:$A$203,0)),""))</f>
        <v/>
      </c>
      <c r="H34" s="32"/>
      <c r="I34" s="37" t="str">
        <f aca="false">IF($H34="","",IFERROR(INDEX('Nhà cung cấp'!$B$4:$B$203,MATCH($H34,'Nhà cung cấp'!$A$4:$A$203,0)),""))</f>
        <v/>
      </c>
      <c r="J34" s="34"/>
      <c r="K34" s="34"/>
      <c r="L34" s="38" t="str">
        <f aca="false">IF($A34="","",IFERROR($J34*$K34,""))</f>
        <v/>
      </c>
      <c r="M34" s="38" t="str">
        <f aca="false">IF($C34="","",IFERROR(INDEX(PR!$L$4:$L$203,MATCH($C34,PR!$A$4:$A$203,0)),""))</f>
        <v/>
      </c>
      <c r="N34" s="38" t="str">
        <f aca="false">IF($A34="","",IFERROR($M34-$L34,""))</f>
        <v/>
      </c>
      <c r="O34" s="32"/>
      <c r="P34" s="33"/>
      <c r="Q34" s="33"/>
      <c r="R34" s="33"/>
      <c r="S34" s="37" t="str">
        <f aca="true">IF($A34="","",IF($Q34="","",IF($R34="",IF(TODAY()&gt;$Q34,"Trễ hạn","Chưa đến hạn"),IF($R34&lt;=$Q34,"Đúng hạn","Giao trễ"))))</f>
        <v/>
      </c>
      <c r="T34" s="38" t="str">
        <f aca="true">IF($A34="","",IF($Q34="",0,IF($R34="",IF(TODAY()&gt;$Q34,TODAY()-$Q34,0),MAX(0,$R34-$Q34))))</f>
        <v/>
      </c>
      <c r="U34" s="34"/>
      <c r="V34" s="34"/>
      <c r="W34" s="39" t="str">
        <f aca="false">IF($A34="","",IFERROR($V34/$U34,""))</f>
        <v/>
      </c>
      <c r="X34" s="34"/>
      <c r="Y34" s="37" t="str">
        <f aca="false">IF($A34="","",IF($U34="","",IF($W34&lt;='Tổng quan'!$C$8,"Đạt","Không đạt")))</f>
        <v/>
      </c>
      <c r="Z34" s="38" t="str">
        <f aca="false">IF($H34="","",IFERROR(INDEX('Nhà cung cấp'!$G$4:$G$203,MATCH($H34,'Nhà cung cấp'!$A$4:$A$203,0)),""))</f>
        <v/>
      </c>
      <c r="AA34" s="41" t="str">
        <f aca="false">IF($A34="","",IFERROR($R34+$Z34,""))</f>
        <v/>
      </c>
      <c r="AB34" s="32"/>
    </row>
    <row r="35" customFormat="false" ht="15" hidden="false" customHeight="false" outlineLevel="0" collapsed="false">
      <c r="A35" s="32"/>
      <c r="B35" s="33"/>
      <c r="C35" s="32"/>
      <c r="D35" s="37" t="str">
        <f aca="false">IF($C35="","",IFERROR(INDEX(PR!$D$4:$D$203,MATCH($C35,PR!$A$4:$A$203,0)),""))</f>
        <v/>
      </c>
      <c r="E35" s="37" t="str">
        <f aca="false">IF($C35="","",IFERROR(INDEX(PR!$E$4:$E$203,MATCH($C35,PR!$A$4:$A$203,0)),""))</f>
        <v/>
      </c>
      <c r="F35" s="37" t="str">
        <f aca="false">IF($C35="","",IFERROR(INDEX(PR!$G$4:$G$203,MATCH($C35,PR!$A$4:$A$203,0)),""))</f>
        <v/>
      </c>
      <c r="G35" s="37" t="str">
        <f aca="false">IF($C35="","",IFERROR(INDEX(PR!$F$4:$F$203,MATCH($C35,PR!$A$4:$A$203,0)),""))</f>
        <v/>
      </c>
      <c r="H35" s="32"/>
      <c r="I35" s="37" t="str">
        <f aca="false">IF($H35="","",IFERROR(INDEX('Nhà cung cấp'!$B$4:$B$203,MATCH($H35,'Nhà cung cấp'!$A$4:$A$203,0)),""))</f>
        <v/>
      </c>
      <c r="J35" s="34"/>
      <c r="K35" s="34"/>
      <c r="L35" s="38" t="str">
        <f aca="false">IF($A35="","",IFERROR($J35*$K35,""))</f>
        <v/>
      </c>
      <c r="M35" s="38" t="str">
        <f aca="false">IF($C35="","",IFERROR(INDEX(PR!$L$4:$L$203,MATCH($C35,PR!$A$4:$A$203,0)),""))</f>
        <v/>
      </c>
      <c r="N35" s="38" t="str">
        <f aca="false">IF($A35="","",IFERROR($M35-$L35,""))</f>
        <v/>
      </c>
      <c r="O35" s="32"/>
      <c r="P35" s="33"/>
      <c r="Q35" s="33"/>
      <c r="R35" s="33"/>
      <c r="S35" s="37" t="str">
        <f aca="true">IF($A35="","",IF($Q35="","",IF($R35="",IF(TODAY()&gt;$Q35,"Trễ hạn","Chưa đến hạn"),IF($R35&lt;=$Q35,"Đúng hạn","Giao trễ"))))</f>
        <v/>
      </c>
      <c r="T35" s="38" t="str">
        <f aca="true">IF($A35="","",IF($Q35="",0,IF($R35="",IF(TODAY()&gt;$Q35,TODAY()-$Q35,0),MAX(0,$R35-$Q35))))</f>
        <v/>
      </c>
      <c r="U35" s="34"/>
      <c r="V35" s="34"/>
      <c r="W35" s="39" t="str">
        <f aca="false">IF($A35="","",IFERROR($V35/$U35,""))</f>
        <v/>
      </c>
      <c r="X35" s="34"/>
      <c r="Y35" s="37" t="str">
        <f aca="false">IF($A35="","",IF($U35="","",IF($W35&lt;='Tổng quan'!$C$8,"Đạt","Không đạt")))</f>
        <v/>
      </c>
      <c r="Z35" s="38" t="str">
        <f aca="false">IF($H35="","",IFERROR(INDEX('Nhà cung cấp'!$G$4:$G$203,MATCH($H35,'Nhà cung cấp'!$A$4:$A$203,0)),""))</f>
        <v/>
      </c>
      <c r="AA35" s="41" t="str">
        <f aca="false">IF($A35="","",IFERROR($R35+$Z35,""))</f>
        <v/>
      </c>
      <c r="AB35" s="32"/>
    </row>
    <row r="36" customFormat="false" ht="15" hidden="false" customHeight="false" outlineLevel="0" collapsed="false">
      <c r="A36" s="32"/>
      <c r="B36" s="33"/>
      <c r="C36" s="32"/>
      <c r="D36" s="37" t="str">
        <f aca="false">IF($C36="","",IFERROR(INDEX(PR!$D$4:$D$203,MATCH($C36,PR!$A$4:$A$203,0)),""))</f>
        <v/>
      </c>
      <c r="E36" s="37" t="str">
        <f aca="false">IF($C36="","",IFERROR(INDEX(PR!$E$4:$E$203,MATCH($C36,PR!$A$4:$A$203,0)),""))</f>
        <v/>
      </c>
      <c r="F36" s="37" t="str">
        <f aca="false">IF($C36="","",IFERROR(INDEX(PR!$G$4:$G$203,MATCH($C36,PR!$A$4:$A$203,0)),""))</f>
        <v/>
      </c>
      <c r="G36" s="37" t="str">
        <f aca="false">IF($C36="","",IFERROR(INDEX(PR!$F$4:$F$203,MATCH($C36,PR!$A$4:$A$203,0)),""))</f>
        <v/>
      </c>
      <c r="H36" s="32"/>
      <c r="I36" s="37" t="str">
        <f aca="false">IF($H36="","",IFERROR(INDEX('Nhà cung cấp'!$B$4:$B$203,MATCH($H36,'Nhà cung cấp'!$A$4:$A$203,0)),""))</f>
        <v/>
      </c>
      <c r="J36" s="34"/>
      <c r="K36" s="34"/>
      <c r="L36" s="38" t="str">
        <f aca="false">IF($A36="","",IFERROR($J36*$K36,""))</f>
        <v/>
      </c>
      <c r="M36" s="38" t="str">
        <f aca="false">IF($C36="","",IFERROR(INDEX(PR!$L$4:$L$203,MATCH($C36,PR!$A$4:$A$203,0)),""))</f>
        <v/>
      </c>
      <c r="N36" s="38" t="str">
        <f aca="false">IF($A36="","",IFERROR($M36-$L36,""))</f>
        <v/>
      </c>
      <c r="O36" s="32"/>
      <c r="P36" s="33"/>
      <c r="Q36" s="33"/>
      <c r="R36" s="33"/>
      <c r="S36" s="37" t="str">
        <f aca="true">IF($A36="","",IF($Q36="","",IF($R36="",IF(TODAY()&gt;$Q36,"Trễ hạn","Chưa đến hạn"),IF($R36&lt;=$Q36,"Đúng hạn","Giao trễ"))))</f>
        <v/>
      </c>
      <c r="T36" s="38" t="str">
        <f aca="true">IF($A36="","",IF($Q36="",0,IF($R36="",IF(TODAY()&gt;$Q36,TODAY()-$Q36,0),MAX(0,$R36-$Q36))))</f>
        <v/>
      </c>
      <c r="U36" s="34"/>
      <c r="V36" s="34"/>
      <c r="W36" s="39" t="str">
        <f aca="false">IF($A36="","",IFERROR($V36/$U36,""))</f>
        <v/>
      </c>
      <c r="X36" s="34"/>
      <c r="Y36" s="37" t="str">
        <f aca="false">IF($A36="","",IF($U36="","",IF($W36&lt;='Tổng quan'!$C$8,"Đạt","Không đạt")))</f>
        <v/>
      </c>
      <c r="Z36" s="38" t="str">
        <f aca="false">IF($H36="","",IFERROR(INDEX('Nhà cung cấp'!$G$4:$G$203,MATCH($H36,'Nhà cung cấp'!$A$4:$A$203,0)),""))</f>
        <v/>
      </c>
      <c r="AA36" s="41" t="str">
        <f aca="false">IF($A36="","",IFERROR($R36+$Z36,""))</f>
        <v/>
      </c>
      <c r="AB36" s="32"/>
    </row>
    <row r="37" customFormat="false" ht="15" hidden="false" customHeight="false" outlineLevel="0" collapsed="false">
      <c r="A37" s="32"/>
      <c r="B37" s="33"/>
      <c r="C37" s="32"/>
      <c r="D37" s="37" t="str">
        <f aca="false">IF($C37="","",IFERROR(INDEX(PR!$D$4:$D$203,MATCH($C37,PR!$A$4:$A$203,0)),""))</f>
        <v/>
      </c>
      <c r="E37" s="37" t="str">
        <f aca="false">IF($C37="","",IFERROR(INDEX(PR!$E$4:$E$203,MATCH($C37,PR!$A$4:$A$203,0)),""))</f>
        <v/>
      </c>
      <c r="F37" s="37" t="str">
        <f aca="false">IF($C37="","",IFERROR(INDEX(PR!$G$4:$G$203,MATCH($C37,PR!$A$4:$A$203,0)),""))</f>
        <v/>
      </c>
      <c r="G37" s="37" t="str">
        <f aca="false">IF($C37="","",IFERROR(INDEX(PR!$F$4:$F$203,MATCH($C37,PR!$A$4:$A$203,0)),""))</f>
        <v/>
      </c>
      <c r="H37" s="32"/>
      <c r="I37" s="37" t="str">
        <f aca="false">IF($H37="","",IFERROR(INDEX('Nhà cung cấp'!$B$4:$B$203,MATCH($H37,'Nhà cung cấp'!$A$4:$A$203,0)),""))</f>
        <v/>
      </c>
      <c r="J37" s="34"/>
      <c r="K37" s="34"/>
      <c r="L37" s="38" t="str">
        <f aca="false">IF($A37="","",IFERROR($J37*$K37,""))</f>
        <v/>
      </c>
      <c r="M37" s="38" t="str">
        <f aca="false">IF($C37="","",IFERROR(INDEX(PR!$L$4:$L$203,MATCH($C37,PR!$A$4:$A$203,0)),""))</f>
        <v/>
      </c>
      <c r="N37" s="38" t="str">
        <f aca="false">IF($A37="","",IFERROR($M37-$L37,""))</f>
        <v/>
      </c>
      <c r="O37" s="32"/>
      <c r="P37" s="33"/>
      <c r="Q37" s="33"/>
      <c r="R37" s="33"/>
      <c r="S37" s="37" t="str">
        <f aca="true">IF($A37="","",IF($Q37="","",IF($R37="",IF(TODAY()&gt;$Q37,"Trễ hạn","Chưa đến hạn"),IF($R37&lt;=$Q37,"Đúng hạn","Giao trễ"))))</f>
        <v/>
      </c>
      <c r="T37" s="38" t="str">
        <f aca="true">IF($A37="","",IF($Q37="",0,IF($R37="",IF(TODAY()&gt;$Q37,TODAY()-$Q37,0),MAX(0,$R37-$Q37))))</f>
        <v/>
      </c>
      <c r="U37" s="34"/>
      <c r="V37" s="34"/>
      <c r="W37" s="39" t="str">
        <f aca="false">IF($A37="","",IFERROR($V37/$U37,""))</f>
        <v/>
      </c>
      <c r="X37" s="34"/>
      <c r="Y37" s="37" t="str">
        <f aca="false">IF($A37="","",IF($U37="","",IF($W37&lt;='Tổng quan'!$C$8,"Đạt","Không đạt")))</f>
        <v/>
      </c>
      <c r="Z37" s="38" t="str">
        <f aca="false">IF($H37="","",IFERROR(INDEX('Nhà cung cấp'!$G$4:$G$203,MATCH($H37,'Nhà cung cấp'!$A$4:$A$203,0)),""))</f>
        <v/>
      </c>
      <c r="AA37" s="41" t="str">
        <f aca="false">IF($A37="","",IFERROR($R37+$Z37,""))</f>
        <v/>
      </c>
      <c r="AB37" s="32"/>
    </row>
    <row r="38" customFormat="false" ht="15" hidden="false" customHeight="false" outlineLevel="0" collapsed="false">
      <c r="A38" s="32"/>
      <c r="B38" s="33"/>
      <c r="C38" s="32"/>
      <c r="D38" s="37" t="str">
        <f aca="false">IF($C38="","",IFERROR(INDEX(PR!$D$4:$D$203,MATCH($C38,PR!$A$4:$A$203,0)),""))</f>
        <v/>
      </c>
      <c r="E38" s="37" t="str">
        <f aca="false">IF($C38="","",IFERROR(INDEX(PR!$E$4:$E$203,MATCH($C38,PR!$A$4:$A$203,0)),""))</f>
        <v/>
      </c>
      <c r="F38" s="37" t="str">
        <f aca="false">IF($C38="","",IFERROR(INDEX(PR!$G$4:$G$203,MATCH($C38,PR!$A$4:$A$203,0)),""))</f>
        <v/>
      </c>
      <c r="G38" s="37" t="str">
        <f aca="false">IF($C38="","",IFERROR(INDEX(PR!$F$4:$F$203,MATCH($C38,PR!$A$4:$A$203,0)),""))</f>
        <v/>
      </c>
      <c r="H38" s="32"/>
      <c r="I38" s="37" t="str">
        <f aca="false">IF($H38="","",IFERROR(INDEX('Nhà cung cấp'!$B$4:$B$203,MATCH($H38,'Nhà cung cấp'!$A$4:$A$203,0)),""))</f>
        <v/>
      </c>
      <c r="J38" s="34"/>
      <c r="K38" s="34"/>
      <c r="L38" s="38" t="str">
        <f aca="false">IF($A38="","",IFERROR($J38*$K38,""))</f>
        <v/>
      </c>
      <c r="M38" s="38" t="str">
        <f aca="false">IF($C38="","",IFERROR(INDEX(PR!$L$4:$L$203,MATCH($C38,PR!$A$4:$A$203,0)),""))</f>
        <v/>
      </c>
      <c r="N38" s="38" t="str">
        <f aca="false">IF($A38="","",IFERROR($M38-$L38,""))</f>
        <v/>
      </c>
      <c r="O38" s="32"/>
      <c r="P38" s="33"/>
      <c r="Q38" s="33"/>
      <c r="R38" s="33"/>
      <c r="S38" s="37" t="str">
        <f aca="true">IF($A38="","",IF($Q38="","",IF($R38="",IF(TODAY()&gt;$Q38,"Trễ hạn","Chưa đến hạn"),IF($R38&lt;=$Q38,"Đúng hạn","Giao trễ"))))</f>
        <v/>
      </c>
      <c r="T38" s="38" t="str">
        <f aca="true">IF($A38="","",IF($Q38="",0,IF($R38="",IF(TODAY()&gt;$Q38,TODAY()-$Q38,0),MAX(0,$R38-$Q38))))</f>
        <v/>
      </c>
      <c r="U38" s="34"/>
      <c r="V38" s="34"/>
      <c r="W38" s="39" t="str">
        <f aca="false">IF($A38="","",IFERROR($V38/$U38,""))</f>
        <v/>
      </c>
      <c r="X38" s="34"/>
      <c r="Y38" s="37" t="str">
        <f aca="false">IF($A38="","",IF($U38="","",IF($W38&lt;='Tổng quan'!$C$8,"Đạt","Không đạt")))</f>
        <v/>
      </c>
      <c r="Z38" s="38" t="str">
        <f aca="false">IF($H38="","",IFERROR(INDEX('Nhà cung cấp'!$G$4:$G$203,MATCH($H38,'Nhà cung cấp'!$A$4:$A$203,0)),""))</f>
        <v/>
      </c>
      <c r="AA38" s="41" t="str">
        <f aca="false">IF($A38="","",IFERROR($R38+$Z38,""))</f>
        <v/>
      </c>
      <c r="AB38" s="32"/>
    </row>
    <row r="39" customFormat="false" ht="15" hidden="false" customHeight="false" outlineLevel="0" collapsed="false">
      <c r="A39" s="32"/>
      <c r="B39" s="33"/>
      <c r="C39" s="32"/>
      <c r="D39" s="37" t="str">
        <f aca="false">IF($C39="","",IFERROR(INDEX(PR!$D$4:$D$203,MATCH($C39,PR!$A$4:$A$203,0)),""))</f>
        <v/>
      </c>
      <c r="E39" s="37" t="str">
        <f aca="false">IF($C39="","",IFERROR(INDEX(PR!$E$4:$E$203,MATCH($C39,PR!$A$4:$A$203,0)),""))</f>
        <v/>
      </c>
      <c r="F39" s="37" t="str">
        <f aca="false">IF($C39="","",IFERROR(INDEX(PR!$G$4:$G$203,MATCH($C39,PR!$A$4:$A$203,0)),""))</f>
        <v/>
      </c>
      <c r="G39" s="37" t="str">
        <f aca="false">IF($C39="","",IFERROR(INDEX(PR!$F$4:$F$203,MATCH($C39,PR!$A$4:$A$203,0)),""))</f>
        <v/>
      </c>
      <c r="H39" s="32"/>
      <c r="I39" s="37" t="str">
        <f aca="false">IF($H39="","",IFERROR(INDEX('Nhà cung cấp'!$B$4:$B$203,MATCH($H39,'Nhà cung cấp'!$A$4:$A$203,0)),""))</f>
        <v/>
      </c>
      <c r="J39" s="34"/>
      <c r="K39" s="34"/>
      <c r="L39" s="38" t="str">
        <f aca="false">IF($A39="","",IFERROR($J39*$K39,""))</f>
        <v/>
      </c>
      <c r="M39" s="38" t="str">
        <f aca="false">IF($C39="","",IFERROR(INDEX(PR!$L$4:$L$203,MATCH($C39,PR!$A$4:$A$203,0)),""))</f>
        <v/>
      </c>
      <c r="N39" s="38" t="str">
        <f aca="false">IF($A39="","",IFERROR($M39-$L39,""))</f>
        <v/>
      </c>
      <c r="O39" s="32"/>
      <c r="P39" s="33"/>
      <c r="Q39" s="33"/>
      <c r="R39" s="33"/>
      <c r="S39" s="37" t="str">
        <f aca="true">IF($A39="","",IF($Q39="","",IF($R39="",IF(TODAY()&gt;$Q39,"Trễ hạn","Chưa đến hạn"),IF($R39&lt;=$Q39,"Đúng hạn","Giao trễ"))))</f>
        <v/>
      </c>
      <c r="T39" s="38" t="str">
        <f aca="true">IF($A39="","",IF($Q39="",0,IF($R39="",IF(TODAY()&gt;$Q39,TODAY()-$Q39,0),MAX(0,$R39-$Q39))))</f>
        <v/>
      </c>
      <c r="U39" s="34"/>
      <c r="V39" s="34"/>
      <c r="W39" s="39" t="str">
        <f aca="false">IF($A39="","",IFERROR($V39/$U39,""))</f>
        <v/>
      </c>
      <c r="X39" s="34"/>
      <c r="Y39" s="37" t="str">
        <f aca="false">IF($A39="","",IF($U39="","",IF($W39&lt;='Tổng quan'!$C$8,"Đạt","Không đạt")))</f>
        <v/>
      </c>
      <c r="Z39" s="38" t="str">
        <f aca="false">IF($H39="","",IFERROR(INDEX('Nhà cung cấp'!$G$4:$G$203,MATCH($H39,'Nhà cung cấp'!$A$4:$A$203,0)),""))</f>
        <v/>
      </c>
      <c r="AA39" s="41" t="str">
        <f aca="false">IF($A39="","",IFERROR($R39+$Z39,""))</f>
        <v/>
      </c>
      <c r="AB39" s="32"/>
    </row>
    <row r="40" customFormat="false" ht="15" hidden="false" customHeight="false" outlineLevel="0" collapsed="false">
      <c r="A40" s="32"/>
      <c r="B40" s="33"/>
      <c r="C40" s="32"/>
      <c r="D40" s="37" t="str">
        <f aca="false">IF($C40="","",IFERROR(INDEX(PR!$D$4:$D$203,MATCH($C40,PR!$A$4:$A$203,0)),""))</f>
        <v/>
      </c>
      <c r="E40" s="37" t="str">
        <f aca="false">IF($C40="","",IFERROR(INDEX(PR!$E$4:$E$203,MATCH($C40,PR!$A$4:$A$203,0)),""))</f>
        <v/>
      </c>
      <c r="F40" s="37" t="str">
        <f aca="false">IF($C40="","",IFERROR(INDEX(PR!$G$4:$G$203,MATCH($C40,PR!$A$4:$A$203,0)),""))</f>
        <v/>
      </c>
      <c r="G40" s="37" t="str">
        <f aca="false">IF($C40="","",IFERROR(INDEX(PR!$F$4:$F$203,MATCH($C40,PR!$A$4:$A$203,0)),""))</f>
        <v/>
      </c>
      <c r="H40" s="32"/>
      <c r="I40" s="37" t="str">
        <f aca="false">IF($H40="","",IFERROR(INDEX('Nhà cung cấp'!$B$4:$B$203,MATCH($H40,'Nhà cung cấp'!$A$4:$A$203,0)),""))</f>
        <v/>
      </c>
      <c r="J40" s="34"/>
      <c r="K40" s="34"/>
      <c r="L40" s="38" t="str">
        <f aca="false">IF($A40="","",IFERROR($J40*$K40,""))</f>
        <v/>
      </c>
      <c r="M40" s="38" t="str">
        <f aca="false">IF($C40="","",IFERROR(INDEX(PR!$L$4:$L$203,MATCH($C40,PR!$A$4:$A$203,0)),""))</f>
        <v/>
      </c>
      <c r="N40" s="38" t="str">
        <f aca="false">IF($A40="","",IFERROR($M40-$L40,""))</f>
        <v/>
      </c>
      <c r="O40" s="32"/>
      <c r="P40" s="33"/>
      <c r="Q40" s="33"/>
      <c r="R40" s="33"/>
      <c r="S40" s="37" t="str">
        <f aca="true">IF($A40="","",IF($Q40="","",IF($R40="",IF(TODAY()&gt;$Q40,"Trễ hạn","Chưa đến hạn"),IF($R40&lt;=$Q40,"Đúng hạn","Giao trễ"))))</f>
        <v/>
      </c>
      <c r="T40" s="38" t="str">
        <f aca="true">IF($A40="","",IF($Q40="",0,IF($R40="",IF(TODAY()&gt;$Q40,TODAY()-$Q40,0),MAX(0,$R40-$Q40))))</f>
        <v/>
      </c>
      <c r="U40" s="34"/>
      <c r="V40" s="34"/>
      <c r="W40" s="39" t="str">
        <f aca="false">IF($A40="","",IFERROR($V40/$U40,""))</f>
        <v/>
      </c>
      <c r="X40" s="34"/>
      <c r="Y40" s="37" t="str">
        <f aca="false">IF($A40="","",IF($U40="","",IF($W40&lt;='Tổng quan'!$C$8,"Đạt","Không đạt")))</f>
        <v/>
      </c>
      <c r="Z40" s="38" t="str">
        <f aca="false">IF($H40="","",IFERROR(INDEX('Nhà cung cấp'!$G$4:$G$203,MATCH($H40,'Nhà cung cấp'!$A$4:$A$203,0)),""))</f>
        <v/>
      </c>
      <c r="AA40" s="41" t="str">
        <f aca="false">IF($A40="","",IFERROR($R40+$Z40,""))</f>
        <v/>
      </c>
      <c r="AB40" s="32"/>
    </row>
    <row r="41" customFormat="false" ht="15" hidden="false" customHeight="false" outlineLevel="0" collapsed="false">
      <c r="A41" s="32"/>
      <c r="B41" s="33"/>
      <c r="C41" s="32"/>
      <c r="D41" s="37" t="str">
        <f aca="false">IF($C41="","",IFERROR(INDEX(PR!$D$4:$D$203,MATCH($C41,PR!$A$4:$A$203,0)),""))</f>
        <v/>
      </c>
      <c r="E41" s="37" t="str">
        <f aca="false">IF($C41="","",IFERROR(INDEX(PR!$E$4:$E$203,MATCH($C41,PR!$A$4:$A$203,0)),""))</f>
        <v/>
      </c>
      <c r="F41" s="37" t="str">
        <f aca="false">IF($C41="","",IFERROR(INDEX(PR!$G$4:$G$203,MATCH($C41,PR!$A$4:$A$203,0)),""))</f>
        <v/>
      </c>
      <c r="G41" s="37" t="str">
        <f aca="false">IF($C41="","",IFERROR(INDEX(PR!$F$4:$F$203,MATCH($C41,PR!$A$4:$A$203,0)),""))</f>
        <v/>
      </c>
      <c r="H41" s="32"/>
      <c r="I41" s="37" t="str">
        <f aca="false">IF($H41="","",IFERROR(INDEX('Nhà cung cấp'!$B$4:$B$203,MATCH($H41,'Nhà cung cấp'!$A$4:$A$203,0)),""))</f>
        <v/>
      </c>
      <c r="J41" s="34"/>
      <c r="K41" s="34"/>
      <c r="L41" s="38" t="str">
        <f aca="false">IF($A41="","",IFERROR($J41*$K41,""))</f>
        <v/>
      </c>
      <c r="M41" s="38" t="str">
        <f aca="false">IF($C41="","",IFERROR(INDEX(PR!$L$4:$L$203,MATCH($C41,PR!$A$4:$A$203,0)),""))</f>
        <v/>
      </c>
      <c r="N41" s="38" t="str">
        <f aca="false">IF($A41="","",IFERROR($M41-$L41,""))</f>
        <v/>
      </c>
      <c r="O41" s="32"/>
      <c r="P41" s="33"/>
      <c r="Q41" s="33"/>
      <c r="R41" s="33"/>
      <c r="S41" s="37" t="str">
        <f aca="true">IF($A41="","",IF($Q41="","",IF($R41="",IF(TODAY()&gt;$Q41,"Trễ hạn","Chưa đến hạn"),IF($R41&lt;=$Q41,"Đúng hạn","Giao trễ"))))</f>
        <v/>
      </c>
      <c r="T41" s="38" t="str">
        <f aca="true">IF($A41="","",IF($Q41="",0,IF($R41="",IF(TODAY()&gt;$Q41,TODAY()-$Q41,0),MAX(0,$R41-$Q41))))</f>
        <v/>
      </c>
      <c r="U41" s="34"/>
      <c r="V41" s="34"/>
      <c r="W41" s="39" t="str">
        <f aca="false">IF($A41="","",IFERROR($V41/$U41,""))</f>
        <v/>
      </c>
      <c r="X41" s="34"/>
      <c r="Y41" s="37" t="str">
        <f aca="false">IF($A41="","",IF($U41="","",IF($W41&lt;='Tổng quan'!$C$8,"Đạt","Không đạt")))</f>
        <v/>
      </c>
      <c r="Z41" s="38" t="str">
        <f aca="false">IF($H41="","",IFERROR(INDEX('Nhà cung cấp'!$G$4:$G$203,MATCH($H41,'Nhà cung cấp'!$A$4:$A$203,0)),""))</f>
        <v/>
      </c>
      <c r="AA41" s="41" t="str">
        <f aca="false">IF($A41="","",IFERROR($R41+$Z41,""))</f>
        <v/>
      </c>
      <c r="AB41" s="32"/>
    </row>
    <row r="42" customFormat="false" ht="15" hidden="false" customHeight="false" outlineLevel="0" collapsed="false">
      <c r="A42" s="32"/>
      <c r="B42" s="33"/>
      <c r="C42" s="32"/>
      <c r="D42" s="37" t="str">
        <f aca="false">IF($C42="","",IFERROR(INDEX(PR!$D$4:$D$203,MATCH($C42,PR!$A$4:$A$203,0)),""))</f>
        <v/>
      </c>
      <c r="E42" s="37" t="str">
        <f aca="false">IF($C42="","",IFERROR(INDEX(PR!$E$4:$E$203,MATCH($C42,PR!$A$4:$A$203,0)),""))</f>
        <v/>
      </c>
      <c r="F42" s="37" t="str">
        <f aca="false">IF($C42="","",IFERROR(INDEX(PR!$G$4:$G$203,MATCH($C42,PR!$A$4:$A$203,0)),""))</f>
        <v/>
      </c>
      <c r="G42" s="37" t="str">
        <f aca="false">IF($C42="","",IFERROR(INDEX(PR!$F$4:$F$203,MATCH($C42,PR!$A$4:$A$203,0)),""))</f>
        <v/>
      </c>
      <c r="H42" s="32"/>
      <c r="I42" s="37" t="str">
        <f aca="false">IF($H42="","",IFERROR(INDEX('Nhà cung cấp'!$B$4:$B$203,MATCH($H42,'Nhà cung cấp'!$A$4:$A$203,0)),""))</f>
        <v/>
      </c>
      <c r="J42" s="34"/>
      <c r="K42" s="34"/>
      <c r="L42" s="38" t="str">
        <f aca="false">IF($A42="","",IFERROR($J42*$K42,""))</f>
        <v/>
      </c>
      <c r="M42" s="38" t="str">
        <f aca="false">IF($C42="","",IFERROR(INDEX(PR!$L$4:$L$203,MATCH($C42,PR!$A$4:$A$203,0)),""))</f>
        <v/>
      </c>
      <c r="N42" s="38" t="str">
        <f aca="false">IF($A42="","",IFERROR($M42-$L42,""))</f>
        <v/>
      </c>
      <c r="O42" s="32"/>
      <c r="P42" s="33"/>
      <c r="Q42" s="33"/>
      <c r="R42" s="33"/>
      <c r="S42" s="37" t="str">
        <f aca="true">IF($A42="","",IF($Q42="","",IF($R42="",IF(TODAY()&gt;$Q42,"Trễ hạn","Chưa đến hạn"),IF($R42&lt;=$Q42,"Đúng hạn","Giao trễ"))))</f>
        <v/>
      </c>
      <c r="T42" s="38" t="str">
        <f aca="true">IF($A42="","",IF($Q42="",0,IF($R42="",IF(TODAY()&gt;$Q42,TODAY()-$Q42,0),MAX(0,$R42-$Q42))))</f>
        <v/>
      </c>
      <c r="U42" s="34"/>
      <c r="V42" s="34"/>
      <c r="W42" s="39" t="str">
        <f aca="false">IF($A42="","",IFERROR($V42/$U42,""))</f>
        <v/>
      </c>
      <c r="X42" s="34"/>
      <c r="Y42" s="37" t="str">
        <f aca="false">IF($A42="","",IF($U42="","",IF($W42&lt;='Tổng quan'!$C$8,"Đạt","Không đạt")))</f>
        <v/>
      </c>
      <c r="Z42" s="38" t="str">
        <f aca="false">IF($H42="","",IFERROR(INDEX('Nhà cung cấp'!$G$4:$G$203,MATCH($H42,'Nhà cung cấp'!$A$4:$A$203,0)),""))</f>
        <v/>
      </c>
      <c r="AA42" s="41" t="str">
        <f aca="false">IF($A42="","",IFERROR($R42+$Z42,""))</f>
        <v/>
      </c>
      <c r="AB42" s="32"/>
    </row>
    <row r="43" customFormat="false" ht="15" hidden="false" customHeight="false" outlineLevel="0" collapsed="false">
      <c r="A43" s="32"/>
      <c r="B43" s="33"/>
      <c r="C43" s="32"/>
      <c r="D43" s="37" t="str">
        <f aca="false">IF($C43="","",IFERROR(INDEX(PR!$D$4:$D$203,MATCH($C43,PR!$A$4:$A$203,0)),""))</f>
        <v/>
      </c>
      <c r="E43" s="37" t="str">
        <f aca="false">IF($C43="","",IFERROR(INDEX(PR!$E$4:$E$203,MATCH($C43,PR!$A$4:$A$203,0)),""))</f>
        <v/>
      </c>
      <c r="F43" s="37" t="str">
        <f aca="false">IF($C43="","",IFERROR(INDEX(PR!$G$4:$G$203,MATCH($C43,PR!$A$4:$A$203,0)),""))</f>
        <v/>
      </c>
      <c r="G43" s="37" t="str">
        <f aca="false">IF($C43="","",IFERROR(INDEX(PR!$F$4:$F$203,MATCH($C43,PR!$A$4:$A$203,0)),""))</f>
        <v/>
      </c>
      <c r="H43" s="32"/>
      <c r="I43" s="37" t="str">
        <f aca="false">IF($H43="","",IFERROR(INDEX('Nhà cung cấp'!$B$4:$B$203,MATCH($H43,'Nhà cung cấp'!$A$4:$A$203,0)),""))</f>
        <v/>
      </c>
      <c r="J43" s="34"/>
      <c r="K43" s="34"/>
      <c r="L43" s="38" t="str">
        <f aca="false">IF($A43="","",IFERROR($J43*$K43,""))</f>
        <v/>
      </c>
      <c r="M43" s="38" t="str">
        <f aca="false">IF($C43="","",IFERROR(INDEX(PR!$L$4:$L$203,MATCH($C43,PR!$A$4:$A$203,0)),""))</f>
        <v/>
      </c>
      <c r="N43" s="38" t="str">
        <f aca="false">IF($A43="","",IFERROR($M43-$L43,""))</f>
        <v/>
      </c>
      <c r="O43" s="32"/>
      <c r="P43" s="33"/>
      <c r="Q43" s="33"/>
      <c r="R43" s="33"/>
      <c r="S43" s="37" t="str">
        <f aca="true">IF($A43="","",IF($Q43="","",IF($R43="",IF(TODAY()&gt;$Q43,"Trễ hạn","Chưa đến hạn"),IF($R43&lt;=$Q43,"Đúng hạn","Giao trễ"))))</f>
        <v/>
      </c>
      <c r="T43" s="38" t="str">
        <f aca="true">IF($A43="","",IF($Q43="",0,IF($R43="",IF(TODAY()&gt;$Q43,TODAY()-$Q43,0),MAX(0,$R43-$Q43))))</f>
        <v/>
      </c>
      <c r="U43" s="34"/>
      <c r="V43" s="34"/>
      <c r="W43" s="39" t="str">
        <f aca="false">IF($A43="","",IFERROR($V43/$U43,""))</f>
        <v/>
      </c>
      <c r="X43" s="34"/>
      <c r="Y43" s="37" t="str">
        <f aca="false">IF($A43="","",IF($U43="","",IF($W43&lt;='Tổng quan'!$C$8,"Đạt","Không đạt")))</f>
        <v/>
      </c>
      <c r="Z43" s="38" t="str">
        <f aca="false">IF($H43="","",IFERROR(INDEX('Nhà cung cấp'!$G$4:$G$203,MATCH($H43,'Nhà cung cấp'!$A$4:$A$203,0)),""))</f>
        <v/>
      </c>
      <c r="AA43" s="41" t="str">
        <f aca="false">IF($A43="","",IFERROR($R43+$Z43,""))</f>
        <v/>
      </c>
      <c r="AB43" s="32"/>
    </row>
    <row r="44" customFormat="false" ht="15" hidden="false" customHeight="false" outlineLevel="0" collapsed="false">
      <c r="A44" s="32"/>
      <c r="B44" s="33"/>
      <c r="C44" s="32"/>
      <c r="D44" s="37" t="str">
        <f aca="false">IF($C44="","",IFERROR(INDEX(PR!$D$4:$D$203,MATCH($C44,PR!$A$4:$A$203,0)),""))</f>
        <v/>
      </c>
      <c r="E44" s="37" t="str">
        <f aca="false">IF($C44="","",IFERROR(INDEX(PR!$E$4:$E$203,MATCH($C44,PR!$A$4:$A$203,0)),""))</f>
        <v/>
      </c>
      <c r="F44" s="37" t="str">
        <f aca="false">IF($C44="","",IFERROR(INDEX(PR!$G$4:$G$203,MATCH($C44,PR!$A$4:$A$203,0)),""))</f>
        <v/>
      </c>
      <c r="G44" s="37" t="str">
        <f aca="false">IF($C44="","",IFERROR(INDEX(PR!$F$4:$F$203,MATCH($C44,PR!$A$4:$A$203,0)),""))</f>
        <v/>
      </c>
      <c r="H44" s="32"/>
      <c r="I44" s="37" t="str">
        <f aca="false">IF($H44="","",IFERROR(INDEX('Nhà cung cấp'!$B$4:$B$203,MATCH($H44,'Nhà cung cấp'!$A$4:$A$203,0)),""))</f>
        <v/>
      </c>
      <c r="J44" s="34"/>
      <c r="K44" s="34"/>
      <c r="L44" s="38" t="str">
        <f aca="false">IF($A44="","",IFERROR($J44*$K44,""))</f>
        <v/>
      </c>
      <c r="M44" s="38" t="str">
        <f aca="false">IF($C44="","",IFERROR(INDEX(PR!$L$4:$L$203,MATCH($C44,PR!$A$4:$A$203,0)),""))</f>
        <v/>
      </c>
      <c r="N44" s="38" t="str">
        <f aca="false">IF($A44="","",IFERROR($M44-$L44,""))</f>
        <v/>
      </c>
      <c r="O44" s="32"/>
      <c r="P44" s="33"/>
      <c r="Q44" s="33"/>
      <c r="R44" s="33"/>
      <c r="S44" s="37" t="str">
        <f aca="true">IF($A44="","",IF($Q44="","",IF($R44="",IF(TODAY()&gt;$Q44,"Trễ hạn","Chưa đến hạn"),IF($R44&lt;=$Q44,"Đúng hạn","Giao trễ"))))</f>
        <v/>
      </c>
      <c r="T44" s="38" t="str">
        <f aca="true">IF($A44="","",IF($Q44="",0,IF($R44="",IF(TODAY()&gt;$Q44,TODAY()-$Q44,0),MAX(0,$R44-$Q44))))</f>
        <v/>
      </c>
      <c r="U44" s="34"/>
      <c r="V44" s="34"/>
      <c r="W44" s="39" t="str">
        <f aca="false">IF($A44="","",IFERROR($V44/$U44,""))</f>
        <v/>
      </c>
      <c r="X44" s="34"/>
      <c r="Y44" s="37" t="str">
        <f aca="false">IF($A44="","",IF($U44="","",IF($W44&lt;='Tổng quan'!$C$8,"Đạt","Không đạt")))</f>
        <v/>
      </c>
      <c r="Z44" s="38" t="str">
        <f aca="false">IF($H44="","",IFERROR(INDEX('Nhà cung cấp'!$G$4:$G$203,MATCH($H44,'Nhà cung cấp'!$A$4:$A$203,0)),""))</f>
        <v/>
      </c>
      <c r="AA44" s="41" t="str">
        <f aca="false">IF($A44="","",IFERROR($R44+$Z44,""))</f>
        <v/>
      </c>
      <c r="AB44" s="32"/>
    </row>
    <row r="45" customFormat="false" ht="15" hidden="false" customHeight="false" outlineLevel="0" collapsed="false">
      <c r="A45" s="32"/>
      <c r="B45" s="33"/>
      <c r="C45" s="32"/>
      <c r="D45" s="37" t="str">
        <f aca="false">IF($C45="","",IFERROR(INDEX(PR!$D$4:$D$203,MATCH($C45,PR!$A$4:$A$203,0)),""))</f>
        <v/>
      </c>
      <c r="E45" s="37" t="str">
        <f aca="false">IF($C45="","",IFERROR(INDEX(PR!$E$4:$E$203,MATCH($C45,PR!$A$4:$A$203,0)),""))</f>
        <v/>
      </c>
      <c r="F45" s="37" t="str">
        <f aca="false">IF($C45="","",IFERROR(INDEX(PR!$G$4:$G$203,MATCH($C45,PR!$A$4:$A$203,0)),""))</f>
        <v/>
      </c>
      <c r="G45" s="37" t="str">
        <f aca="false">IF($C45="","",IFERROR(INDEX(PR!$F$4:$F$203,MATCH($C45,PR!$A$4:$A$203,0)),""))</f>
        <v/>
      </c>
      <c r="H45" s="32"/>
      <c r="I45" s="37" t="str">
        <f aca="false">IF($H45="","",IFERROR(INDEX('Nhà cung cấp'!$B$4:$B$203,MATCH($H45,'Nhà cung cấp'!$A$4:$A$203,0)),""))</f>
        <v/>
      </c>
      <c r="J45" s="34"/>
      <c r="K45" s="34"/>
      <c r="L45" s="38" t="str">
        <f aca="false">IF($A45="","",IFERROR($J45*$K45,""))</f>
        <v/>
      </c>
      <c r="M45" s="38" t="str">
        <f aca="false">IF($C45="","",IFERROR(INDEX(PR!$L$4:$L$203,MATCH($C45,PR!$A$4:$A$203,0)),""))</f>
        <v/>
      </c>
      <c r="N45" s="38" t="str">
        <f aca="false">IF($A45="","",IFERROR($M45-$L45,""))</f>
        <v/>
      </c>
      <c r="O45" s="32"/>
      <c r="P45" s="33"/>
      <c r="Q45" s="33"/>
      <c r="R45" s="33"/>
      <c r="S45" s="37" t="str">
        <f aca="true">IF($A45="","",IF($Q45="","",IF($R45="",IF(TODAY()&gt;$Q45,"Trễ hạn","Chưa đến hạn"),IF($R45&lt;=$Q45,"Đúng hạn","Giao trễ"))))</f>
        <v/>
      </c>
      <c r="T45" s="38" t="str">
        <f aca="true">IF($A45="","",IF($Q45="",0,IF($R45="",IF(TODAY()&gt;$Q45,TODAY()-$Q45,0),MAX(0,$R45-$Q45))))</f>
        <v/>
      </c>
      <c r="U45" s="34"/>
      <c r="V45" s="34"/>
      <c r="W45" s="39" t="str">
        <f aca="false">IF($A45="","",IFERROR($V45/$U45,""))</f>
        <v/>
      </c>
      <c r="X45" s="34"/>
      <c r="Y45" s="37" t="str">
        <f aca="false">IF($A45="","",IF($U45="","",IF($W45&lt;='Tổng quan'!$C$8,"Đạt","Không đạt")))</f>
        <v/>
      </c>
      <c r="Z45" s="38" t="str">
        <f aca="false">IF($H45="","",IFERROR(INDEX('Nhà cung cấp'!$G$4:$G$203,MATCH($H45,'Nhà cung cấp'!$A$4:$A$203,0)),""))</f>
        <v/>
      </c>
      <c r="AA45" s="41" t="str">
        <f aca="false">IF($A45="","",IFERROR($R45+$Z45,""))</f>
        <v/>
      </c>
      <c r="AB45" s="32"/>
    </row>
    <row r="46" customFormat="false" ht="15" hidden="false" customHeight="false" outlineLevel="0" collapsed="false">
      <c r="A46" s="32"/>
      <c r="B46" s="33"/>
      <c r="C46" s="32"/>
      <c r="D46" s="37" t="str">
        <f aca="false">IF($C46="","",IFERROR(INDEX(PR!$D$4:$D$203,MATCH($C46,PR!$A$4:$A$203,0)),""))</f>
        <v/>
      </c>
      <c r="E46" s="37" t="str">
        <f aca="false">IF($C46="","",IFERROR(INDEX(PR!$E$4:$E$203,MATCH($C46,PR!$A$4:$A$203,0)),""))</f>
        <v/>
      </c>
      <c r="F46" s="37" t="str">
        <f aca="false">IF($C46="","",IFERROR(INDEX(PR!$G$4:$G$203,MATCH($C46,PR!$A$4:$A$203,0)),""))</f>
        <v/>
      </c>
      <c r="G46" s="37" t="str">
        <f aca="false">IF($C46="","",IFERROR(INDEX(PR!$F$4:$F$203,MATCH($C46,PR!$A$4:$A$203,0)),""))</f>
        <v/>
      </c>
      <c r="H46" s="32"/>
      <c r="I46" s="37" t="str">
        <f aca="false">IF($H46="","",IFERROR(INDEX('Nhà cung cấp'!$B$4:$B$203,MATCH($H46,'Nhà cung cấp'!$A$4:$A$203,0)),""))</f>
        <v/>
      </c>
      <c r="J46" s="34"/>
      <c r="K46" s="34"/>
      <c r="L46" s="38" t="str">
        <f aca="false">IF($A46="","",IFERROR($J46*$K46,""))</f>
        <v/>
      </c>
      <c r="M46" s="38" t="str">
        <f aca="false">IF($C46="","",IFERROR(INDEX(PR!$L$4:$L$203,MATCH($C46,PR!$A$4:$A$203,0)),""))</f>
        <v/>
      </c>
      <c r="N46" s="38" t="str">
        <f aca="false">IF($A46="","",IFERROR($M46-$L46,""))</f>
        <v/>
      </c>
      <c r="O46" s="32"/>
      <c r="P46" s="33"/>
      <c r="Q46" s="33"/>
      <c r="R46" s="33"/>
      <c r="S46" s="37" t="str">
        <f aca="true">IF($A46="","",IF($Q46="","",IF($R46="",IF(TODAY()&gt;$Q46,"Trễ hạn","Chưa đến hạn"),IF($R46&lt;=$Q46,"Đúng hạn","Giao trễ"))))</f>
        <v/>
      </c>
      <c r="T46" s="38" t="str">
        <f aca="true">IF($A46="","",IF($Q46="",0,IF($R46="",IF(TODAY()&gt;$Q46,TODAY()-$Q46,0),MAX(0,$R46-$Q46))))</f>
        <v/>
      </c>
      <c r="U46" s="34"/>
      <c r="V46" s="34"/>
      <c r="W46" s="39" t="str">
        <f aca="false">IF($A46="","",IFERROR($V46/$U46,""))</f>
        <v/>
      </c>
      <c r="X46" s="34"/>
      <c r="Y46" s="37" t="str">
        <f aca="false">IF($A46="","",IF($U46="","",IF($W46&lt;='Tổng quan'!$C$8,"Đạt","Không đạt")))</f>
        <v/>
      </c>
      <c r="Z46" s="38" t="str">
        <f aca="false">IF($H46="","",IFERROR(INDEX('Nhà cung cấp'!$G$4:$G$203,MATCH($H46,'Nhà cung cấp'!$A$4:$A$203,0)),""))</f>
        <v/>
      </c>
      <c r="AA46" s="41" t="str">
        <f aca="false">IF($A46="","",IFERROR($R46+$Z46,""))</f>
        <v/>
      </c>
      <c r="AB46" s="32"/>
    </row>
    <row r="47" customFormat="false" ht="15" hidden="false" customHeight="false" outlineLevel="0" collapsed="false">
      <c r="A47" s="32"/>
      <c r="B47" s="33"/>
      <c r="C47" s="32"/>
      <c r="D47" s="37" t="str">
        <f aca="false">IF($C47="","",IFERROR(INDEX(PR!$D$4:$D$203,MATCH($C47,PR!$A$4:$A$203,0)),""))</f>
        <v/>
      </c>
      <c r="E47" s="37" t="str">
        <f aca="false">IF($C47="","",IFERROR(INDEX(PR!$E$4:$E$203,MATCH($C47,PR!$A$4:$A$203,0)),""))</f>
        <v/>
      </c>
      <c r="F47" s="37" t="str">
        <f aca="false">IF($C47="","",IFERROR(INDEX(PR!$G$4:$G$203,MATCH($C47,PR!$A$4:$A$203,0)),""))</f>
        <v/>
      </c>
      <c r="G47" s="37" t="str">
        <f aca="false">IF($C47="","",IFERROR(INDEX(PR!$F$4:$F$203,MATCH($C47,PR!$A$4:$A$203,0)),""))</f>
        <v/>
      </c>
      <c r="H47" s="32"/>
      <c r="I47" s="37" t="str">
        <f aca="false">IF($H47="","",IFERROR(INDEX('Nhà cung cấp'!$B$4:$B$203,MATCH($H47,'Nhà cung cấp'!$A$4:$A$203,0)),""))</f>
        <v/>
      </c>
      <c r="J47" s="34"/>
      <c r="K47" s="34"/>
      <c r="L47" s="38" t="str">
        <f aca="false">IF($A47="","",IFERROR($J47*$K47,""))</f>
        <v/>
      </c>
      <c r="M47" s="38" t="str">
        <f aca="false">IF($C47="","",IFERROR(INDEX(PR!$L$4:$L$203,MATCH($C47,PR!$A$4:$A$203,0)),""))</f>
        <v/>
      </c>
      <c r="N47" s="38" t="str">
        <f aca="false">IF($A47="","",IFERROR($M47-$L47,""))</f>
        <v/>
      </c>
      <c r="O47" s="32"/>
      <c r="P47" s="33"/>
      <c r="Q47" s="33"/>
      <c r="R47" s="33"/>
      <c r="S47" s="37" t="str">
        <f aca="true">IF($A47="","",IF($Q47="","",IF($R47="",IF(TODAY()&gt;$Q47,"Trễ hạn","Chưa đến hạn"),IF($R47&lt;=$Q47,"Đúng hạn","Giao trễ"))))</f>
        <v/>
      </c>
      <c r="T47" s="38" t="str">
        <f aca="true">IF($A47="","",IF($Q47="",0,IF($R47="",IF(TODAY()&gt;$Q47,TODAY()-$Q47,0),MAX(0,$R47-$Q47))))</f>
        <v/>
      </c>
      <c r="U47" s="34"/>
      <c r="V47" s="34"/>
      <c r="W47" s="39" t="str">
        <f aca="false">IF($A47="","",IFERROR($V47/$U47,""))</f>
        <v/>
      </c>
      <c r="X47" s="34"/>
      <c r="Y47" s="37" t="str">
        <f aca="false">IF($A47="","",IF($U47="","",IF($W47&lt;='Tổng quan'!$C$8,"Đạt","Không đạt")))</f>
        <v/>
      </c>
      <c r="Z47" s="38" t="str">
        <f aca="false">IF($H47="","",IFERROR(INDEX('Nhà cung cấp'!$G$4:$G$203,MATCH($H47,'Nhà cung cấp'!$A$4:$A$203,0)),""))</f>
        <v/>
      </c>
      <c r="AA47" s="41" t="str">
        <f aca="false">IF($A47="","",IFERROR($R47+$Z47,""))</f>
        <v/>
      </c>
      <c r="AB47" s="32"/>
    </row>
    <row r="48" customFormat="false" ht="15" hidden="false" customHeight="false" outlineLevel="0" collapsed="false">
      <c r="A48" s="32"/>
      <c r="B48" s="33"/>
      <c r="C48" s="32"/>
      <c r="D48" s="37" t="str">
        <f aca="false">IF($C48="","",IFERROR(INDEX(PR!$D$4:$D$203,MATCH($C48,PR!$A$4:$A$203,0)),""))</f>
        <v/>
      </c>
      <c r="E48" s="37" t="str">
        <f aca="false">IF($C48="","",IFERROR(INDEX(PR!$E$4:$E$203,MATCH($C48,PR!$A$4:$A$203,0)),""))</f>
        <v/>
      </c>
      <c r="F48" s="37" t="str">
        <f aca="false">IF($C48="","",IFERROR(INDEX(PR!$G$4:$G$203,MATCH($C48,PR!$A$4:$A$203,0)),""))</f>
        <v/>
      </c>
      <c r="G48" s="37" t="str">
        <f aca="false">IF($C48="","",IFERROR(INDEX(PR!$F$4:$F$203,MATCH($C48,PR!$A$4:$A$203,0)),""))</f>
        <v/>
      </c>
      <c r="H48" s="32"/>
      <c r="I48" s="37" t="str">
        <f aca="false">IF($H48="","",IFERROR(INDEX('Nhà cung cấp'!$B$4:$B$203,MATCH($H48,'Nhà cung cấp'!$A$4:$A$203,0)),""))</f>
        <v/>
      </c>
      <c r="J48" s="34"/>
      <c r="K48" s="34"/>
      <c r="L48" s="38" t="str">
        <f aca="false">IF($A48="","",IFERROR($J48*$K48,""))</f>
        <v/>
      </c>
      <c r="M48" s="38" t="str">
        <f aca="false">IF($C48="","",IFERROR(INDEX(PR!$L$4:$L$203,MATCH($C48,PR!$A$4:$A$203,0)),""))</f>
        <v/>
      </c>
      <c r="N48" s="38" t="str">
        <f aca="false">IF($A48="","",IFERROR($M48-$L48,""))</f>
        <v/>
      </c>
      <c r="O48" s="32"/>
      <c r="P48" s="33"/>
      <c r="Q48" s="33"/>
      <c r="R48" s="33"/>
      <c r="S48" s="37" t="str">
        <f aca="true">IF($A48="","",IF($Q48="","",IF($R48="",IF(TODAY()&gt;$Q48,"Trễ hạn","Chưa đến hạn"),IF($R48&lt;=$Q48,"Đúng hạn","Giao trễ"))))</f>
        <v/>
      </c>
      <c r="T48" s="38" t="str">
        <f aca="true">IF($A48="","",IF($Q48="",0,IF($R48="",IF(TODAY()&gt;$Q48,TODAY()-$Q48,0),MAX(0,$R48-$Q48))))</f>
        <v/>
      </c>
      <c r="U48" s="34"/>
      <c r="V48" s="34"/>
      <c r="W48" s="39" t="str">
        <f aca="false">IF($A48="","",IFERROR($V48/$U48,""))</f>
        <v/>
      </c>
      <c r="X48" s="34"/>
      <c r="Y48" s="37" t="str">
        <f aca="false">IF($A48="","",IF($U48="","",IF($W48&lt;='Tổng quan'!$C$8,"Đạt","Không đạt")))</f>
        <v/>
      </c>
      <c r="Z48" s="38" t="str">
        <f aca="false">IF($H48="","",IFERROR(INDEX('Nhà cung cấp'!$G$4:$G$203,MATCH($H48,'Nhà cung cấp'!$A$4:$A$203,0)),""))</f>
        <v/>
      </c>
      <c r="AA48" s="41" t="str">
        <f aca="false">IF($A48="","",IFERROR($R48+$Z48,""))</f>
        <v/>
      </c>
      <c r="AB48" s="32"/>
    </row>
    <row r="49" customFormat="false" ht="15" hidden="false" customHeight="false" outlineLevel="0" collapsed="false">
      <c r="A49" s="32"/>
      <c r="B49" s="33"/>
      <c r="C49" s="32"/>
      <c r="D49" s="37" t="str">
        <f aca="false">IF($C49="","",IFERROR(INDEX(PR!$D$4:$D$203,MATCH($C49,PR!$A$4:$A$203,0)),""))</f>
        <v/>
      </c>
      <c r="E49" s="37" t="str">
        <f aca="false">IF($C49="","",IFERROR(INDEX(PR!$E$4:$E$203,MATCH($C49,PR!$A$4:$A$203,0)),""))</f>
        <v/>
      </c>
      <c r="F49" s="37" t="str">
        <f aca="false">IF($C49="","",IFERROR(INDEX(PR!$G$4:$G$203,MATCH($C49,PR!$A$4:$A$203,0)),""))</f>
        <v/>
      </c>
      <c r="G49" s="37" t="str">
        <f aca="false">IF($C49="","",IFERROR(INDEX(PR!$F$4:$F$203,MATCH($C49,PR!$A$4:$A$203,0)),""))</f>
        <v/>
      </c>
      <c r="H49" s="32"/>
      <c r="I49" s="37" t="str">
        <f aca="false">IF($H49="","",IFERROR(INDEX('Nhà cung cấp'!$B$4:$B$203,MATCH($H49,'Nhà cung cấp'!$A$4:$A$203,0)),""))</f>
        <v/>
      </c>
      <c r="J49" s="34"/>
      <c r="K49" s="34"/>
      <c r="L49" s="38" t="str">
        <f aca="false">IF($A49="","",IFERROR($J49*$K49,""))</f>
        <v/>
      </c>
      <c r="M49" s="38" t="str">
        <f aca="false">IF($C49="","",IFERROR(INDEX(PR!$L$4:$L$203,MATCH($C49,PR!$A$4:$A$203,0)),""))</f>
        <v/>
      </c>
      <c r="N49" s="38" t="str">
        <f aca="false">IF($A49="","",IFERROR($M49-$L49,""))</f>
        <v/>
      </c>
      <c r="O49" s="32"/>
      <c r="P49" s="33"/>
      <c r="Q49" s="33"/>
      <c r="R49" s="33"/>
      <c r="S49" s="37" t="str">
        <f aca="true">IF($A49="","",IF($Q49="","",IF($R49="",IF(TODAY()&gt;$Q49,"Trễ hạn","Chưa đến hạn"),IF($R49&lt;=$Q49,"Đúng hạn","Giao trễ"))))</f>
        <v/>
      </c>
      <c r="T49" s="38" t="str">
        <f aca="true">IF($A49="","",IF($Q49="",0,IF($R49="",IF(TODAY()&gt;$Q49,TODAY()-$Q49,0),MAX(0,$R49-$Q49))))</f>
        <v/>
      </c>
      <c r="U49" s="34"/>
      <c r="V49" s="34"/>
      <c r="W49" s="39" t="str">
        <f aca="false">IF($A49="","",IFERROR($V49/$U49,""))</f>
        <v/>
      </c>
      <c r="X49" s="34"/>
      <c r="Y49" s="37" t="str">
        <f aca="false">IF($A49="","",IF($U49="","",IF($W49&lt;='Tổng quan'!$C$8,"Đạt","Không đạt")))</f>
        <v/>
      </c>
      <c r="Z49" s="38" t="str">
        <f aca="false">IF($H49="","",IFERROR(INDEX('Nhà cung cấp'!$G$4:$G$203,MATCH($H49,'Nhà cung cấp'!$A$4:$A$203,0)),""))</f>
        <v/>
      </c>
      <c r="AA49" s="41" t="str">
        <f aca="false">IF($A49="","",IFERROR($R49+$Z49,""))</f>
        <v/>
      </c>
      <c r="AB49" s="32"/>
    </row>
    <row r="50" customFormat="false" ht="15" hidden="false" customHeight="false" outlineLevel="0" collapsed="false">
      <c r="A50" s="32"/>
      <c r="B50" s="33"/>
      <c r="C50" s="32"/>
      <c r="D50" s="37" t="str">
        <f aca="false">IF($C50="","",IFERROR(INDEX(PR!$D$4:$D$203,MATCH($C50,PR!$A$4:$A$203,0)),""))</f>
        <v/>
      </c>
      <c r="E50" s="37" t="str">
        <f aca="false">IF($C50="","",IFERROR(INDEX(PR!$E$4:$E$203,MATCH($C50,PR!$A$4:$A$203,0)),""))</f>
        <v/>
      </c>
      <c r="F50" s="37" t="str">
        <f aca="false">IF($C50="","",IFERROR(INDEX(PR!$G$4:$G$203,MATCH($C50,PR!$A$4:$A$203,0)),""))</f>
        <v/>
      </c>
      <c r="G50" s="37" t="str">
        <f aca="false">IF($C50="","",IFERROR(INDEX(PR!$F$4:$F$203,MATCH($C50,PR!$A$4:$A$203,0)),""))</f>
        <v/>
      </c>
      <c r="H50" s="32"/>
      <c r="I50" s="37" t="str">
        <f aca="false">IF($H50="","",IFERROR(INDEX('Nhà cung cấp'!$B$4:$B$203,MATCH($H50,'Nhà cung cấp'!$A$4:$A$203,0)),""))</f>
        <v/>
      </c>
      <c r="J50" s="34"/>
      <c r="K50" s="34"/>
      <c r="L50" s="38" t="str">
        <f aca="false">IF($A50="","",IFERROR($J50*$K50,""))</f>
        <v/>
      </c>
      <c r="M50" s="38" t="str">
        <f aca="false">IF($C50="","",IFERROR(INDEX(PR!$L$4:$L$203,MATCH($C50,PR!$A$4:$A$203,0)),""))</f>
        <v/>
      </c>
      <c r="N50" s="38" t="str">
        <f aca="false">IF($A50="","",IFERROR($M50-$L50,""))</f>
        <v/>
      </c>
      <c r="O50" s="32"/>
      <c r="P50" s="33"/>
      <c r="Q50" s="33"/>
      <c r="R50" s="33"/>
      <c r="S50" s="37" t="str">
        <f aca="true">IF($A50="","",IF($Q50="","",IF($R50="",IF(TODAY()&gt;$Q50,"Trễ hạn","Chưa đến hạn"),IF($R50&lt;=$Q50,"Đúng hạn","Giao trễ"))))</f>
        <v/>
      </c>
      <c r="T50" s="38" t="str">
        <f aca="true">IF($A50="","",IF($Q50="",0,IF($R50="",IF(TODAY()&gt;$Q50,TODAY()-$Q50,0),MAX(0,$R50-$Q50))))</f>
        <v/>
      </c>
      <c r="U50" s="34"/>
      <c r="V50" s="34"/>
      <c r="W50" s="39" t="str">
        <f aca="false">IF($A50="","",IFERROR($V50/$U50,""))</f>
        <v/>
      </c>
      <c r="X50" s="34"/>
      <c r="Y50" s="37" t="str">
        <f aca="false">IF($A50="","",IF($U50="","",IF($W50&lt;='Tổng quan'!$C$8,"Đạt","Không đạt")))</f>
        <v/>
      </c>
      <c r="Z50" s="38" t="str">
        <f aca="false">IF($H50="","",IFERROR(INDEX('Nhà cung cấp'!$G$4:$G$203,MATCH($H50,'Nhà cung cấp'!$A$4:$A$203,0)),""))</f>
        <v/>
      </c>
      <c r="AA50" s="41" t="str">
        <f aca="false">IF($A50="","",IFERROR($R50+$Z50,""))</f>
        <v/>
      </c>
      <c r="AB50" s="32"/>
    </row>
    <row r="51" customFormat="false" ht="15" hidden="false" customHeight="false" outlineLevel="0" collapsed="false">
      <c r="A51" s="32"/>
      <c r="B51" s="33"/>
      <c r="C51" s="32"/>
      <c r="D51" s="37" t="str">
        <f aca="false">IF($C51="","",IFERROR(INDEX(PR!$D$4:$D$203,MATCH($C51,PR!$A$4:$A$203,0)),""))</f>
        <v/>
      </c>
      <c r="E51" s="37" t="str">
        <f aca="false">IF($C51="","",IFERROR(INDEX(PR!$E$4:$E$203,MATCH($C51,PR!$A$4:$A$203,0)),""))</f>
        <v/>
      </c>
      <c r="F51" s="37" t="str">
        <f aca="false">IF($C51="","",IFERROR(INDEX(PR!$G$4:$G$203,MATCH($C51,PR!$A$4:$A$203,0)),""))</f>
        <v/>
      </c>
      <c r="G51" s="37" t="str">
        <f aca="false">IF($C51="","",IFERROR(INDEX(PR!$F$4:$F$203,MATCH($C51,PR!$A$4:$A$203,0)),""))</f>
        <v/>
      </c>
      <c r="H51" s="32"/>
      <c r="I51" s="37" t="str">
        <f aca="false">IF($H51="","",IFERROR(INDEX('Nhà cung cấp'!$B$4:$B$203,MATCH($H51,'Nhà cung cấp'!$A$4:$A$203,0)),""))</f>
        <v/>
      </c>
      <c r="J51" s="34"/>
      <c r="K51" s="34"/>
      <c r="L51" s="38" t="str">
        <f aca="false">IF($A51="","",IFERROR($J51*$K51,""))</f>
        <v/>
      </c>
      <c r="M51" s="38" t="str">
        <f aca="false">IF($C51="","",IFERROR(INDEX(PR!$L$4:$L$203,MATCH($C51,PR!$A$4:$A$203,0)),""))</f>
        <v/>
      </c>
      <c r="N51" s="38" t="str">
        <f aca="false">IF($A51="","",IFERROR($M51-$L51,""))</f>
        <v/>
      </c>
      <c r="O51" s="32"/>
      <c r="P51" s="33"/>
      <c r="Q51" s="33"/>
      <c r="R51" s="33"/>
      <c r="S51" s="37" t="str">
        <f aca="true">IF($A51="","",IF($Q51="","",IF($R51="",IF(TODAY()&gt;$Q51,"Trễ hạn","Chưa đến hạn"),IF($R51&lt;=$Q51,"Đúng hạn","Giao trễ"))))</f>
        <v/>
      </c>
      <c r="T51" s="38" t="str">
        <f aca="true">IF($A51="","",IF($Q51="",0,IF($R51="",IF(TODAY()&gt;$Q51,TODAY()-$Q51,0),MAX(0,$R51-$Q51))))</f>
        <v/>
      </c>
      <c r="U51" s="34"/>
      <c r="V51" s="34"/>
      <c r="W51" s="39" t="str">
        <f aca="false">IF($A51="","",IFERROR($V51/$U51,""))</f>
        <v/>
      </c>
      <c r="X51" s="34"/>
      <c r="Y51" s="37" t="str">
        <f aca="false">IF($A51="","",IF($U51="","",IF($W51&lt;='Tổng quan'!$C$8,"Đạt","Không đạt")))</f>
        <v/>
      </c>
      <c r="Z51" s="38" t="str">
        <f aca="false">IF($H51="","",IFERROR(INDEX('Nhà cung cấp'!$G$4:$G$203,MATCH($H51,'Nhà cung cấp'!$A$4:$A$203,0)),""))</f>
        <v/>
      </c>
      <c r="AA51" s="41" t="str">
        <f aca="false">IF($A51="","",IFERROR($R51+$Z51,""))</f>
        <v/>
      </c>
      <c r="AB51" s="32"/>
    </row>
    <row r="52" customFormat="false" ht="15" hidden="false" customHeight="false" outlineLevel="0" collapsed="false">
      <c r="A52" s="32"/>
      <c r="B52" s="33"/>
      <c r="C52" s="32"/>
      <c r="D52" s="37" t="str">
        <f aca="false">IF($C52="","",IFERROR(INDEX(PR!$D$4:$D$203,MATCH($C52,PR!$A$4:$A$203,0)),""))</f>
        <v/>
      </c>
      <c r="E52" s="37" t="str">
        <f aca="false">IF($C52="","",IFERROR(INDEX(PR!$E$4:$E$203,MATCH($C52,PR!$A$4:$A$203,0)),""))</f>
        <v/>
      </c>
      <c r="F52" s="37" t="str">
        <f aca="false">IF($C52="","",IFERROR(INDEX(PR!$G$4:$G$203,MATCH($C52,PR!$A$4:$A$203,0)),""))</f>
        <v/>
      </c>
      <c r="G52" s="37" t="str">
        <f aca="false">IF($C52="","",IFERROR(INDEX(PR!$F$4:$F$203,MATCH($C52,PR!$A$4:$A$203,0)),""))</f>
        <v/>
      </c>
      <c r="H52" s="32"/>
      <c r="I52" s="37" t="str">
        <f aca="false">IF($H52="","",IFERROR(INDEX('Nhà cung cấp'!$B$4:$B$203,MATCH($H52,'Nhà cung cấp'!$A$4:$A$203,0)),""))</f>
        <v/>
      </c>
      <c r="J52" s="34"/>
      <c r="K52" s="34"/>
      <c r="L52" s="38" t="str">
        <f aca="false">IF($A52="","",IFERROR($J52*$K52,""))</f>
        <v/>
      </c>
      <c r="M52" s="38" t="str">
        <f aca="false">IF($C52="","",IFERROR(INDEX(PR!$L$4:$L$203,MATCH($C52,PR!$A$4:$A$203,0)),""))</f>
        <v/>
      </c>
      <c r="N52" s="38" t="str">
        <f aca="false">IF($A52="","",IFERROR($M52-$L52,""))</f>
        <v/>
      </c>
      <c r="O52" s="32"/>
      <c r="P52" s="33"/>
      <c r="Q52" s="33"/>
      <c r="R52" s="33"/>
      <c r="S52" s="37" t="str">
        <f aca="true">IF($A52="","",IF($Q52="","",IF($R52="",IF(TODAY()&gt;$Q52,"Trễ hạn","Chưa đến hạn"),IF($R52&lt;=$Q52,"Đúng hạn","Giao trễ"))))</f>
        <v/>
      </c>
      <c r="T52" s="38" t="str">
        <f aca="true">IF($A52="","",IF($Q52="",0,IF($R52="",IF(TODAY()&gt;$Q52,TODAY()-$Q52,0),MAX(0,$R52-$Q52))))</f>
        <v/>
      </c>
      <c r="U52" s="34"/>
      <c r="V52" s="34"/>
      <c r="W52" s="39" t="str">
        <f aca="false">IF($A52="","",IFERROR($V52/$U52,""))</f>
        <v/>
      </c>
      <c r="X52" s="34"/>
      <c r="Y52" s="37" t="str">
        <f aca="false">IF($A52="","",IF($U52="","",IF($W52&lt;='Tổng quan'!$C$8,"Đạt","Không đạt")))</f>
        <v/>
      </c>
      <c r="Z52" s="38" t="str">
        <f aca="false">IF($H52="","",IFERROR(INDEX('Nhà cung cấp'!$G$4:$G$203,MATCH($H52,'Nhà cung cấp'!$A$4:$A$203,0)),""))</f>
        <v/>
      </c>
      <c r="AA52" s="41" t="str">
        <f aca="false">IF($A52="","",IFERROR($R52+$Z52,""))</f>
        <v/>
      </c>
      <c r="AB52" s="32"/>
    </row>
    <row r="53" customFormat="false" ht="15" hidden="false" customHeight="false" outlineLevel="0" collapsed="false">
      <c r="A53" s="32"/>
      <c r="B53" s="33"/>
      <c r="C53" s="32"/>
      <c r="D53" s="37" t="str">
        <f aca="false">IF($C53="","",IFERROR(INDEX(PR!$D$4:$D$203,MATCH($C53,PR!$A$4:$A$203,0)),""))</f>
        <v/>
      </c>
      <c r="E53" s="37" t="str">
        <f aca="false">IF($C53="","",IFERROR(INDEX(PR!$E$4:$E$203,MATCH($C53,PR!$A$4:$A$203,0)),""))</f>
        <v/>
      </c>
      <c r="F53" s="37" t="str">
        <f aca="false">IF($C53="","",IFERROR(INDEX(PR!$G$4:$G$203,MATCH($C53,PR!$A$4:$A$203,0)),""))</f>
        <v/>
      </c>
      <c r="G53" s="37" t="str">
        <f aca="false">IF($C53="","",IFERROR(INDEX(PR!$F$4:$F$203,MATCH($C53,PR!$A$4:$A$203,0)),""))</f>
        <v/>
      </c>
      <c r="H53" s="32"/>
      <c r="I53" s="37" t="str">
        <f aca="false">IF($H53="","",IFERROR(INDEX('Nhà cung cấp'!$B$4:$B$203,MATCH($H53,'Nhà cung cấp'!$A$4:$A$203,0)),""))</f>
        <v/>
      </c>
      <c r="J53" s="34"/>
      <c r="K53" s="34"/>
      <c r="L53" s="38" t="str">
        <f aca="false">IF($A53="","",IFERROR($J53*$K53,""))</f>
        <v/>
      </c>
      <c r="M53" s="38" t="str">
        <f aca="false">IF($C53="","",IFERROR(INDEX(PR!$L$4:$L$203,MATCH($C53,PR!$A$4:$A$203,0)),""))</f>
        <v/>
      </c>
      <c r="N53" s="38" t="str">
        <f aca="false">IF($A53="","",IFERROR($M53-$L53,""))</f>
        <v/>
      </c>
      <c r="O53" s="32"/>
      <c r="P53" s="33"/>
      <c r="Q53" s="33"/>
      <c r="R53" s="33"/>
      <c r="S53" s="37" t="str">
        <f aca="true">IF($A53="","",IF($Q53="","",IF($R53="",IF(TODAY()&gt;$Q53,"Trễ hạn","Chưa đến hạn"),IF($R53&lt;=$Q53,"Đúng hạn","Giao trễ"))))</f>
        <v/>
      </c>
      <c r="T53" s="38" t="str">
        <f aca="true">IF($A53="","",IF($Q53="",0,IF($R53="",IF(TODAY()&gt;$Q53,TODAY()-$Q53,0),MAX(0,$R53-$Q53))))</f>
        <v/>
      </c>
      <c r="U53" s="34"/>
      <c r="V53" s="34"/>
      <c r="W53" s="39" t="str">
        <f aca="false">IF($A53="","",IFERROR($V53/$U53,""))</f>
        <v/>
      </c>
      <c r="X53" s="34"/>
      <c r="Y53" s="37" t="str">
        <f aca="false">IF($A53="","",IF($U53="","",IF($W53&lt;='Tổng quan'!$C$8,"Đạt","Không đạt")))</f>
        <v/>
      </c>
      <c r="Z53" s="38" t="str">
        <f aca="false">IF($H53="","",IFERROR(INDEX('Nhà cung cấp'!$G$4:$G$203,MATCH($H53,'Nhà cung cấp'!$A$4:$A$203,0)),""))</f>
        <v/>
      </c>
      <c r="AA53" s="41" t="str">
        <f aca="false">IF($A53="","",IFERROR($R53+$Z53,""))</f>
        <v/>
      </c>
      <c r="AB53" s="32"/>
    </row>
    <row r="54" customFormat="false" ht="15" hidden="false" customHeight="false" outlineLevel="0" collapsed="false">
      <c r="A54" s="32"/>
      <c r="B54" s="33"/>
      <c r="C54" s="32"/>
      <c r="D54" s="37" t="str">
        <f aca="false">IF($C54="","",IFERROR(INDEX(PR!$D$4:$D$203,MATCH($C54,PR!$A$4:$A$203,0)),""))</f>
        <v/>
      </c>
      <c r="E54" s="37" t="str">
        <f aca="false">IF($C54="","",IFERROR(INDEX(PR!$E$4:$E$203,MATCH($C54,PR!$A$4:$A$203,0)),""))</f>
        <v/>
      </c>
      <c r="F54" s="37" t="str">
        <f aca="false">IF($C54="","",IFERROR(INDEX(PR!$G$4:$G$203,MATCH($C54,PR!$A$4:$A$203,0)),""))</f>
        <v/>
      </c>
      <c r="G54" s="37" t="str">
        <f aca="false">IF($C54="","",IFERROR(INDEX(PR!$F$4:$F$203,MATCH($C54,PR!$A$4:$A$203,0)),""))</f>
        <v/>
      </c>
      <c r="H54" s="32"/>
      <c r="I54" s="37" t="str">
        <f aca="false">IF($H54="","",IFERROR(INDEX('Nhà cung cấp'!$B$4:$B$203,MATCH($H54,'Nhà cung cấp'!$A$4:$A$203,0)),""))</f>
        <v/>
      </c>
      <c r="J54" s="34"/>
      <c r="K54" s="34"/>
      <c r="L54" s="38" t="str">
        <f aca="false">IF($A54="","",IFERROR($J54*$K54,""))</f>
        <v/>
      </c>
      <c r="M54" s="38" t="str">
        <f aca="false">IF($C54="","",IFERROR(INDEX(PR!$L$4:$L$203,MATCH($C54,PR!$A$4:$A$203,0)),""))</f>
        <v/>
      </c>
      <c r="N54" s="38" t="str">
        <f aca="false">IF($A54="","",IFERROR($M54-$L54,""))</f>
        <v/>
      </c>
      <c r="O54" s="32"/>
      <c r="P54" s="33"/>
      <c r="Q54" s="33"/>
      <c r="R54" s="33"/>
      <c r="S54" s="37" t="str">
        <f aca="true">IF($A54="","",IF($Q54="","",IF($R54="",IF(TODAY()&gt;$Q54,"Trễ hạn","Chưa đến hạn"),IF($R54&lt;=$Q54,"Đúng hạn","Giao trễ"))))</f>
        <v/>
      </c>
      <c r="T54" s="38" t="str">
        <f aca="true">IF($A54="","",IF($Q54="",0,IF($R54="",IF(TODAY()&gt;$Q54,TODAY()-$Q54,0),MAX(0,$R54-$Q54))))</f>
        <v/>
      </c>
      <c r="U54" s="34"/>
      <c r="V54" s="34"/>
      <c r="W54" s="39" t="str">
        <f aca="false">IF($A54="","",IFERROR($V54/$U54,""))</f>
        <v/>
      </c>
      <c r="X54" s="34"/>
      <c r="Y54" s="37" t="str">
        <f aca="false">IF($A54="","",IF($U54="","",IF($W54&lt;='Tổng quan'!$C$8,"Đạt","Không đạt")))</f>
        <v/>
      </c>
      <c r="Z54" s="38" t="str">
        <f aca="false">IF($H54="","",IFERROR(INDEX('Nhà cung cấp'!$G$4:$G$203,MATCH($H54,'Nhà cung cấp'!$A$4:$A$203,0)),""))</f>
        <v/>
      </c>
      <c r="AA54" s="41" t="str">
        <f aca="false">IF($A54="","",IFERROR($R54+$Z54,""))</f>
        <v/>
      </c>
      <c r="AB54" s="32"/>
    </row>
    <row r="55" customFormat="false" ht="15" hidden="false" customHeight="false" outlineLevel="0" collapsed="false">
      <c r="A55" s="32"/>
      <c r="B55" s="33"/>
      <c r="C55" s="32"/>
      <c r="D55" s="37" t="str">
        <f aca="false">IF($C55="","",IFERROR(INDEX(PR!$D$4:$D$203,MATCH($C55,PR!$A$4:$A$203,0)),""))</f>
        <v/>
      </c>
      <c r="E55" s="37" t="str">
        <f aca="false">IF($C55="","",IFERROR(INDEX(PR!$E$4:$E$203,MATCH($C55,PR!$A$4:$A$203,0)),""))</f>
        <v/>
      </c>
      <c r="F55" s="37" t="str">
        <f aca="false">IF($C55="","",IFERROR(INDEX(PR!$G$4:$G$203,MATCH($C55,PR!$A$4:$A$203,0)),""))</f>
        <v/>
      </c>
      <c r="G55" s="37" t="str">
        <f aca="false">IF($C55="","",IFERROR(INDEX(PR!$F$4:$F$203,MATCH($C55,PR!$A$4:$A$203,0)),""))</f>
        <v/>
      </c>
      <c r="H55" s="32"/>
      <c r="I55" s="37" t="str">
        <f aca="false">IF($H55="","",IFERROR(INDEX('Nhà cung cấp'!$B$4:$B$203,MATCH($H55,'Nhà cung cấp'!$A$4:$A$203,0)),""))</f>
        <v/>
      </c>
      <c r="J55" s="34"/>
      <c r="K55" s="34"/>
      <c r="L55" s="38" t="str">
        <f aca="false">IF($A55="","",IFERROR($J55*$K55,""))</f>
        <v/>
      </c>
      <c r="M55" s="38" t="str">
        <f aca="false">IF($C55="","",IFERROR(INDEX(PR!$L$4:$L$203,MATCH($C55,PR!$A$4:$A$203,0)),""))</f>
        <v/>
      </c>
      <c r="N55" s="38" t="str">
        <f aca="false">IF($A55="","",IFERROR($M55-$L55,""))</f>
        <v/>
      </c>
      <c r="O55" s="32"/>
      <c r="P55" s="33"/>
      <c r="Q55" s="33"/>
      <c r="R55" s="33"/>
      <c r="S55" s="37" t="str">
        <f aca="true">IF($A55="","",IF($Q55="","",IF($R55="",IF(TODAY()&gt;$Q55,"Trễ hạn","Chưa đến hạn"),IF($R55&lt;=$Q55,"Đúng hạn","Giao trễ"))))</f>
        <v/>
      </c>
      <c r="T55" s="38" t="str">
        <f aca="true">IF($A55="","",IF($Q55="",0,IF($R55="",IF(TODAY()&gt;$Q55,TODAY()-$Q55,0),MAX(0,$R55-$Q55))))</f>
        <v/>
      </c>
      <c r="U55" s="34"/>
      <c r="V55" s="34"/>
      <c r="W55" s="39" t="str">
        <f aca="false">IF($A55="","",IFERROR($V55/$U55,""))</f>
        <v/>
      </c>
      <c r="X55" s="34"/>
      <c r="Y55" s="37" t="str">
        <f aca="false">IF($A55="","",IF($U55="","",IF($W55&lt;='Tổng quan'!$C$8,"Đạt","Không đạt")))</f>
        <v/>
      </c>
      <c r="Z55" s="38" t="str">
        <f aca="false">IF($H55="","",IFERROR(INDEX('Nhà cung cấp'!$G$4:$G$203,MATCH($H55,'Nhà cung cấp'!$A$4:$A$203,0)),""))</f>
        <v/>
      </c>
      <c r="AA55" s="41" t="str">
        <f aca="false">IF($A55="","",IFERROR($R55+$Z55,""))</f>
        <v/>
      </c>
      <c r="AB55" s="32"/>
    </row>
    <row r="56" customFormat="false" ht="15" hidden="false" customHeight="false" outlineLevel="0" collapsed="false">
      <c r="A56" s="32"/>
      <c r="B56" s="33"/>
      <c r="C56" s="32"/>
      <c r="D56" s="37" t="str">
        <f aca="false">IF($C56="","",IFERROR(INDEX(PR!$D$4:$D$203,MATCH($C56,PR!$A$4:$A$203,0)),""))</f>
        <v/>
      </c>
      <c r="E56" s="37" t="str">
        <f aca="false">IF($C56="","",IFERROR(INDEX(PR!$E$4:$E$203,MATCH($C56,PR!$A$4:$A$203,0)),""))</f>
        <v/>
      </c>
      <c r="F56" s="37" t="str">
        <f aca="false">IF($C56="","",IFERROR(INDEX(PR!$G$4:$G$203,MATCH($C56,PR!$A$4:$A$203,0)),""))</f>
        <v/>
      </c>
      <c r="G56" s="37" t="str">
        <f aca="false">IF($C56="","",IFERROR(INDEX(PR!$F$4:$F$203,MATCH($C56,PR!$A$4:$A$203,0)),""))</f>
        <v/>
      </c>
      <c r="H56" s="32"/>
      <c r="I56" s="37" t="str">
        <f aca="false">IF($H56="","",IFERROR(INDEX('Nhà cung cấp'!$B$4:$B$203,MATCH($H56,'Nhà cung cấp'!$A$4:$A$203,0)),""))</f>
        <v/>
      </c>
      <c r="J56" s="34"/>
      <c r="K56" s="34"/>
      <c r="L56" s="38" t="str">
        <f aca="false">IF($A56="","",IFERROR($J56*$K56,""))</f>
        <v/>
      </c>
      <c r="M56" s="38" t="str">
        <f aca="false">IF($C56="","",IFERROR(INDEX(PR!$L$4:$L$203,MATCH($C56,PR!$A$4:$A$203,0)),""))</f>
        <v/>
      </c>
      <c r="N56" s="38" t="str">
        <f aca="false">IF($A56="","",IFERROR($M56-$L56,""))</f>
        <v/>
      </c>
      <c r="O56" s="32"/>
      <c r="P56" s="33"/>
      <c r="Q56" s="33"/>
      <c r="R56" s="33"/>
      <c r="S56" s="37" t="str">
        <f aca="true">IF($A56="","",IF($Q56="","",IF($R56="",IF(TODAY()&gt;$Q56,"Trễ hạn","Chưa đến hạn"),IF($R56&lt;=$Q56,"Đúng hạn","Giao trễ"))))</f>
        <v/>
      </c>
      <c r="T56" s="38" t="str">
        <f aca="true">IF($A56="","",IF($Q56="",0,IF($R56="",IF(TODAY()&gt;$Q56,TODAY()-$Q56,0),MAX(0,$R56-$Q56))))</f>
        <v/>
      </c>
      <c r="U56" s="34"/>
      <c r="V56" s="34"/>
      <c r="W56" s="39" t="str">
        <f aca="false">IF($A56="","",IFERROR($V56/$U56,""))</f>
        <v/>
      </c>
      <c r="X56" s="34"/>
      <c r="Y56" s="37" t="str">
        <f aca="false">IF($A56="","",IF($U56="","",IF($W56&lt;='Tổng quan'!$C$8,"Đạt","Không đạt")))</f>
        <v/>
      </c>
      <c r="Z56" s="38" t="str">
        <f aca="false">IF($H56="","",IFERROR(INDEX('Nhà cung cấp'!$G$4:$G$203,MATCH($H56,'Nhà cung cấp'!$A$4:$A$203,0)),""))</f>
        <v/>
      </c>
      <c r="AA56" s="41" t="str">
        <f aca="false">IF($A56="","",IFERROR($R56+$Z56,""))</f>
        <v/>
      </c>
      <c r="AB56" s="32"/>
    </row>
    <row r="57" customFormat="false" ht="15" hidden="false" customHeight="false" outlineLevel="0" collapsed="false">
      <c r="A57" s="32"/>
      <c r="B57" s="33"/>
      <c r="C57" s="32"/>
      <c r="D57" s="37" t="str">
        <f aca="false">IF($C57="","",IFERROR(INDEX(PR!$D$4:$D$203,MATCH($C57,PR!$A$4:$A$203,0)),""))</f>
        <v/>
      </c>
      <c r="E57" s="37" t="str">
        <f aca="false">IF($C57="","",IFERROR(INDEX(PR!$E$4:$E$203,MATCH($C57,PR!$A$4:$A$203,0)),""))</f>
        <v/>
      </c>
      <c r="F57" s="37" t="str">
        <f aca="false">IF($C57="","",IFERROR(INDEX(PR!$G$4:$G$203,MATCH($C57,PR!$A$4:$A$203,0)),""))</f>
        <v/>
      </c>
      <c r="G57" s="37" t="str">
        <f aca="false">IF($C57="","",IFERROR(INDEX(PR!$F$4:$F$203,MATCH($C57,PR!$A$4:$A$203,0)),""))</f>
        <v/>
      </c>
      <c r="H57" s="32"/>
      <c r="I57" s="37" t="str">
        <f aca="false">IF($H57="","",IFERROR(INDEX('Nhà cung cấp'!$B$4:$B$203,MATCH($H57,'Nhà cung cấp'!$A$4:$A$203,0)),""))</f>
        <v/>
      </c>
      <c r="J57" s="34"/>
      <c r="K57" s="34"/>
      <c r="L57" s="38" t="str">
        <f aca="false">IF($A57="","",IFERROR($J57*$K57,""))</f>
        <v/>
      </c>
      <c r="M57" s="38" t="str">
        <f aca="false">IF($C57="","",IFERROR(INDEX(PR!$L$4:$L$203,MATCH($C57,PR!$A$4:$A$203,0)),""))</f>
        <v/>
      </c>
      <c r="N57" s="38" t="str">
        <f aca="false">IF($A57="","",IFERROR($M57-$L57,""))</f>
        <v/>
      </c>
      <c r="O57" s="32"/>
      <c r="P57" s="33"/>
      <c r="Q57" s="33"/>
      <c r="R57" s="33"/>
      <c r="S57" s="37" t="str">
        <f aca="true">IF($A57="","",IF($Q57="","",IF($R57="",IF(TODAY()&gt;$Q57,"Trễ hạn","Chưa đến hạn"),IF($R57&lt;=$Q57,"Đúng hạn","Giao trễ"))))</f>
        <v/>
      </c>
      <c r="T57" s="38" t="str">
        <f aca="true">IF($A57="","",IF($Q57="",0,IF($R57="",IF(TODAY()&gt;$Q57,TODAY()-$Q57,0),MAX(0,$R57-$Q57))))</f>
        <v/>
      </c>
      <c r="U57" s="34"/>
      <c r="V57" s="34"/>
      <c r="W57" s="39" t="str">
        <f aca="false">IF($A57="","",IFERROR($V57/$U57,""))</f>
        <v/>
      </c>
      <c r="X57" s="34"/>
      <c r="Y57" s="37" t="str">
        <f aca="false">IF($A57="","",IF($U57="","",IF($W57&lt;='Tổng quan'!$C$8,"Đạt","Không đạt")))</f>
        <v/>
      </c>
      <c r="Z57" s="38" t="str">
        <f aca="false">IF($H57="","",IFERROR(INDEX('Nhà cung cấp'!$G$4:$G$203,MATCH($H57,'Nhà cung cấp'!$A$4:$A$203,0)),""))</f>
        <v/>
      </c>
      <c r="AA57" s="41" t="str">
        <f aca="false">IF($A57="","",IFERROR($R57+$Z57,""))</f>
        <v/>
      </c>
      <c r="AB57" s="32"/>
    </row>
    <row r="58" customFormat="false" ht="15" hidden="false" customHeight="false" outlineLevel="0" collapsed="false">
      <c r="A58" s="32"/>
      <c r="B58" s="33"/>
      <c r="C58" s="32"/>
      <c r="D58" s="37" t="str">
        <f aca="false">IF($C58="","",IFERROR(INDEX(PR!$D$4:$D$203,MATCH($C58,PR!$A$4:$A$203,0)),""))</f>
        <v/>
      </c>
      <c r="E58" s="37" t="str">
        <f aca="false">IF($C58="","",IFERROR(INDEX(PR!$E$4:$E$203,MATCH($C58,PR!$A$4:$A$203,0)),""))</f>
        <v/>
      </c>
      <c r="F58" s="37" t="str">
        <f aca="false">IF($C58="","",IFERROR(INDEX(PR!$G$4:$G$203,MATCH($C58,PR!$A$4:$A$203,0)),""))</f>
        <v/>
      </c>
      <c r="G58" s="37" t="str">
        <f aca="false">IF($C58="","",IFERROR(INDEX(PR!$F$4:$F$203,MATCH($C58,PR!$A$4:$A$203,0)),""))</f>
        <v/>
      </c>
      <c r="H58" s="32"/>
      <c r="I58" s="37" t="str">
        <f aca="false">IF($H58="","",IFERROR(INDEX('Nhà cung cấp'!$B$4:$B$203,MATCH($H58,'Nhà cung cấp'!$A$4:$A$203,0)),""))</f>
        <v/>
      </c>
      <c r="J58" s="34"/>
      <c r="K58" s="34"/>
      <c r="L58" s="38" t="str">
        <f aca="false">IF($A58="","",IFERROR($J58*$K58,""))</f>
        <v/>
      </c>
      <c r="M58" s="38" t="str">
        <f aca="false">IF($C58="","",IFERROR(INDEX(PR!$L$4:$L$203,MATCH($C58,PR!$A$4:$A$203,0)),""))</f>
        <v/>
      </c>
      <c r="N58" s="38" t="str">
        <f aca="false">IF($A58="","",IFERROR($M58-$L58,""))</f>
        <v/>
      </c>
      <c r="O58" s="32"/>
      <c r="P58" s="33"/>
      <c r="Q58" s="33"/>
      <c r="R58" s="33"/>
      <c r="S58" s="37" t="str">
        <f aca="true">IF($A58="","",IF($Q58="","",IF($R58="",IF(TODAY()&gt;$Q58,"Trễ hạn","Chưa đến hạn"),IF($R58&lt;=$Q58,"Đúng hạn","Giao trễ"))))</f>
        <v/>
      </c>
      <c r="T58" s="38" t="str">
        <f aca="true">IF($A58="","",IF($Q58="",0,IF($R58="",IF(TODAY()&gt;$Q58,TODAY()-$Q58,0),MAX(0,$R58-$Q58))))</f>
        <v/>
      </c>
      <c r="U58" s="34"/>
      <c r="V58" s="34"/>
      <c r="W58" s="39" t="str">
        <f aca="false">IF($A58="","",IFERROR($V58/$U58,""))</f>
        <v/>
      </c>
      <c r="X58" s="34"/>
      <c r="Y58" s="37" t="str">
        <f aca="false">IF($A58="","",IF($U58="","",IF($W58&lt;='Tổng quan'!$C$8,"Đạt","Không đạt")))</f>
        <v/>
      </c>
      <c r="Z58" s="38" t="str">
        <f aca="false">IF($H58="","",IFERROR(INDEX('Nhà cung cấp'!$G$4:$G$203,MATCH($H58,'Nhà cung cấp'!$A$4:$A$203,0)),""))</f>
        <v/>
      </c>
      <c r="AA58" s="41" t="str">
        <f aca="false">IF($A58="","",IFERROR($R58+$Z58,""))</f>
        <v/>
      </c>
      <c r="AB58" s="32"/>
    </row>
    <row r="59" customFormat="false" ht="15" hidden="false" customHeight="false" outlineLevel="0" collapsed="false">
      <c r="A59" s="32"/>
      <c r="B59" s="33"/>
      <c r="C59" s="32"/>
      <c r="D59" s="37" t="str">
        <f aca="false">IF($C59="","",IFERROR(INDEX(PR!$D$4:$D$203,MATCH($C59,PR!$A$4:$A$203,0)),""))</f>
        <v/>
      </c>
      <c r="E59" s="37" t="str">
        <f aca="false">IF($C59="","",IFERROR(INDEX(PR!$E$4:$E$203,MATCH($C59,PR!$A$4:$A$203,0)),""))</f>
        <v/>
      </c>
      <c r="F59" s="37" t="str">
        <f aca="false">IF($C59="","",IFERROR(INDEX(PR!$G$4:$G$203,MATCH($C59,PR!$A$4:$A$203,0)),""))</f>
        <v/>
      </c>
      <c r="G59" s="37" t="str">
        <f aca="false">IF($C59="","",IFERROR(INDEX(PR!$F$4:$F$203,MATCH($C59,PR!$A$4:$A$203,0)),""))</f>
        <v/>
      </c>
      <c r="H59" s="32"/>
      <c r="I59" s="37" t="str">
        <f aca="false">IF($H59="","",IFERROR(INDEX('Nhà cung cấp'!$B$4:$B$203,MATCH($H59,'Nhà cung cấp'!$A$4:$A$203,0)),""))</f>
        <v/>
      </c>
      <c r="J59" s="34"/>
      <c r="K59" s="34"/>
      <c r="L59" s="38" t="str">
        <f aca="false">IF($A59="","",IFERROR($J59*$K59,""))</f>
        <v/>
      </c>
      <c r="M59" s="38" t="str">
        <f aca="false">IF($C59="","",IFERROR(INDEX(PR!$L$4:$L$203,MATCH($C59,PR!$A$4:$A$203,0)),""))</f>
        <v/>
      </c>
      <c r="N59" s="38" t="str">
        <f aca="false">IF($A59="","",IFERROR($M59-$L59,""))</f>
        <v/>
      </c>
      <c r="O59" s="32"/>
      <c r="P59" s="33"/>
      <c r="Q59" s="33"/>
      <c r="R59" s="33"/>
      <c r="S59" s="37" t="str">
        <f aca="true">IF($A59="","",IF($Q59="","",IF($R59="",IF(TODAY()&gt;$Q59,"Trễ hạn","Chưa đến hạn"),IF($R59&lt;=$Q59,"Đúng hạn","Giao trễ"))))</f>
        <v/>
      </c>
      <c r="T59" s="38" t="str">
        <f aca="true">IF($A59="","",IF($Q59="",0,IF($R59="",IF(TODAY()&gt;$Q59,TODAY()-$Q59,0),MAX(0,$R59-$Q59))))</f>
        <v/>
      </c>
      <c r="U59" s="34"/>
      <c r="V59" s="34"/>
      <c r="W59" s="39" t="str">
        <f aca="false">IF($A59="","",IFERROR($V59/$U59,""))</f>
        <v/>
      </c>
      <c r="X59" s="34"/>
      <c r="Y59" s="37" t="str">
        <f aca="false">IF($A59="","",IF($U59="","",IF($W59&lt;='Tổng quan'!$C$8,"Đạt","Không đạt")))</f>
        <v/>
      </c>
      <c r="Z59" s="38" t="str">
        <f aca="false">IF($H59="","",IFERROR(INDEX('Nhà cung cấp'!$G$4:$G$203,MATCH($H59,'Nhà cung cấp'!$A$4:$A$203,0)),""))</f>
        <v/>
      </c>
      <c r="AA59" s="41" t="str">
        <f aca="false">IF($A59="","",IFERROR($R59+$Z59,""))</f>
        <v/>
      </c>
      <c r="AB59" s="32"/>
    </row>
    <row r="60" customFormat="false" ht="15" hidden="false" customHeight="false" outlineLevel="0" collapsed="false">
      <c r="A60" s="32"/>
      <c r="B60" s="33"/>
      <c r="C60" s="32"/>
      <c r="D60" s="37" t="str">
        <f aca="false">IF($C60="","",IFERROR(INDEX(PR!$D$4:$D$203,MATCH($C60,PR!$A$4:$A$203,0)),""))</f>
        <v/>
      </c>
      <c r="E60" s="37" t="str">
        <f aca="false">IF($C60="","",IFERROR(INDEX(PR!$E$4:$E$203,MATCH($C60,PR!$A$4:$A$203,0)),""))</f>
        <v/>
      </c>
      <c r="F60" s="37" t="str">
        <f aca="false">IF($C60="","",IFERROR(INDEX(PR!$G$4:$G$203,MATCH($C60,PR!$A$4:$A$203,0)),""))</f>
        <v/>
      </c>
      <c r="G60" s="37" t="str">
        <f aca="false">IF($C60="","",IFERROR(INDEX(PR!$F$4:$F$203,MATCH($C60,PR!$A$4:$A$203,0)),""))</f>
        <v/>
      </c>
      <c r="H60" s="32"/>
      <c r="I60" s="37" t="str">
        <f aca="false">IF($H60="","",IFERROR(INDEX('Nhà cung cấp'!$B$4:$B$203,MATCH($H60,'Nhà cung cấp'!$A$4:$A$203,0)),""))</f>
        <v/>
      </c>
      <c r="J60" s="34"/>
      <c r="K60" s="34"/>
      <c r="L60" s="38" t="str">
        <f aca="false">IF($A60="","",IFERROR($J60*$K60,""))</f>
        <v/>
      </c>
      <c r="M60" s="38" t="str">
        <f aca="false">IF($C60="","",IFERROR(INDEX(PR!$L$4:$L$203,MATCH($C60,PR!$A$4:$A$203,0)),""))</f>
        <v/>
      </c>
      <c r="N60" s="38" t="str">
        <f aca="false">IF($A60="","",IFERROR($M60-$L60,""))</f>
        <v/>
      </c>
      <c r="O60" s="32"/>
      <c r="P60" s="33"/>
      <c r="Q60" s="33"/>
      <c r="R60" s="33"/>
      <c r="S60" s="37" t="str">
        <f aca="true">IF($A60="","",IF($Q60="","",IF($R60="",IF(TODAY()&gt;$Q60,"Trễ hạn","Chưa đến hạn"),IF($R60&lt;=$Q60,"Đúng hạn","Giao trễ"))))</f>
        <v/>
      </c>
      <c r="T60" s="38" t="str">
        <f aca="true">IF($A60="","",IF($Q60="",0,IF($R60="",IF(TODAY()&gt;$Q60,TODAY()-$Q60,0),MAX(0,$R60-$Q60))))</f>
        <v/>
      </c>
      <c r="U60" s="34"/>
      <c r="V60" s="34"/>
      <c r="W60" s="39" t="str">
        <f aca="false">IF($A60="","",IFERROR($V60/$U60,""))</f>
        <v/>
      </c>
      <c r="X60" s="34"/>
      <c r="Y60" s="37" t="str">
        <f aca="false">IF($A60="","",IF($U60="","",IF($W60&lt;='Tổng quan'!$C$8,"Đạt","Không đạt")))</f>
        <v/>
      </c>
      <c r="Z60" s="38" t="str">
        <f aca="false">IF($H60="","",IFERROR(INDEX('Nhà cung cấp'!$G$4:$G$203,MATCH($H60,'Nhà cung cấp'!$A$4:$A$203,0)),""))</f>
        <v/>
      </c>
      <c r="AA60" s="41" t="str">
        <f aca="false">IF($A60="","",IFERROR($R60+$Z60,""))</f>
        <v/>
      </c>
      <c r="AB60" s="32"/>
    </row>
    <row r="61" customFormat="false" ht="15" hidden="false" customHeight="false" outlineLevel="0" collapsed="false">
      <c r="A61" s="32"/>
      <c r="B61" s="33"/>
      <c r="C61" s="32"/>
      <c r="D61" s="37" t="str">
        <f aca="false">IF($C61="","",IFERROR(INDEX(PR!$D$4:$D$203,MATCH($C61,PR!$A$4:$A$203,0)),""))</f>
        <v/>
      </c>
      <c r="E61" s="37" t="str">
        <f aca="false">IF($C61="","",IFERROR(INDEX(PR!$E$4:$E$203,MATCH($C61,PR!$A$4:$A$203,0)),""))</f>
        <v/>
      </c>
      <c r="F61" s="37" t="str">
        <f aca="false">IF($C61="","",IFERROR(INDEX(PR!$G$4:$G$203,MATCH($C61,PR!$A$4:$A$203,0)),""))</f>
        <v/>
      </c>
      <c r="G61" s="37" t="str">
        <f aca="false">IF($C61="","",IFERROR(INDEX(PR!$F$4:$F$203,MATCH($C61,PR!$A$4:$A$203,0)),""))</f>
        <v/>
      </c>
      <c r="H61" s="32"/>
      <c r="I61" s="37" t="str">
        <f aca="false">IF($H61="","",IFERROR(INDEX('Nhà cung cấp'!$B$4:$B$203,MATCH($H61,'Nhà cung cấp'!$A$4:$A$203,0)),""))</f>
        <v/>
      </c>
      <c r="J61" s="34"/>
      <c r="K61" s="34"/>
      <c r="L61" s="38" t="str">
        <f aca="false">IF($A61="","",IFERROR($J61*$K61,""))</f>
        <v/>
      </c>
      <c r="M61" s="38" t="str">
        <f aca="false">IF($C61="","",IFERROR(INDEX(PR!$L$4:$L$203,MATCH($C61,PR!$A$4:$A$203,0)),""))</f>
        <v/>
      </c>
      <c r="N61" s="38" t="str">
        <f aca="false">IF($A61="","",IFERROR($M61-$L61,""))</f>
        <v/>
      </c>
      <c r="O61" s="32"/>
      <c r="P61" s="33"/>
      <c r="Q61" s="33"/>
      <c r="R61" s="33"/>
      <c r="S61" s="37" t="str">
        <f aca="true">IF($A61="","",IF($Q61="","",IF($R61="",IF(TODAY()&gt;$Q61,"Trễ hạn","Chưa đến hạn"),IF($R61&lt;=$Q61,"Đúng hạn","Giao trễ"))))</f>
        <v/>
      </c>
      <c r="T61" s="38" t="str">
        <f aca="true">IF($A61="","",IF($Q61="",0,IF($R61="",IF(TODAY()&gt;$Q61,TODAY()-$Q61,0),MAX(0,$R61-$Q61))))</f>
        <v/>
      </c>
      <c r="U61" s="34"/>
      <c r="V61" s="34"/>
      <c r="W61" s="39" t="str">
        <f aca="false">IF($A61="","",IFERROR($V61/$U61,""))</f>
        <v/>
      </c>
      <c r="X61" s="34"/>
      <c r="Y61" s="37" t="str">
        <f aca="false">IF($A61="","",IF($U61="","",IF($W61&lt;='Tổng quan'!$C$8,"Đạt","Không đạt")))</f>
        <v/>
      </c>
      <c r="Z61" s="38" t="str">
        <f aca="false">IF($H61="","",IFERROR(INDEX('Nhà cung cấp'!$G$4:$G$203,MATCH($H61,'Nhà cung cấp'!$A$4:$A$203,0)),""))</f>
        <v/>
      </c>
      <c r="AA61" s="41" t="str">
        <f aca="false">IF($A61="","",IFERROR($R61+$Z61,""))</f>
        <v/>
      </c>
      <c r="AB61" s="32"/>
    </row>
    <row r="62" customFormat="false" ht="15" hidden="false" customHeight="false" outlineLevel="0" collapsed="false">
      <c r="A62" s="32"/>
      <c r="B62" s="33"/>
      <c r="C62" s="32"/>
      <c r="D62" s="37" t="str">
        <f aca="false">IF($C62="","",IFERROR(INDEX(PR!$D$4:$D$203,MATCH($C62,PR!$A$4:$A$203,0)),""))</f>
        <v/>
      </c>
      <c r="E62" s="37" t="str">
        <f aca="false">IF($C62="","",IFERROR(INDEX(PR!$E$4:$E$203,MATCH($C62,PR!$A$4:$A$203,0)),""))</f>
        <v/>
      </c>
      <c r="F62" s="37" t="str">
        <f aca="false">IF($C62="","",IFERROR(INDEX(PR!$G$4:$G$203,MATCH($C62,PR!$A$4:$A$203,0)),""))</f>
        <v/>
      </c>
      <c r="G62" s="37" t="str">
        <f aca="false">IF($C62="","",IFERROR(INDEX(PR!$F$4:$F$203,MATCH($C62,PR!$A$4:$A$203,0)),""))</f>
        <v/>
      </c>
      <c r="H62" s="32"/>
      <c r="I62" s="37" t="str">
        <f aca="false">IF($H62="","",IFERROR(INDEX('Nhà cung cấp'!$B$4:$B$203,MATCH($H62,'Nhà cung cấp'!$A$4:$A$203,0)),""))</f>
        <v/>
      </c>
      <c r="J62" s="34"/>
      <c r="K62" s="34"/>
      <c r="L62" s="38" t="str">
        <f aca="false">IF($A62="","",IFERROR($J62*$K62,""))</f>
        <v/>
      </c>
      <c r="M62" s="38" t="str">
        <f aca="false">IF($C62="","",IFERROR(INDEX(PR!$L$4:$L$203,MATCH($C62,PR!$A$4:$A$203,0)),""))</f>
        <v/>
      </c>
      <c r="N62" s="38" t="str">
        <f aca="false">IF($A62="","",IFERROR($M62-$L62,""))</f>
        <v/>
      </c>
      <c r="O62" s="32"/>
      <c r="P62" s="33"/>
      <c r="Q62" s="33"/>
      <c r="R62" s="33"/>
      <c r="S62" s="37" t="str">
        <f aca="true">IF($A62="","",IF($Q62="","",IF($R62="",IF(TODAY()&gt;$Q62,"Trễ hạn","Chưa đến hạn"),IF($R62&lt;=$Q62,"Đúng hạn","Giao trễ"))))</f>
        <v/>
      </c>
      <c r="T62" s="38" t="str">
        <f aca="true">IF($A62="","",IF($Q62="",0,IF($R62="",IF(TODAY()&gt;$Q62,TODAY()-$Q62,0),MAX(0,$R62-$Q62))))</f>
        <v/>
      </c>
      <c r="U62" s="34"/>
      <c r="V62" s="34"/>
      <c r="W62" s="39" t="str">
        <f aca="false">IF($A62="","",IFERROR($V62/$U62,""))</f>
        <v/>
      </c>
      <c r="X62" s="34"/>
      <c r="Y62" s="37" t="str">
        <f aca="false">IF($A62="","",IF($U62="","",IF($W62&lt;='Tổng quan'!$C$8,"Đạt","Không đạt")))</f>
        <v/>
      </c>
      <c r="Z62" s="38" t="str">
        <f aca="false">IF($H62="","",IFERROR(INDEX('Nhà cung cấp'!$G$4:$G$203,MATCH($H62,'Nhà cung cấp'!$A$4:$A$203,0)),""))</f>
        <v/>
      </c>
      <c r="AA62" s="41" t="str">
        <f aca="false">IF($A62="","",IFERROR($R62+$Z62,""))</f>
        <v/>
      </c>
      <c r="AB62" s="32"/>
    </row>
    <row r="63" customFormat="false" ht="15" hidden="false" customHeight="false" outlineLevel="0" collapsed="false">
      <c r="A63" s="32"/>
      <c r="B63" s="33"/>
      <c r="C63" s="32"/>
      <c r="D63" s="37" t="str">
        <f aca="false">IF($C63="","",IFERROR(INDEX(PR!$D$4:$D$203,MATCH($C63,PR!$A$4:$A$203,0)),""))</f>
        <v/>
      </c>
      <c r="E63" s="37" t="str">
        <f aca="false">IF($C63="","",IFERROR(INDEX(PR!$E$4:$E$203,MATCH($C63,PR!$A$4:$A$203,0)),""))</f>
        <v/>
      </c>
      <c r="F63" s="37" t="str">
        <f aca="false">IF($C63="","",IFERROR(INDEX(PR!$G$4:$G$203,MATCH($C63,PR!$A$4:$A$203,0)),""))</f>
        <v/>
      </c>
      <c r="G63" s="37" t="str">
        <f aca="false">IF($C63="","",IFERROR(INDEX(PR!$F$4:$F$203,MATCH($C63,PR!$A$4:$A$203,0)),""))</f>
        <v/>
      </c>
      <c r="H63" s="32"/>
      <c r="I63" s="37" t="str">
        <f aca="false">IF($H63="","",IFERROR(INDEX('Nhà cung cấp'!$B$4:$B$203,MATCH($H63,'Nhà cung cấp'!$A$4:$A$203,0)),""))</f>
        <v/>
      </c>
      <c r="J63" s="34"/>
      <c r="K63" s="34"/>
      <c r="L63" s="38" t="str">
        <f aca="false">IF($A63="","",IFERROR($J63*$K63,""))</f>
        <v/>
      </c>
      <c r="M63" s="38" t="str">
        <f aca="false">IF($C63="","",IFERROR(INDEX(PR!$L$4:$L$203,MATCH($C63,PR!$A$4:$A$203,0)),""))</f>
        <v/>
      </c>
      <c r="N63" s="38" t="str">
        <f aca="false">IF($A63="","",IFERROR($M63-$L63,""))</f>
        <v/>
      </c>
      <c r="O63" s="32"/>
      <c r="P63" s="33"/>
      <c r="Q63" s="33"/>
      <c r="R63" s="33"/>
      <c r="S63" s="37" t="str">
        <f aca="true">IF($A63="","",IF($Q63="","",IF($R63="",IF(TODAY()&gt;$Q63,"Trễ hạn","Chưa đến hạn"),IF($R63&lt;=$Q63,"Đúng hạn","Giao trễ"))))</f>
        <v/>
      </c>
      <c r="T63" s="38" t="str">
        <f aca="true">IF($A63="","",IF($Q63="",0,IF($R63="",IF(TODAY()&gt;$Q63,TODAY()-$Q63,0),MAX(0,$R63-$Q63))))</f>
        <v/>
      </c>
      <c r="U63" s="34"/>
      <c r="V63" s="34"/>
      <c r="W63" s="39" t="str">
        <f aca="false">IF($A63="","",IFERROR($V63/$U63,""))</f>
        <v/>
      </c>
      <c r="X63" s="34"/>
      <c r="Y63" s="37" t="str">
        <f aca="false">IF($A63="","",IF($U63="","",IF($W63&lt;='Tổng quan'!$C$8,"Đạt","Không đạt")))</f>
        <v/>
      </c>
      <c r="Z63" s="38" t="str">
        <f aca="false">IF($H63="","",IFERROR(INDEX('Nhà cung cấp'!$G$4:$G$203,MATCH($H63,'Nhà cung cấp'!$A$4:$A$203,0)),""))</f>
        <v/>
      </c>
      <c r="AA63" s="41" t="str">
        <f aca="false">IF($A63="","",IFERROR($R63+$Z63,""))</f>
        <v/>
      </c>
      <c r="AB63" s="32"/>
    </row>
    <row r="64" customFormat="false" ht="15" hidden="false" customHeight="false" outlineLevel="0" collapsed="false">
      <c r="A64" s="32"/>
      <c r="B64" s="33"/>
      <c r="C64" s="32"/>
      <c r="D64" s="37" t="str">
        <f aca="false">IF($C64="","",IFERROR(INDEX(PR!$D$4:$D$203,MATCH($C64,PR!$A$4:$A$203,0)),""))</f>
        <v/>
      </c>
      <c r="E64" s="37" t="str">
        <f aca="false">IF($C64="","",IFERROR(INDEX(PR!$E$4:$E$203,MATCH($C64,PR!$A$4:$A$203,0)),""))</f>
        <v/>
      </c>
      <c r="F64" s="37" t="str">
        <f aca="false">IF($C64="","",IFERROR(INDEX(PR!$G$4:$G$203,MATCH($C64,PR!$A$4:$A$203,0)),""))</f>
        <v/>
      </c>
      <c r="G64" s="37" t="str">
        <f aca="false">IF($C64="","",IFERROR(INDEX(PR!$F$4:$F$203,MATCH($C64,PR!$A$4:$A$203,0)),""))</f>
        <v/>
      </c>
      <c r="H64" s="32"/>
      <c r="I64" s="37" t="str">
        <f aca="false">IF($H64="","",IFERROR(INDEX('Nhà cung cấp'!$B$4:$B$203,MATCH($H64,'Nhà cung cấp'!$A$4:$A$203,0)),""))</f>
        <v/>
      </c>
      <c r="J64" s="34"/>
      <c r="K64" s="34"/>
      <c r="L64" s="38" t="str">
        <f aca="false">IF($A64="","",IFERROR($J64*$K64,""))</f>
        <v/>
      </c>
      <c r="M64" s="38" t="str">
        <f aca="false">IF($C64="","",IFERROR(INDEX(PR!$L$4:$L$203,MATCH($C64,PR!$A$4:$A$203,0)),""))</f>
        <v/>
      </c>
      <c r="N64" s="38" t="str">
        <f aca="false">IF($A64="","",IFERROR($M64-$L64,""))</f>
        <v/>
      </c>
      <c r="O64" s="32"/>
      <c r="P64" s="33"/>
      <c r="Q64" s="33"/>
      <c r="R64" s="33"/>
      <c r="S64" s="37" t="str">
        <f aca="true">IF($A64="","",IF($Q64="","",IF($R64="",IF(TODAY()&gt;$Q64,"Trễ hạn","Chưa đến hạn"),IF($R64&lt;=$Q64,"Đúng hạn","Giao trễ"))))</f>
        <v/>
      </c>
      <c r="T64" s="38" t="str">
        <f aca="true">IF($A64="","",IF($Q64="",0,IF($R64="",IF(TODAY()&gt;$Q64,TODAY()-$Q64,0),MAX(0,$R64-$Q64))))</f>
        <v/>
      </c>
      <c r="U64" s="34"/>
      <c r="V64" s="34"/>
      <c r="W64" s="39" t="str">
        <f aca="false">IF($A64="","",IFERROR($V64/$U64,""))</f>
        <v/>
      </c>
      <c r="X64" s="34"/>
      <c r="Y64" s="37" t="str">
        <f aca="false">IF($A64="","",IF($U64="","",IF($W64&lt;='Tổng quan'!$C$8,"Đạt","Không đạt")))</f>
        <v/>
      </c>
      <c r="Z64" s="38" t="str">
        <f aca="false">IF($H64="","",IFERROR(INDEX('Nhà cung cấp'!$G$4:$G$203,MATCH($H64,'Nhà cung cấp'!$A$4:$A$203,0)),""))</f>
        <v/>
      </c>
      <c r="AA64" s="41" t="str">
        <f aca="false">IF($A64="","",IFERROR($R64+$Z64,""))</f>
        <v/>
      </c>
      <c r="AB64" s="32"/>
    </row>
    <row r="65" customFormat="false" ht="15" hidden="false" customHeight="false" outlineLevel="0" collapsed="false">
      <c r="A65" s="32"/>
      <c r="B65" s="33"/>
      <c r="C65" s="32"/>
      <c r="D65" s="37" t="str">
        <f aca="false">IF($C65="","",IFERROR(INDEX(PR!$D$4:$D$203,MATCH($C65,PR!$A$4:$A$203,0)),""))</f>
        <v/>
      </c>
      <c r="E65" s="37" t="str">
        <f aca="false">IF($C65="","",IFERROR(INDEX(PR!$E$4:$E$203,MATCH($C65,PR!$A$4:$A$203,0)),""))</f>
        <v/>
      </c>
      <c r="F65" s="37" t="str">
        <f aca="false">IF($C65="","",IFERROR(INDEX(PR!$G$4:$G$203,MATCH($C65,PR!$A$4:$A$203,0)),""))</f>
        <v/>
      </c>
      <c r="G65" s="37" t="str">
        <f aca="false">IF($C65="","",IFERROR(INDEX(PR!$F$4:$F$203,MATCH($C65,PR!$A$4:$A$203,0)),""))</f>
        <v/>
      </c>
      <c r="H65" s="32"/>
      <c r="I65" s="37" t="str">
        <f aca="false">IF($H65="","",IFERROR(INDEX('Nhà cung cấp'!$B$4:$B$203,MATCH($H65,'Nhà cung cấp'!$A$4:$A$203,0)),""))</f>
        <v/>
      </c>
      <c r="J65" s="34"/>
      <c r="K65" s="34"/>
      <c r="L65" s="38" t="str">
        <f aca="false">IF($A65="","",IFERROR($J65*$K65,""))</f>
        <v/>
      </c>
      <c r="M65" s="38" t="str">
        <f aca="false">IF($C65="","",IFERROR(INDEX(PR!$L$4:$L$203,MATCH($C65,PR!$A$4:$A$203,0)),""))</f>
        <v/>
      </c>
      <c r="N65" s="38" t="str">
        <f aca="false">IF($A65="","",IFERROR($M65-$L65,""))</f>
        <v/>
      </c>
      <c r="O65" s="32"/>
      <c r="P65" s="33"/>
      <c r="Q65" s="33"/>
      <c r="R65" s="33"/>
      <c r="S65" s="37" t="str">
        <f aca="true">IF($A65="","",IF($Q65="","",IF($R65="",IF(TODAY()&gt;$Q65,"Trễ hạn","Chưa đến hạn"),IF($R65&lt;=$Q65,"Đúng hạn","Giao trễ"))))</f>
        <v/>
      </c>
      <c r="T65" s="38" t="str">
        <f aca="true">IF($A65="","",IF($Q65="",0,IF($R65="",IF(TODAY()&gt;$Q65,TODAY()-$Q65,0),MAX(0,$R65-$Q65))))</f>
        <v/>
      </c>
      <c r="U65" s="34"/>
      <c r="V65" s="34"/>
      <c r="W65" s="39" t="str">
        <f aca="false">IF($A65="","",IFERROR($V65/$U65,""))</f>
        <v/>
      </c>
      <c r="X65" s="34"/>
      <c r="Y65" s="37" t="str">
        <f aca="false">IF($A65="","",IF($U65="","",IF($W65&lt;='Tổng quan'!$C$8,"Đạt","Không đạt")))</f>
        <v/>
      </c>
      <c r="Z65" s="38" t="str">
        <f aca="false">IF($H65="","",IFERROR(INDEX('Nhà cung cấp'!$G$4:$G$203,MATCH($H65,'Nhà cung cấp'!$A$4:$A$203,0)),""))</f>
        <v/>
      </c>
      <c r="AA65" s="41" t="str">
        <f aca="false">IF($A65="","",IFERROR($R65+$Z65,""))</f>
        <v/>
      </c>
      <c r="AB65" s="32"/>
    </row>
    <row r="66" customFormat="false" ht="15" hidden="false" customHeight="false" outlineLevel="0" collapsed="false">
      <c r="A66" s="32"/>
      <c r="B66" s="33"/>
      <c r="C66" s="32"/>
      <c r="D66" s="37" t="str">
        <f aca="false">IF($C66="","",IFERROR(INDEX(PR!$D$4:$D$203,MATCH($C66,PR!$A$4:$A$203,0)),""))</f>
        <v/>
      </c>
      <c r="E66" s="37" t="str">
        <f aca="false">IF($C66="","",IFERROR(INDEX(PR!$E$4:$E$203,MATCH($C66,PR!$A$4:$A$203,0)),""))</f>
        <v/>
      </c>
      <c r="F66" s="37" t="str">
        <f aca="false">IF($C66="","",IFERROR(INDEX(PR!$G$4:$G$203,MATCH($C66,PR!$A$4:$A$203,0)),""))</f>
        <v/>
      </c>
      <c r="G66" s="37" t="str">
        <f aca="false">IF($C66="","",IFERROR(INDEX(PR!$F$4:$F$203,MATCH($C66,PR!$A$4:$A$203,0)),""))</f>
        <v/>
      </c>
      <c r="H66" s="32"/>
      <c r="I66" s="37" t="str">
        <f aca="false">IF($H66="","",IFERROR(INDEX('Nhà cung cấp'!$B$4:$B$203,MATCH($H66,'Nhà cung cấp'!$A$4:$A$203,0)),""))</f>
        <v/>
      </c>
      <c r="J66" s="34"/>
      <c r="K66" s="34"/>
      <c r="L66" s="38" t="str">
        <f aca="false">IF($A66="","",IFERROR($J66*$K66,""))</f>
        <v/>
      </c>
      <c r="M66" s="38" t="str">
        <f aca="false">IF($C66="","",IFERROR(INDEX(PR!$L$4:$L$203,MATCH($C66,PR!$A$4:$A$203,0)),""))</f>
        <v/>
      </c>
      <c r="N66" s="38" t="str">
        <f aca="false">IF($A66="","",IFERROR($M66-$L66,""))</f>
        <v/>
      </c>
      <c r="O66" s="32"/>
      <c r="P66" s="33"/>
      <c r="Q66" s="33"/>
      <c r="R66" s="33"/>
      <c r="S66" s="37" t="str">
        <f aca="true">IF($A66="","",IF($Q66="","",IF($R66="",IF(TODAY()&gt;$Q66,"Trễ hạn","Chưa đến hạn"),IF($R66&lt;=$Q66,"Đúng hạn","Giao trễ"))))</f>
        <v/>
      </c>
      <c r="T66" s="38" t="str">
        <f aca="true">IF($A66="","",IF($Q66="",0,IF($R66="",IF(TODAY()&gt;$Q66,TODAY()-$Q66,0),MAX(0,$R66-$Q66))))</f>
        <v/>
      </c>
      <c r="U66" s="34"/>
      <c r="V66" s="34"/>
      <c r="W66" s="39" t="str">
        <f aca="false">IF($A66="","",IFERROR($V66/$U66,""))</f>
        <v/>
      </c>
      <c r="X66" s="34"/>
      <c r="Y66" s="37" t="str">
        <f aca="false">IF($A66="","",IF($U66="","",IF($W66&lt;='Tổng quan'!$C$8,"Đạt","Không đạt")))</f>
        <v/>
      </c>
      <c r="Z66" s="38" t="str">
        <f aca="false">IF($H66="","",IFERROR(INDEX('Nhà cung cấp'!$G$4:$G$203,MATCH($H66,'Nhà cung cấp'!$A$4:$A$203,0)),""))</f>
        <v/>
      </c>
      <c r="AA66" s="41" t="str">
        <f aca="false">IF($A66="","",IFERROR($R66+$Z66,""))</f>
        <v/>
      </c>
      <c r="AB66" s="32"/>
    </row>
    <row r="67" customFormat="false" ht="15" hidden="false" customHeight="false" outlineLevel="0" collapsed="false">
      <c r="A67" s="32"/>
      <c r="B67" s="33"/>
      <c r="C67" s="32"/>
      <c r="D67" s="37" t="str">
        <f aca="false">IF($C67="","",IFERROR(INDEX(PR!$D$4:$D$203,MATCH($C67,PR!$A$4:$A$203,0)),""))</f>
        <v/>
      </c>
      <c r="E67" s="37" t="str">
        <f aca="false">IF($C67="","",IFERROR(INDEX(PR!$E$4:$E$203,MATCH($C67,PR!$A$4:$A$203,0)),""))</f>
        <v/>
      </c>
      <c r="F67" s="37" t="str">
        <f aca="false">IF($C67="","",IFERROR(INDEX(PR!$G$4:$G$203,MATCH($C67,PR!$A$4:$A$203,0)),""))</f>
        <v/>
      </c>
      <c r="G67" s="37" t="str">
        <f aca="false">IF($C67="","",IFERROR(INDEX(PR!$F$4:$F$203,MATCH($C67,PR!$A$4:$A$203,0)),""))</f>
        <v/>
      </c>
      <c r="H67" s="32"/>
      <c r="I67" s="37" t="str">
        <f aca="false">IF($H67="","",IFERROR(INDEX('Nhà cung cấp'!$B$4:$B$203,MATCH($H67,'Nhà cung cấp'!$A$4:$A$203,0)),""))</f>
        <v/>
      </c>
      <c r="J67" s="34"/>
      <c r="K67" s="34"/>
      <c r="L67" s="38" t="str">
        <f aca="false">IF($A67="","",IFERROR($J67*$K67,""))</f>
        <v/>
      </c>
      <c r="M67" s="38" t="str">
        <f aca="false">IF($C67="","",IFERROR(INDEX(PR!$L$4:$L$203,MATCH($C67,PR!$A$4:$A$203,0)),""))</f>
        <v/>
      </c>
      <c r="N67" s="38" t="str">
        <f aca="false">IF($A67="","",IFERROR($M67-$L67,""))</f>
        <v/>
      </c>
      <c r="O67" s="32"/>
      <c r="P67" s="33"/>
      <c r="Q67" s="33"/>
      <c r="R67" s="33"/>
      <c r="S67" s="37" t="str">
        <f aca="true">IF($A67="","",IF($Q67="","",IF($R67="",IF(TODAY()&gt;$Q67,"Trễ hạn","Chưa đến hạn"),IF($R67&lt;=$Q67,"Đúng hạn","Giao trễ"))))</f>
        <v/>
      </c>
      <c r="T67" s="38" t="str">
        <f aca="true">IF($A67="","",IF($Q67="",0,IF($R67="",IF(TODAY()&gt;$Q67,TODAY()-$Q67,0),MAX(0,$R67-$Q67))))</f>
        <v/>
      </c>
      <c r="U67" s="34"/>
      <c r="V67" s="34"/>
      <c r="W67" s="39" t="str">
        <f aca="false">IF($A67="","",IFERROR($V67/$U67,""))</f>
        <v/>
      </c>
      <c r="X67" s="34"/>
      <c r="Y67" s="37" t="str">
        <f aca="false">IF($A67="","",IF($U67="","",IF($W67&lt;='Tổng quan'!$C$8,"Đạt","Không đạt")))</f>
        <v/>
      </c>
      <c r="Z67" s="38" t="str">
        <f aca="false">IF($H67="","",IFERROR(INDEX('Nhà cung cấp'!$G$4:$G$203,MATCH($H67,'Nhà cung cấp'!$A$4:$A$203,0)),""))</f>
        <v/>
      </c>
      <c r="AA67" s="41" t="str">
        <f aca="false">IF($A67="","",IFERROR($R67+$Z67,""))</f>
        <v/>
      </c>
      <c r="AB67" s="32"/>
    </row>
    <row r="68" customFormat="false" ht="15" hidden="false" customHeight="false" outlineLevel="0" collapsed="false">
      <c r="A68" s="32"/>
      <c r="B68" s="33"/>
      <c r="C68" s="32"/>
      <c r="D68" s="37" t="str">
        <f aca="false">IF($C68="","",IFERROR(INDEX(PR!$D$4:$D$203,MATCH($C68,PR!$A$4:$A$203,0)),""))</f>
        <v/>
      </c>
      <c r="E68" s="37" t="str">
        <f aca="false">IF($C68="","",IFERROR(INDEX(PR!$E$4:$E$203,MATCH($C68,PR!$A$4:$A$203,0)),""))</f>
        <v/>
      </c>
      <c r="F68" s="37" t="str">
        <f aca="false">IF($C68="","",IFERROR(INDEX(PR!$G$4:$G$203,MATCH($C68,PR!$A$4:$A$203,0)),""))</f>
        <v/>
      </c>
      <c r="G68" s="37" t="str">
        <f aca="false">IF($C68="","",IFERROR(INDEX(PR!$F$4:$F$203,MATCH($C68,PR!$A$4:$A$203,0)),""))</f>
        <v/>
      </c>
      <c r="H68" s="32"/>
      <c r="I68" s="37" t="str">
        <f aca="false">IF($H68="","",IFERROR(INDEX('Nhà cung cấp'!$B$4:$B$203,MATCH($H68,'Nhà cung cấp'!$A$4:$A$203,0)),""))</f>
        <v/>
      </c>
      <c r="J68" s="34"/>
      <c r="K68" s="34"/>
      <c r="L68" s="38" t="str">
        <f aca="false">IF($A68="","",IFERROR($J68*$K68,""))</f>
        <v/>
      </c>
      <c r="M68" s="38" t="str">
        <f aca="false">IF($C68="","",IFERROR(INDEX(PR!$L$4:$L$203,MATCH($C68,PR!$A$4:$A$203,0)),""))</f>
        <v/>
      </c>
      <c r="N68" s="38" t="str">
        <f aca="false">IF($A68="","",IFERROR($M68-$L68,""))</f>
        <v/>
      </c>
      <c r="O68" s="32"/>
      <c r="P68" s="33"/>
      <c r="Q68" s="33"/>
      <c r="R68" s="33"/>
      <c r="S68" s="37" t="str">
        <f aca="true">IF($A68="","",IF($Q68="","",IF($R68="",IF(TODAY()&gt;$Q68,"Trễ hạn","Chưa đến hạn"),IF($R68&lt;=$Q68,"Đúng hạn","Giao trễ"))))</f>
        <v/>
      </c>
      <c r="T68" s="38" t="str">
        <f aca="true">IF($A68="","",IF($Q68="",0,IF($R68="",IF(TODAY()&gt;$Q68,TODAY()-$Q68,0),MAX(0,$R68-$Q68))))</f>
        <v/>
      </c>
      <c r="U68" s="34"/>
      <c r="V68" s="34"/>
      <c r="W68" s="39" t="str">
        <f aca="false">IF($A68="","",IFERROR($V68/$U68,""))</f>
        <v/>
      </c>
      <c r="X68" s="34"/>
      <c r="Y68" s="37" t="str">
        <f aca="false">IF($A68="","",IF($U68="","",IF($W68&lt;='Tổng quan'!$C$8,"Đạt","Không đạt")))</f>
        <v/>
      </c>
      <c r="Z68" s="38" t="str">
        <f aca="false">IF($H68="","",IFERROR(INDEX('Nhà cung cấp'!$G$4:$G$203,MATCH($H68,'Nhà cung cấp'!$A$4:$A$203,0)),""))</f>
        <v/>
      </c>
      <c r="AA68" s="41" t="str">
        <f aca="false">IF($A68="","",IFERROR($R68+$Z68,""))</f>
        <v/>
      </c>
      <c r="AB68" s="32"/>
    </row>
    <row r="69" customFormat="false" ht="15" hidden="false" customHeight="false" outlineLevel="0" collapsed="false">
      <c r="A69" s="32"/>
      <c r="B69" s="33"/>
      <c r="C69" s="32"/>
      <c r="D69" s="37" t="str">
        <f aca="false">IF($C69="","",IFERROR(INDEX(PR!$D$4:$D$203,MATCH($C69,PR!$A$4:$A$203,0)),""))</f>
        <v/>
      </c>
      <c r="E69" s="37" t="str">
        <f aca="false">IF($C69="","",IFERROR(INDEX(PR!$E$4:$E$203,MATCH($C69,PR!$A$4:$A$203,0)),""))</f>
        <v/>
      </c>
      <c r="F69" s="37" t="str">
        <f aca="false">IF($C69="","",IFERROR(INDEX(PR!$G$4:$G$203,MATCH($C69,PR!$A$4:$A$203,0)),""))</f>
        <v/>
      </c>
      <c r="G69" s="37" t="str">
        <f aca="false">IF($C69="","",IFERROR(INDEX(PR!$F$4:$F$203,MATCH($C69,PR!$A$4:$A$203,0)),""))</f>
        <v/>
      </c>
      <c r="H69" s="32"/>
      <c r="I69" s="37" t="str">
        <f aca="false">IF($H69="","",IFERROR(INDEX('Nhà cung cấp'!$B$4:$B$203,MATCH($H69,'Nhà cung cấp'!$A$4:$A$203,0)),""))</f>
        <v/>
      </c>
      <c r="J69" s="34"/>
      <c r="K69" s="34"/>
      <c r="L69" s="38" t="str">
        <f aca="false">IF($A69="","",IFERROR($J69*$K69,""))</f>
        <v/>
      </c>
      <c r="M69" s="38" t="str">
        <f aca="false">IF($C69="","",IFERROR(INDEX(PR!$L$4:$L$203,MATCH($C69,PR!$A$4:$A$203,0)),""))</f>
        <v/>
      </c>
      <c r="N69" s="38" t="str">
        <f aca="false">IF($A69="","",IFERROR($M69-$L69,""))</f>
        <v/>
      </c>
      <c r="O69" s="32"/>
      <c r="P69" s="33"/>
      <c r="Q69" s="33"/>
      <c r="R69" s="33"/>
      <c r="S69" s="37" t="str">
        <f aca="true">IF($A69="","",IF($Q69="","",IF($R69="",IF(TODAY()&gt;$Q69,"Trễ hạn","Chưa đến hạn"),IF($R69&lt;=$Q69,"Đúng hạn","Giao trễ"))))</f>
        <v/>
      </c>
      <c r="T69" s="38" t="str">
        <f aca="true">IF($A69="","",IF($Q69="",0,IF($R69="",IF(TODAY()&gt;$Q69,TODAY()-$Q69,0),MAX(0,$R69-$Q69))))</f>
        <v/>
      </c>
      <c r="U69" s="34"/>
      <c r="V69" s="34"/>
      <c r="W69" s="39" t="str">
        <f aca="false">IF($A69="","",IFERROR($V69/$U69,""))</f>
        <v/>
      </c>
      <c r="X69" s="34"/>
      <c r="Y69" s="37" t="str">
        <f aca="false">IF($A69="","",IF($U69="","",IF($W69&lt;='Tổng quan'!$C$8,"Đạt","Không đạt")))</f>
        <v/>
      </c>
      <c r="Z69" s="38" t="str">
        <f aca="false">IF($H69="","",IFERROR(INDEX('Nhà cung cấp'!$G$4:$G$203,MATCH($H69,'Nhà cung cấp'!$A$4:$A$203,0)),""))</f>
        <v/>
      </c>
      <c r="AA69" s="41" t="str">
        <f aca="false">IF($A69="","",IFERROR($R69+$Z69,""))</f>
        <v/>
      </c>
      <c r="AB69" s="32"/>
    </row>
    <row r="70" customFormat="false" ht="15" hidden="false" customHeight="false" outlineLevel="0" collapsed="false">
      <c r="A70" s="32"/>
      <c r="B70" s="33"/>
      <c r="C70" s="32"/>
      <c r="D70" s="37" t="str">
        <f aca="false">IF($C70="","",IFERROR(INDEX(PR!$D$4:$D$203,MATCH($C70,PR!$A$4:$A$203,0)),""))</f>
        <v/>
      </c>
      <c r="E70" s="37" t="str">
        <f aca="false">IF($C70="","",IFERROR(INDEX(PR!$E$4:$E$203,MATCH($C70,PR!$A$4:$A$203,0)),""))</f>
        <v/>
      </c>
      <c r="F70" s="37" t="str">
        <f aca="false">IF($C70="","",IFERROR(INDEX(PR!$G$4:$G$203,MATCH($C70,PR!$A$4:$A$203,0)),""))</f>
        <v/>
      </c>
      <c r="G70" s="37" t="str">
        <f aca="false">IF($C70="","",IFERROR(INDEX(PR!$F$4:$F$203,MATCH($C70,PR!$A$4:$A$203,0)),""))</f>
        <v/>
      </c>
      <c r="H70" s="32"/>
      <c r="I70" s="37" t="str">
        <f aca="false">IF($H70="","",IFERROR(INDEX('Nhà cung cấp'!$B$4:$B$203,MATCH($H70,'Nhà cung cấp'!$A$4:$A$203,0)),""))</f>
        <v/>
      </c>
      <c r="J70" s="34"/>
      <c r="K70" s="34"/>
      <c r="L70" s="38" t="str">
        <f aca="false">IF($A70="","",IFERROR($J70*$K70,""))</f>
        <v/>
      </c>
      <c r="M70" s="38" t="str">
        <f aca="false">IF($C70="","",IFERROR(INDEX(PR!$L$4:$L$203,MATCH($C70,PR!$A$4:$A$203,0)),""))</f>
        <v/>
      </c>
      <c r="N70" s="38" t="str">
        <f aca="false">IF($A70="","",IFERROR($M70-$L70,""))</f>
        <v/>
      </c>
      <c r="O70" s="32"/>
      <c r="P70" s="33"/>
      <c r="Q70" s="33"/>
      <c r="R70" s="33"/>
      <c r="S70" s="37" t="str">
        <f aca="true">IF($A70="","",IF($Q70="","",IF($R70="",IF(TODAY()&gt;$Q70,"Trễ hạn","Chưa đến hạn"),IF($R70&lt;=$Q70,"Đúng hạn","Giao trễ"))))</f>
        <v/>
      </c>
      <c r="T70" s="38" t="str">
        <f aca="true">IF($A70="","",IF($Q70="",0,IF($R70="",IF(TODAY()&gt;$Q70,TODAY()-$Q70,0),MAX(0,$R70-$Q70))))</f>
        <v/>
      </c>
      <c r="U70" s="34"/>
      <c r="V70" s="34"/>
      <c r="W70" s="39" t="str">
        <f aca="false">IF($A70="","",IFERROR($V70/$U70,""))</f>
        <v/>
      </c>
      <c r="X70" s="34"/>
      <c r="Y70" s="37" t="str">
        <f aca="false">IF($A70="","",IF($U70="","",IF($W70&lt;='Tổng quan'!$C$8,"Đạt","Không đạt")))</f>
        <v/>
      </c>
      <c r="Z70" s="38" t="str">
        <f aca="false">IF($H70="","",IFERROR(INDEX('Nhà cung cấp'!$G$4:$G$203,MATCH($H70,'Nhà cung cấp'!$A$4:$A$203,0)),""))</f>
        <v/>
      </c>
      <c r="AA70" s="41" t="str">
        <f aca="false">IF($A70="","",IFERROR($R70+$Z70,""))</f>
        <v/>
      </c>
      <c r="AB70" s="32"/>
    </row>
    <row r="71" customFormat="false" ht="15" hidden="false" customHeight="false" outlineLevel="0" collapsed="false">
      <c r="A71" s="32"/>
      <c r="B71" s="33"/>
      <c r="C71" s="32"/>
      <c r="D71" s="37" t="str">
        <f aca="false">IF($C71="","",IFERROR(INDEX(PR!$D$4:$D$203,MATCH($C71,PR!$A$4:$A$203,0)),""))</f>
        <v/>
      </c>
      <c r="E71" s="37" t="str">
        <f aca="false">IF($C71="","",IFERROR(INDEX(PR!$E$4:$E$203,MATCH($C71,PR!$A$4:$A$203,0)),""))</f>
        <v/>
      </c>
      <c r="F71" s="37" t="str">
        <f aca="false">IF($C71="","",IFERROR(INDEX(PR!$G$4:$G$203,MATCH($C71,PR!$A$4:$A$203,0)),""))</f>
        <v/>
      </c>
      <c r="G71" s="37" t="str">
        <f aca="false">IF($C71="","",IFERROR(INDEX(PR!$F$4:$F$203,MATCH($C71,PR!$A$4:$A$203,0)),""))</f>
        <v/>
      </c>
      <c r="H71" s="32"/>
      <c r="I71" s="37" t="str">
        <f aca="false">IF($H71="","",IFERROR(INDEX('Nhà cung cấp'!$B$4:$B$203,MATCH($H71,'Nhà cung cấp'!$A$4:$A$203,0)),""))</f>
        <v/>
      </c>
      <c r="J71" s="34"/>
      <c r="K71" s="34"/>
      <c r="L71" s="38" t="str">
        <f aca="false">IF($A71="","",IFERROR($J71*$K71,""))</f>
        <v/>
      </c>
      <c r="M71" s="38" t="str">
        <f aca="false">IF($C71="","",IFERROR(INDEX(PR!$L$4:$L$203,MATCH($C71,PR!$A$4:$A$203,0)),""))</f>
        <v/>
      </c>
      <c r="N71" s="38" t="str">
        <f aca="false">IF($A71="","",IFERROR($M71-$L71,""))</f>
        <v/>
      </c>
      <c r="O71" s="32"/>
      <c r="P71" s="33"/>
      <c r="Q71" s="33"/>
      <c r="R71" s="33"/>
      <c r="S71" s="37" t="str">
        <f aca="true">IF($A71="","",IF($Q71="","",IF($R71="",IF(TODAY()&gt;$Q71,"Trễ hạn","Chưa đến hạn"),IF($R71&lt;=$Q71,"Đúng hạn","Giao trễ"))))</f>
        <v/>
      </c>
      <c r="T71" s="38" t="str">
        <f aca="true">IF($A71="","",IF($Q71="",0,IF($R71="",IF(TODAY()&gt;$Q71,TODAY()-$Q71,0),MAX(0,$R71-$Q71))))</f>
        <v/>
      </c>
      <c r="U71" s="34"/>
      <c r="V71" s="34"/>
      <c r="W71" s="39" t="str">
        <f aca="false">IF($A71="","",IFERROR($V71/$U71,""))</f>
        <v/>
      </c>
      <c r="X71" s="34"/>
      <c r="Y71" s="37" t="str">
        <f aca="false">IF($A71="","",IF($U71="","",IF($W71&lt;='Tổng quan'!$C$8,"Đạt","Không đạt")))</f>
        <v/>
      </c>
      <c r="Z71" s="38" t="str">
        <f aca="false">IF($H71="","",IFERROR(INDEX('Nhà cung cấp'!$G$4:$G$203,MATCH($H71,'Nhà cung cấp'!$A$4:$A$203,0)),""))</f>
        <v/>
      </c>
      <c r="AA71" s="41" t="str">
        <f aca="false">IF($A71="","",IFERROR($R71+$Z71,""))</f>
        <v/>
      </c>
      <c r="AB71" s="32"/>
    </row>
    <row r="72" customFormat="false" ht="15" hidden="false" customHeight="false" outlineLevel="0" collapsed="false">
      <c r="A72" s="32"/>
      <c r="B72" s="33"/>
      <c r="C72" s="32"/>
      <c r="D72" s="37" t="str">
        <f aca="false">IF($C72="","",IFERROR(INDEX(PR!$D$4:$D$203,MATCH($C72,PR!$A$4:$A$203,0)),""))</f>
        <v/>
      </c>
      <c r="E72" s="37" t="str">
        <f aca="false">IF($C72="","",IFERROR(INDEX(PR!$E$4:$E$203,MATCH($C72,PR!$A$4:$A$203,0)),""))</f>
        <v/>
      </c>
      <c r="F72" s="37" t="str">
        <f aca="false">IF($C72="","",IFERROR(INDEX(PR!$G$4:$G$203,MATCH($C72,PR!$A$4:$A$203,0)),""))</f>
        <v/>
      </c>
      <c r="G72" s="37" t="str">
        <f aca="false">IF($C72="","",IFERROR(INDEX(PR!$F$4:$F$203,MATCH($C72,PR!$A$4:$A$203,0)),""))</f>
        <v/>
      </c>
      <c r="H72" s="32"/>
      <c r="I72" s="37" t="str">
        <f aca="false">IF($H72="","",IFERROR(INDEX('Nhà cung cấp'!$B$4:$B$203,MATCH($H72,'Nhà cung cấp'!$A$4:$A$203,0)),""))</f>
        <v/>
      </c>
      <c r="J72" s="34"/>
      <c r="K72" s="34"/>
      <c r="L72" s="38" t="str">
        <f aca="false">IF($A72="","",IFERROR($J72*$K72,""))</f>
        <v/>
      </c>
      <c r="M72" s="38" t="str">
        <f aca="false">IF($C72="","",IFERROR(INDEX(PR!$L$4:$L$203,MATCH($C72,PR!$A$4:$A$203,0)),""))</f>
        <v/>
      </c>
      <c r="N72" s="38" t="str">
        <f aca="false">IF($A72="","",IFERROR($M72-$L72,""))</f>
        <v/>
      </c>
      <c r="O72" s="32"/>
      <c r="P72" s="33"/>
      <c r="Q72" s="33"/>
      <c r="R72" s="33"/>
      <c r="S72" s="37" t="str">
        <f aca="true">IF($A72="","",IF($Q72="","",IF($R72="",IF(TODAY()&gt;$Q72,"Trễ hạn","Chưa đến hạn"),IF($R72&lt;=$Q72,"Đúng hạn","Giao trễ"))))</f>
        <v/>
      </c>
      <c r="T72" s="38" t="str">
        <f aca="true">IF($A72="","",IF($Q72="",0,IF($R72="",IF(TODAY()&gt;$Q72,TODAY()-$Q72,0),MAX(0,$R72-$Q72))))</f>
        <v/>
      </c>
      <c r="U72" s="34"/>
      <c r="V72" s="34"/>
      <c r="W72" s="39" t="str">
        <f aca="false">IF($A72="","",IFERROR($V72/$U72,""))</f>
        <v/>
      </c>
      <c r="X72" s="34"/>
      <c r="Y72" s="37" t="str">
        <f aca="false">IF($A72="","",IF($U72="","",IF($W72&lt;='Tổng quan'!$C$8,"Đạt","Không đạt")))</f>
        <v/>
      </c>
      <c r="Z72" s="38" t="str">
        <f aca="false">IF($H72="","",IFERROR(INDEX('Nhà cung cấp'!$G$4:$G$203,MATCH($H72,'Nhà cung cấp'!$A$4:$A$203,0)),""))</f>
        <v/>
      </c>
      <c r="AA72" s="41" t="str">
        <f aca="false">IF($A72="","",IFERROR($R72+$Z72,""))</f>
        <v/>
      </c>
      <c r="AB72" s="32"/>
    </row>
    <row r="73" customFormat="false" ht="15" hidden="false" customHeight="false" outlineLevel="0" collapsed="false">
      <c r="A73" s="32"/>
      <c r="B73" s="33"/>
      <c r="C73" s="32"/>
      <c r="D73" s="37" t="str">
        <f aca="false">IF($C73="","",IFERROR(INDEX(PR!$D$4:$D$203,MATCH($C73,PR!$A$4:$A$203,0)),""))</f>
        <v/>
      </c>
      <c r="E73" s="37" t="str">
        <f aca="false">IF($C73="","",IFERROR(INDEX(PR!$E$4:$E$203,MATCH($C73,PR!$A$4:$A$203,0)),""))</f>
        <v/>
      </c>
      <c r="F73" s="37" t="str">
        <f aca="false">IF($C73="","",IFERROR(INDEX(PR!$G$4:$G$203,MATCH($C73,PR!$A$4:$A$203,0)),""))</f>
        <v/>
      </c>
      <c r="G73" s="37" t="str">
        <f aca="false">IF($C73="","",IFERROR(INDEX(PR!$F$4:$F$203,MATCH($C73,PR!$A$4:$A$203,0)),""))</f>
        <v/>
      </c>
      <c r="H73" s="32"/>
      <c r="I73" s="37" t="str">
        <f aca="false">IF($H73="","",IFERROR(INDEX('Nhà cung cấp'!$B$4:$B$203,MATCH($H73,'Nhà cung cấp'!$A$4:$A$203,0)),""))</f>
        <v/>
      </c>
      <c r="J73" s="34"/>
      <c r="K73" s="34"/>
      <c r="L73" s="38" t="str">
        <f aca="false">IF($A73="","",IFERROR($J73*$K73,""))</f>
        <v/>
      </c>
      <c r="M73" s="38" t="str">
        <f aca="false">IF($C73="","",IFERROR(INDEX(PR!$L$4:$L$203,MATCH($C73,PR!$A$4:$A$203,0)),""))</f>
        <v/>
      </c>
      <c r="N73" s="38" t="str">
        <f aca="false">IF($A73="","",IFERROR($M73-$L73,""))</f>
        <v/>
      </c>
      <c r="O73" s="32"/>
      <c r="P73" s="33"/>
      <c r="Q73" s="33"/>
      <c r="R73" s="33"/>
      <c r="S73" s="37" t="str">
        <f aca="true">IF($A73="","",IF($Q73="","",IF($R73="",IF(TODAY()&gt;$Q73,"Trễ hạn","Chưa đến hạn"),IF($R73&lt;=$Q73,"Đúng hạn","Giao trễ"))))</f>
        <v/>
      </c>
      <c r="T73" s="38" t="str">
        <f aca="true">IF($A73="","",IF($Q73="",0,IF($R73="",IF(TODAY()&gt;$Q73,TODAY()-$Q73,0),MAX(0,$R73-$Q73))))</f>
        <v/>
      </c>
      <c r="U73" s="34"/>
      <c r="V73" s="34"/>
      <c r="W73" s="39" t="str">
        <f aca="false">IF($A73="","",IFERROR($V73/$U73,""))</f>
        <v/>
      </c>
      <c r="X73" s="34"/>
      <c r="Y73" s="37" t="str">
        <f aca="false">IF($A73="","",IF($U73="","",IF($W73&lt;='Tổng quan'!$C$8,"Đạt","Không đạt")))</f>
        <v/>
      </c>
      <c r="Z73" s="38" t="str">
        <f aca="false">IF($H73="","",IFERROR(INDEX('Nhà cung cấp'!$G$4:$G$203,MATCH($H73,'Nhà cung cấp'!$A$4:$A$203,0)),""))</f>
        <v/>
      </c>
      <c r="AA73" s="41" t="str">
        <f aca="false">IF($A73="","",IFERROR($R73+$Z73,""))</f>
        <v/>
      </c>
      <c r="AB73" s="32"/>
    </row>
    <row r="74" customFormat="false" ht="15" hidden="false" customHeight="false" outlineLevel="0" collapsed="false">
      <c r="A74" s="32"/>
      <c r="B74" s="33"/>
      <c r="C74" s="32"/>
      <c r="D74" s="37" t="str">
        <f aca="false">IF($C74="","",IFERROR(INDEX(PR!$D$4:$D$203,MATCH($C74,PR!$A$4:$A$203,0)),""))</f>
        <v/>
      </c>
      <c r="E74" s="37" t="str">
        <f aca="false">IF($C74="","",IFERROR(INDEX(PR!$E$4:$E$203,MATCH($C74,PR!$A$4:$A$203,0)),""))</f>
        <v/>
      </c>
      <c r="F74" s="37" t="str">
        <f aca="false">IF($C74="","",IFERROR(INDEX(PR!$G$4:$G$203,MATCH($C74,PR!$A$4:$A$203,0)),""))</f>
        <v/>
      </c>
      <c r="G74" s="37" t="str">
        <f aca="false">IF($C74="","",IFERROR(INDEX(PR!$F$4:$F$203,MATCH($C74,PR!$A$4:$A$203,0)),""))</f>
        <v/>
      </c>
      <c r="H74" s="32"/>
      <c r="I74" s="37" t="str">
        <f aca="false">IF($H74="","",IFERROR(INDEX('Nhà cung cấp'!$B$4:$B$203,MATCH($H74,'Nhà cung cấp'!$A$4:$A$203,0)),""))</f>
        <v/>
      </c>
      <c r="J74" s="34"/>
      <c r="K74" s="34"/>
      <c r="L74" s="38" t="str">
        <f aca="false">IF($A74="","",IFERROR($J74*$K74,""))</f>
        <v/>
      </c>
      <c r="M74" s="38" t="str">
        <f aca="false">IF($C74="","",IFERROR(INDEX(PR!$L$4:$L$203,MATCH($C74,PR!$A$4:$A$203,0)),""))</f>
        <v/>
      </c>
      <c r="N74" s="38" t="str">
        <f aca="false">IF($A74="","",IFERROR($M74-$L74,""))</f>
        <v/>
      </c>
      <c r="O74" s="32"/>
      <c r="P74" s="33"/>
      <c r="Q74" s="33"/>
      <c r="R74" s="33"/>
      <c r="S74" s="37" t="str">
        <f aca="true">IF($A74="","",IF($Q74="","",IF($R74="",IF(TODAY()&gt;$Q74,"Trễ hạn","Chưa đến hạn"),IF($R74&lt;=$Q74,"Đúng hạn","Giao trễ"))))</f>
        <v/>
      </c>
      <c r="T74" s="38" t="str">
        <f aca="true">IF($A74="","",IF($Q74="",0,IF($R74="",IF(TODAY()&gt;$Q74,TODAY()-$Q74,0),MAX(0,$R74-$Q74))))</f>
        <v/>
      </c>
      <c r="U74" s="34"/>
      <c r="V74" s="34"/>
      <c r="W74" s="39" t="str">
        <f aca="false">IF($A74="","",IFERROR($V74/$U74,""))</f>
        <v/>
      </c>
      <c r="X74" s="34"/>
      <c r="Y74" s="37" t="str">
        <f aca="false">IF($A74="","",IF($U74="","",IF($W74&lt;='Tổng quan'!$C$8,"Đạt","Không đạt")))</f>
        <v/>
      </c>
      <c r="Z74" s="38" t="str">
        <f aca="false">IF($H74="","",IFERROR(INDEX('Nhà cung cấp'!$G$4:$G$203,MATCH($H74,'Nhà cung cấp'!$A$4:$A$203,0)),""))</f>
        <v/>
      </c>
      <c r="AA74" s="41" t="str">
        <f aca="false">IF($A74="","",IFERROR($R74+$Z74,""))</f>
        <v/>
      </c>
      <c r="AB74" s="32"/>
    </row>
    <row r="75" customFormat="false" ht="15" hidden="false" customHeight="false" outlineLevel="0" collapsed="false">
      <c r="A75" s="32"/>
      <c r="B75" s="33"/>
      <c r="C75" s="32"/>
      <c r="D75" s="37" t="str">
        <f aca="false">IF($C75="","",IFERROR(INDEX(PR!$D$4:$D$203,MATCH($C75,PR!$A$4:$A$203,0)),""))</f>
        <v/>
      </c>
      <c r="E75" s="37" t="str">
        <f aca="false">IF($C75="","",IFERROR(INDEX(PR!$E$4:$E$203,MATCH($C75,PR!$A$4:$A$203,0)),""))</f>
        <v/>
      </c>
      <c r="F75" s="37" t="str">
        <f aca="false">IF($C75="","",IFERROR(INDEX(PR!$G$4:$G$203,MATCH($C75,PR!$A$4:$A$203,0)),""))</f>
        <v/>
      </c>
      <c r="G75" s="37" t="str">
        <f aca="false">IF($C75="","",IFERROR(INDEX(PR!$F$4:$F$203,MATCH($C75,PR!$A$4:$A$203,0)),""))</f>
        <v/>
      </c>
      <c r="H75" s="32"/>
      <c r="I75" s="37" t="str">
        <f aca="false">IF($H75="","",IFERROR(INDEX('Nhà cung cấp'!$B$4:$B$203,MATCH($H75,'Nhà cung cấp'!$A$4:$A$203,0)),""))</f>
        <v/>
      </c>
      <c r="J75" s="34"/>
      <c r="K75" s="34"/>
      <c r="L75" s="38" t="str">
        <f aca="false">IF($A75="","",IFERROR($J75*$K75,""))</f>
        <v/>
      </c>
      <c r="M75" s="38" t="str">
        <f aca="false">IF($C75="","",IFERROR(INDEX(PR!$L$4:$L$203,MATCH($C75,PR!$A$4:$A$203,0)),""))</f>
        <v/>
      </c>
      <c r="N75" s="38" t="str">
        <f aca="false">IF($A75="","",IFERROR($M75-$L75,""))</f>
        <v/>
      </c>
      <c r="O75" s="32"/>
      <c r="P75" s="33"/>
      <c r="Q75" s="33"/>
      <c r="R75" s="33"/>
      <c r="S75" s="37" t="str">
        <f aca="true">IF($A75="","",IF($Q75="","",IF($R75="",IF(TODAY()&gt;$Q75,"Trễ hạn","Chưa đến hạn"),IF($R75&lt;=$Q75,"Đúng hạn","Giao trễ"))))</f>
        <v/>
      </c>
      <c r="T75" s="38" t="str">
        <f aca="true">IF($A75="","",IF($Q75="",0,IF($R75="",IF(TODAY()&gt;$Q75,TODAY()-$Q75,0),MAX(0,$R75-$Q75))))</f>
        <v/>
      </c>
      <c r="U75" s="34"/>
      <c r="V75" s="34"/>
      <c r="W75" s="39" t="str">
        <f aca="false">IF($A75="","",IFERROR($V75/$U75,""))</f>
        <v/>
      </c>
      <c r="X75" s="34"/>
      <c r="Y75" s="37" t="str">
        <f aca="false">IF($A75="","",IF($U75="","",IF($W75&lt;='Tổng quan'!$C$8,"Đạt","Không đạt")))</f>
        <v/>
      </c>
      <c r="Z75" s="38" t="str">
        <f aca="false">IF($H75="","",IFERROR(INDEX('Nhà cung cấp'!$G$4:$G$203,MATCH($H75,'Nhà cung cấp'!$A$4:$A$203,0)),""))</f>
        <v/>
      </c>
      <c r="AA75" s="41" t="str">
        <f aca="false">IF($A75="","",IFERROR($R75+$Z75,""))</f>
        <v/>
      </c>
      <c r="AB75" s="32"/>
    </row>
    <row r="76" customFormat="false" ht="15" hidden="false" customHeight="false" outlineLevel="0" collapsed="false">
      <c r="A76" s="32"/>
      <c r="B76" s="33"/>
      <c r="C76" s="32"/>
      <c r="D76" s="37" t="str">
        <f aca="false">IF($C76="","",IFERROR(INDEX(PR!$D$4:$D$203,MATCH($C76,PR!$A$4:$A$203,0)),""))</f>
        <v/>
      </c>
      <c r="E76" s="37" t="str">
        <f aca="false">IF($C76="","",IFERROR(INDEX(PR!$E$4:$E$203,MATCH($C76,PR!$A$4:$A$203,0)),""))</f>
        <v/>
      </c>
      <c r="F76" s="37" t="str">
        <f aca="false">IF($C76="","",IFERROR(INDEX(PR!$G$4:$G$203,MATCH($C76,PR!$A$4:$A$203,0)),""))</f>
        <v/>
      </c>
      <c r="G76" s="37" t="str">
        <f aca="false">IF($C76="","",IFERROR(INDEX(PR!$F$4:$F$203,MATCH($C76,PR!$A$4:$A$203,0)),""))</f>
        <v/>
      </c>
      <c r="H76" s="32"/>
      <c r="I76" s="37" t="str">
        <f aca="false">IF($H76="","",IFERROR(INDEX('Nhà cung cấp'!$B$4:$B$203,MATCH($H76,'Nhà cung cấp'!$A$4:$A$203,0)),""))</f>
        <v/>
      </c>
      <c r="J76" s="34"/>
      <c r="K76" s="34"/>
      <c r="L76" s="38" t="str">
        <f aca="false">IF($A76="","",IFERROR($J76*$K76,""))</f>
        <v/>
      </c>
      <c r="M76" s="38" t="str">
        <f aca="false">IF($C76="","",IFERROR(INDEX(PR!$L$4:$L$203,MATCH($C76,PR!$A$4:$A$203,0)),""))</f>
        <v/>
      </c>
      <c r="N76" s="38" t="str">
        <f aca="false">IF($A76="","",IFERROR($M76-$L76,""))</f>
        <v/>
      </c>
      <c r="O76" s="32"/>
      <c r="P76" s="33"/>
      <c r="Q76" s="33"/>
      <c r="R76" s="33"/>
      <c r="S76" s="37" t="str">
        <f aca="true">IF($A76="","",IF($Q76="","",IF($R76="",IF(TODAY()&gt;$Q76,"Trễ hạn","Chưa đến hạn"),IF($R76&lt;=$Q76,"Đúng hạn","Giao trễ"))))</f>
        <v/>
      </c>
      <c r="T76" s="38" t="str">
        <f aca="true">IF($A76="","",IF($Q76="",0,IF($R76="",IF(TODAY()&gt;$Q76,TODAY()-$Q76,0),MAX(0,$R76-$Q76))))</f>
        <v/>
      </c>
      <c r="U76" s="34"/>
      <c r="V76" s="34"/>
      <c r="W76" s="39" t="str">
        <f aca="false">IF($A76="","",IFERROR($V76/$U76,""))</f>
        <v/>
      </c>
      <c r="X76" s="34"/>
      <c r="Y76" s="37" t="str">
        <f aca="false">IF($A76="","",IF($U76="","",IF($W76&lt;='Tổng quan'!$C$8,"Đạt","Không đạt")))</f>
        <v/>
      </c>
      <c r="Z76" s="38" t="str">
        <f aca="false">IF($H76="","",IFERROR(INDEX('Nhà cung cấp'!$G$4:$G$203,MATCH($H76,'Nhà cung cấp'!$A$4:$A$203,0)),""))</f>
        <v/>
      </c>
      <c r="AA76" s="41" t="str">
        <f aca="false">IF($A76="","",IFERROR($R76+$Z76,""))</f>
        <v/>
      </c>
      <c r="AB76" s="32"/>
    </row>
    <row r="77" customFormat="false" ht="15" hidden="false" customHeight="false" outlineLevel="0" collapsed="false">
      <c r="A77" s="32"/>
      <c r="B77" s="33"/>
      <c r="C77" s="32"/>
      <c r="D77" s="37" t="str">
        <f aca="false">IF($C77="","",IFERROR(INDEX(PR!$D$4:$D$203,MATCH($C77,PR!$A$4:$A$203,0)),""))</f>
        <v/>
      </c>
      <c r="E77" s="37" t="str">
        <f aca="false">IF($C77="","",IFERROR(INDEX(PR!$E$4:$E$203,MATCH($C77,PR!$A$4:$A$203,0)),""))</f>
        <v/>
      </c>
      <c r="F77" s="37" t="str">
        <f aca="false">IF($C77="","",IFERROR(INDEX(PR!$G$4:$G$203,MATCH($C77,PR!$A$4:$A$203,0)),""))</f>
        <v/>
      </c>
      <c r="G77" s="37" t="str">
        <f aca="false">IF($C77="","",IFERROR(INDEX(PR!$F$4:$F$203,MATCH($C77,PR!$A$4:$A$203,0)),""))</f>
        <v/>
      </c>
      <c r="H77" s="32"/>
      <c r="I77" s="37" t="str">
        <f aca="false">IF($H77="","",IFERROR(INDEX('Nhà cung cấp'!$B$4:$B$203,MATCH($H77,'Nhà cung cấp'!$A$4:$A$203,0)),""))</f>
        <v/>
      </c>
      <c r="J77" s="34"/>
      <c r="K77" s="34"/>
      <c r="L77" s="38" t="str">
        <f aca="false">IF($A77="","",IFERROR($J77*$K77,""))</f>
        <v/>
      </c>
      <c r="M77" s="38" t="str">
        <f aca="false">IF($C77="","",IFERROR(INDEX(PR!$L$4:$L$203,MATCH($C77,PR!$A$4:$A$203,0)),""))</f>
        <v/>
      </c>
      <c r="N77" s="38" t="str">
        <f aca="false">IF($A77="","",IFERROR($M77-$L77,""))</f>
        <v/>
      </c>
      <c r="O77" s="32"/>
      <c r="P77" s="33"/>
      <c r="Q77" s="33"/>
      <c r="R77" s="33"/>
      <c r="S77" s="37" t="str">
        <f aca="true">IF($A77="","",IF($Q77="","",IF($R77="",IF(TODAY()&gt;$Q77,"Trễ hạn","Chưa đến hạn"),IF($R77&lt;=$Q77,"Đúng hạn","Giao trễ"))))</f>
        <v/>
      </c>
      <c r="T77" s="38" t="str">
        <f aca="true">IF($A77="","",IF($Q77="",0,IF($R77="",IF(TODAY()&gt;$Q77,TODAY()-$Q77,0),MAX(0,$R77-$Q77))))</f>
        <v/>
      </c>
      <c r="U77" s="34"/>
      <c r="V77" s="34"/>
      <c r="W77" s="39" t="str">
        <f aca="false">IF($A77="","",IFERROR($V77/$U77,""))</f>
        <v/>
      </c>
      <c r="X77" s="34"/>
      <c r="Y77" s="37" t="str">
        <f aca="false">IF($A77="","",IF($U77="","",IF($W77&lt;='Tổng quan'!$C$8,"Đạt","Không đạt")))</f>
        <v/>
      </c>
      <c r="Z77" s="38" t="str">
        <f aca="false">IF($H77="","",IFERROR(INDEX('Nhà cung cấp'!$G$4:$G$203,MATCH($H77,'Nhà cung cấp'!$A$4:$A$203,0)),""))</f>
        <v/>
      </c>
      <c r="AA77" s="41" t="str">
        <f aca="false">IF($A77="","",IFERROR($R77+$Z77,""))</f>
        <v/>
      </c>
      <c r="AB77" s="32"/>
    </row>
    <row r="78" customFormat="false" ht="15" hidden="false" customHeight="false" outlineLevel="0" collapsed="false">
      <c r="A78" s="32"/>
      <c r="B78" s="33"/>
      <c r="C78" s="32"/>
      <c r="D78" s="37" t="str">
        <f aca="false">IF($C78="","",IFERROR(INDEX(PR!$D$4:$D$203,MATCH($C78,PR!$A$4:$A$203,0)),""))</f>
        <v/>
      </c>
      <c r="E78" s="37" t="str">
        <f aca="false">IF($C78="","",IFERROR(INDEX(PR!$E$4:$E$203,MATCH($C78,PR!$A$4:$A$203,0)),""))</f>
        <v/>
      </c>
      <c r="F78" s="37" t="str">
        <f aca="false">IF($C78="","",IFERROR(INDEX(PR!$G$4:$G$203,MATCH($C78,PR!$A$4:$A$203,0)),""))</f>
        <v/>
      </c>
      <c r="G78" s="37" t="str">
        <f aca="false">IF($C78="","",IFERROR(INDEX(PR!$F$4:$F$203,MATCH($C78,PR!$A$4:$A$203,0)),""))</f>
        <v/>
      </c>
      <c r="H78" s="32"/>
      <c r="I78" s="37" t="str">
        <f aca="false">IF($H78="","",IFERROR(INDEX('Nhà cung cấp'!$B$4:$B$203,MATCH($H78,'Nhà cung cấp'!$A$4:$A$203,0)),""))</f>
        <v/>
      </c>
      <c r="J78" s="34"/>
      <c r="K78" s="34"/>
      <c r="L78" s="38" t="str">
        <f aca="false">IF($A78="","",IFERROR($J78*$K78,""))</f>
        <v/>
      </c>
      <c r="M78" s="38" t="str">
        <f aca="false">IF($C78="","",IFERROR(INDEX(PR!$L$4:$L$203,MATCH($C78,PR!$A$4:$A$203,0)),""))</f>
        <v/>
      </c>
      <c r="N78" s="38" t="str">
        <f aca="false">IF($A78="","",IFERROR($M78-$L78,""))</f>
        <v/>
      </c>
      <c r="O78" s="32"/>
      <c r="P78" s="33"/>
      <c r="Q78" s="33"/>
      <c r="R78" s="33"/>
      <c r="S78" s="37" t="str">
        <f aca="true">IF($A78="","",IF($Q78="","",IF($R78="",IF(TODAY()&gt;$Q78,"Trễ hạn","Chưa đến hạn"),IF($R78&lt;=$Q78,"Đúng hạn","Giao trễ"))))</f>
        <v/>
      </c>
      <c r="T78" s="38" t="str">
        <f aca="true">IF($A78="","",IF($Q78="",0,IF($R78="",IF(TODAY()&gt;$Q78,TODAY()-$Q78,0),MAX(0,$R78-$Q78))))</f>
        <v/>
      </c>
      <c r="U78" s="34"/>
      <c r="V78" s="34"/>
      <c r="W78" s="39" t="str">
        <f aca="false">IF($A78="","",IFERROR($V78/$U78,""))</f>
        <v/>
      </c>
      <c r="X78" s="34"/>
      <c r="Y78" s="37" t="str">
        <f aca="false">IF($A78="","",IF($U78="","",IF($W78&lt;='Tổng quan'!$C$8,"Đạt","Không đạt")))</f>
        <v/>
      </c>
      <c r="Z78" s="38" t="str">
        <f aca="false">IF($H78="","",IFERROR(INDEX('Nhà cung cấp'!$G$4:$G$203,MATCH($H78,'Nhà cung cấp'!$A$4:$A$203,0)),""))</f>
        <v/>
      </c>
      <c r="AA78" s="41" t="str">
        <f aca="false">IF($A78="","",IFERROR($R78+$Z78,""))</f>
        <v/>
      </c>
      <c r="AB78" s="32"/>
    </row>
    <row r="79" customFormat="false" ht="15" hidden="false" customHeight="false" outlineLevel="0" collapsed="false">
      <c r="A79" s="32"/>
      <c r="B79" s="33"/>
      <c r="C79" s="32"/>
      <c r="D79" s="37" t="str">
        <f aca="false">IF($C79="","",IFERROR(INDEX(PR!$D$4:$D$203,MATCH($C79,PR!$A$4:$A$203,0)),""))</f>
        <v/>
      </c>
      <c r="E79" s="37" t="str">
        <f aca="false">IF($C79="","",IFERROR(INDEX(PR!$E$4:$E$203,MATCH($C79,PR!$A$4:$A$203,0)),""))</f>
        <v/>
      </c>
      <c r="F79" s="37" t="str">
        <f aca="false">IF($C79="","",IFERROR(INDEX(PR!$G$4:$G$203,MATCH($C79,PR!$A$4:$A$203,0)),""))</f>
        <v/>
      </c>
      <c r="G79" s="37" t="str">
        <f aca="false">IF($C79="","",IFERROR(INDEX(PR!$F$4:$F$203,MATCH($C79,PR!$A$4:$A$203,0)),""))</f>
        <v/>
      </c>
      <c r="H79" s="32"/>
      <c r="I79" s="37" t="str">
        <f aca="false">IF($H79="","",IFERROR(INDEX('Nhà cung cấp'!$B$4:$B$203,MATCH($H79,'Nhà cung cấp'!$A$4:$A$203,0)),""))</f>
        <v/>
      </c>
      <c r="J79" s="34"/>
      <c r="K79" s="34"/>
      <c r="L79" s="38" t="str">
        <f aca="false">IF($A79="","",IFERROR($J79*$K79,""))</f>
        <v/>
      </c>
      <c r="M79" s="38" t="str">
        <f aca="false">IF($C79="","",IFERROR(INDEX(PR!$L$4:$L$203,MATCH($C79,PR!$A$4:$A$203,0)),""))</f>
        <v/>
      </c>
      <c r="N79" s="38" t="str">
        <f aca="false">IF($A79="","",IFERROR($M79-$L79,""))</f>
        <v/>
      </c>
      <c r="O79" s="32"/>
      <c r="P79" s="33"/>
      <c r="Q79" s="33"/>
      <c r="R79" s="33"/>
      <c r="S79" s="37" t="str">
        <f aca="true">IF($A79="","",IF($Q79="","",IF($R79="",IF(TODAY()&gt;$Q79,"Trễ hạn","Chưa đến hạn"),IF($R79&lt;=$Q79,"Đúng hạn","Giao trễ"))))</f>
        <v/>
      </c>
      <c r="T79" s="38" t="str">
        <f aca="true">IF($A79="","",IF($Q79="",0,IF($R79="",IF(TODAY()&gt;$Q79,TODAY()-$Q79,0),MAX(0,$R79-$Q79))))</f>
        <v/>
      </c>
      <c r="U79" s="34"/>
      <c r="V79" s="34"/>
      <c r="W79" s="39" t="str">
        <f aca="false">IF($A79="","",IFERROR($V79/$U79,""))</f>
        <v/>
      </c>
      <c r="X79" s="34"/>
      <c r="Y79" s="37" t="str">
        <f aca="false">IF($A79="","",IF($U79="","",IF($W79&lt;='Tổng quan'!$C$8,"Đạt","Không đạt")))</f>
        <v/>
      </c>
      <c r="Z79" s="38" t="str">
        <f aca="false">IF($H79="","",IFERROR(INDEX('Nhà cung cấp'!$G$4:$G$203,MATCH($H79,'Nhà cung cấp'!$A$4:$A$203,0)),""))</f>
        <v/>
      </c>
      <c r="AA79" s="41" t="str">
        <f aca="false">IF($A79="","",IFERROR($R79+$Z79,""))</f>
        <v/>
      </c>
      <c r="AB79" s="32"/>
    </row>
    <row r="80" customFormat="false" ht="15" hidden="false" customHeight="false" outlineLevel="0" collapsed="false">
      <c r="A80" s="32"/>
      <c r="B80" s="33"/>
      <c r="C80" s="32"/>
      <c r="D80" s="37" t="str">
        <f aca="false">IF($C80="","",IFERROR(INDEX(PR!$D$4:$D$203,MATCH($C80,PR!$A$4:$A$203,0)),""))</f>
        <v/>
      </c>
      <c r="E80" s="37" t="str">
        <f aca="false">IF($C80="","",IFERROR(INDEX(PR!$E$4:$E$203,MATCH($C80,PR!$A$4:$A$203,0)),""))</f>
        <v/>
      </c>
      <c r="F80" s="37" t="str">
        <f aca="false">IF($C80="","",IFERROR(INDEX(PR!$G$4:$G$203,MATCH($C80,PR!$A$4:$A$203,0)),""))</f>
        <v/>
      </c>
      <c r="G80" s="37" t="str">
        <f aca="false">IF($C80="","",IFERROR(INDEX(PR!$F$4:$F$203,MATCH($C80,PR!$A$4:$A$203,0)),""))</f>
        <v/>
      </c>
      <c r="H80" s="32"/>
      <c r="I80" s="37" t="str">
        <f aca="false">IF($H80="","",IFERROR(INDEX('Nhà cung cấp'!$B$4:$B$203,MATCH($H80,'Nhà cung cấp'!$A$4:$A$203,0)),""))</f>
        <v/>
      </c>
      <c r="J80" s="34"/>
      <c r="K80" s="34"/>
      <c r="L80" s="38" t="str">
        <f aca="false">IF($A80="","",IFERROR($J80*$K80,""))</f>
        <v/>
      </c>
      <c r="M80" s="38" t="str">
        <f aca="false">IF($C80="","",IFERROR(INDEX(PR!$L$4:$L$203,MATCH($C80,PR!$A$4:$A$203,0)),""))</f>
        <v/>
      </c>
      <c r="N80" s="38" t="str">
        <f aca="false">IF($A80="","",IFERROR($M80-$L80,""))</f>
        <v/>
      </c>
      <c r="O80" s="32"/>
      <c r="P80" s="33"/>
      <c r="Q80" s="33"/>
      <c r="R80" s="33"/>
      <c r="S80" s="37" t="str">
        <f aca="true">IF($A80="","",IF($Q80="","",IF($R80="",IF(TODAY()&gt;$Q80,"Trễ hạn","Chưa đến hạn"),IF($R80&lt;=$Q80,"Đúng hạn","Giao trễ"))))</f>
        <v/>
      </c>
      <c r="T80" s="38" t="str">
        <f aca="true">IF($A80="","",IF($Q80="",0,IF($R80="",IF(TODAY()&gt;$Q80,TODAY()-$Q80,0),MAX(0,$R80-$Q80))))</f>
        <v/>
      </c>
      <c r="U80" s="34"/>
      <c r="V80" s="34"/>
      <c r="W80" s="39" t="str">
        <f aca="false">IF($A80="","",IFERROR($V80/$U80,""))</f>
        <v/>
      </c>
      <c r="X80" s="34"/>
      <c r="Y80" s="37" t="str">
        <f aca="false">IF($A80="","",IF($U80="","",IF($W80&lt;='Tổng quan'!$C$8,"Đạt","Không đạt")))</f>
        <v/>
      </c>
      <c r="Z80" s="38" t="str">
        <f aca="false">IF($H80="","",IFERROR(INDEX('Nhà cung cấp'!$G$4:$G$203,MATCH($H80,'Nhà cung cấp'!$A$4:$A$203,0)),""))</f>
        <v/>
      </c>
      <c r="AA80" s="41" t="str">
        <f aca="false">IF($A80="","",IFERROR($R80+$Z80,""))</f>
        <v/>
      </c>
      <c r="AB80" s="32"/>
    </row>
    <row r="81" customFormat="false" ht="15" hidden="false" customHeight="false" outlineLevel="0" collapsed="false">
      <c r="A81" s="32"/>
      <c r="B81" s="33"/>
      <c r="C81" s="32"/>
      <c r="D81" s="37" t="str">
        <f aca="false">IF($C81="","",IFERROR(INDEX(PR!$D$4:$D$203,MATCH($C81,PR!$A$4:$A$203,0)),""))</f>
        <v/>
      </c>
      <c r="E81" s="37" t="str">
        <f aca="false">IF($C81="","",IFERROR(INDEX(PR!$E$4:$E$203,MATCH($C81,PR!$A$4:$A$203,0)),""))</f>
        <v/>
      </c>
      <c r="F81" s="37" t="str">
        <f aca="false">IF($C81="","",IFERROR(INDEX(PR!$G$4:$G$203,MATCH($C81,PR!$A$4:$A$203,0)),""))</f>
        <v/>
      </c>
      <c r="G81" s="37" t="str">
        <f aca="false">IF($C81="","",IFERROR(INDEX(PR!$F$4:$F$203,MATCH($C81,PR!$A$4:$A$203,0)),""))</f>
        <v/>
      </c>
      <c r="H81" s="32"/>
      <c r="I81" s="37" t="str">
        <f aca="false">IF($H81="","",IFERROR(INDEX('Nhà cung cấp'!$B$4:$B$203,MATCH($H81,'Nhà cung cấp'!$A$4:$A$203,0)),""))</f>
        <v/>
      </c>
      <c r="J81" s="34"/>
      <c r="K81" s="34"/>
      <c r="L81" s="38" t="str">
        <f aca="false">IF($A81="","",IFERROR($J81*$K81,""))</f>
        <v/>
      </c>
      <c r="M81" s="38" t="str">
        <f aca="false">IF($C81="","",IFERROR(INDEX(PR!$L$4:$L$203,MATCH($C81,PR!$A$4:$A$203,0)),""))</f>
        <v/>
      </c>
      <c r="N81" s="38" t="str">
        <f aca="false">IF($A81="","",IFERROR($M81-$L81,""))</f>
        <v/>
      </c>
      <c r="O81" s="32"/>
      <c r="P81" s="33"/>
      <c r="Q81" s="33"/>
      <c r="R81" s="33"/>
      <c r="S81" s="37" t="str">
        <f aca="true">IF($A81="","",IF($Q81="","",IF($R81="",IF(TODAY()&gt;$Q81,"Trễ hạn","Chưa đến hạn"),IF($R81&lt;=$Q81,"Đúng hạn","Giao trễ"))))</f>
        <v/>
      </c>
      <c r="T81" s="38" t="str">
        <f aca="true">IF($A81="","",IF($Q81="",0,IF($R81="",IF(TODAY()&gt;$Q81,TODAY()-$Q81,0),MAX(0,$R81-$Q81))))</f>
        <v/>
      </c>
      <c r="U81" s="34"/>
      <c r="V81" s="34"/>
      <c r="W81" s="39" t="str">
        <f aca="false">IF($A81="","",IFERROR($V81/$U81,""))</f>
        <v/>
      </c>
      <c r="X81" s="34"/>
      <c r="Y81" s="37" t="str">
        <f aca="false">IF($A81="","",IF($U81="","",IF($W81&lt;='Tổng quan'!$C$8,"Đạt","Không đạt")))</f>
        <v/>
      </c>
      <c r="Z81" s="38" t="str">
        <f aca="false">IF($H81="","",IFERROR(INDEX('Nhà cung cấp'!$G$4:$G$203,MATCH($H81,'Nhà cung cấp'!$A$4:$A$203,0)),""))</f>
        <v/>
      </c>
      <c r="AA81" s="41" t="str">
        <f aca="false">IF($A81="","",IFERROR($R81+$Z81,""))</f>
        <v/>
      </c>
      <c r="AB81" s="32"/>
    </row>
    <row r="82" customFormat="false" ht="15" hidden="false" customHeight="false" outlineLevel="0" collapsed="false">
      <c r="A82" s="32"/>
      <c r="B82" s="33"/>
      <c r="C82" s="32"/>
      <c r="D82" s="37" t="str">
        <f aca="false">IF($C82="","",IFERROR(INDEX(PR!$D$4:$D$203,MATCH($C82,PR!$A$4:$A$203,0)),""))</f>
        <v/>
      </c>
      <c r="E82" s="37" t="str">
        <f aca="false">IF($C82="","",IFERROR(INDEX(PR!$E$4:$E$203,MATCH($C82,PR!$A$4:$A$203,0)),""))</f>
        <v/>
      </c>
      <c r="F82" s="37" t="str">
        <f aca="false">IF($C82="","",IFERROR(INDEX(PR!$G$4:$G$203,MATCH($C82,PR!$A$4:$A$203,0)),""))</f>
        <v/>
      </c>
      <c r="G82" s="37" t="str">
        <f aca="false">IF($C82="","",IFERROR(INDEX(PR!$F$4:$F$203,MATCH($C82,PR!$A$4:$A$203,0)),""))</f>
        <v/>
      </c>
      <c r="H82" s="32"/>
      <c r="I82" s="37" t="str">
        <f aca="false">IF($H82="","",IFERROR(INDEX('Nhà cung cấp'!$B$4:$B$203,MATCH($H82,'Nhà cung cấp'!$A$4:$A$203,0)),""))</f>
        <v/>
      </c>
      <c r="J82" s="34"/>
      <c r="K82" s="34"/>
      <c r="L82" s="38" t="str">
        <f aca="false">IF($A82="","",IFERROR($J82*$K82,""))</f>
        <v/>
      </c>
      <c r="M82" s="38" t="str">
        <f aca="false">IF($C82="","",IFERROR(INDEX(PR!$L$4:$L$203,MATCH($C82,PR!$A$4:$A$203,0)),""))</f>
        <v/>
      </c>
      <c r="N82" s="38" t="str">
        <f aca="false">IF($A82="","",IFERROR($M82-$L82,""))</f>
        <v/>
      </c>
      <c r="O82" s="32"/>
      <c r="P82" s="33"/>
      <c r="Q82" s="33"/>
      <c r="R82" s="33"/>
      <c r="S82" s="37" t="str">
        <f aca="true">IF($A82="","",IF($Q82="","",IF($R82="",IF(TODAY()&gt;$Q82,"Trễ hạn","Chưa đến hạn"),IF($R82&lt;=$Q82,"Đúng hạn","Giao trễ"))))</f>
        <v/>
      </c>
      <c r="T82" s="38" t="str">
        <f aca="true">IF($A82="","",IF($Q82="",0,IF($R82="",IF(TODAY()&gt;$Q82,TODAY()-$Q82,0),MAX(0,$R82-$Q82))))</f>
        <v/>
      </c>
      <c r="U82" s="34"/>
      <c r="V82" s="34"/>
      <c r="W82" s="39" t="str">
        <f aca="false">IF($A82="","",IFERROR($V82/$U82,""))</f>
        <v/>
      </c>
      <c r="X82" s="34"/>
      <c r="Y82" s="37" t="str">
        <f aca="false">IF($A82="","",IF($U82="","",IF($W82&lt;='Tổng quan'!$C$8,"Đạt","Không đạt")))</f>
        <v/>
      </c>
      <c r="Z82" s="38" t="str">
        <f aca="false">IF($H82="","",IFERROR(INDEX('Nhà cung cấp'!$G$4:$G$203,MATCH($H82,'Nhà cung cấp'!$A$4:$A$203,0)),""))</f>
        <v/>
      </c>
      <c r="AA82" s="41" t="str">
        <f aca="false">IF($A82="","",IFERROR($R82+$Z82,""))</f>
        <v/>
      </c>
      <c r="AB82" s="32"/>
    </row>
    <row r="83" customFormat="false" ht="15" hidden="false" customHeight="false" outlineLevel="0" collapsed="false">
      <c r="A83" s="32"/>
      <c r="B83" s="33"/>
      <c r="C83" s="32"/>
      <c r="D83" s="37" t="str">
        <f aca="false">IF($C83="","",IFERROR(INDEX(PR!$D$4:$D$203,MATCH($C83,PR!$A$4:$A$203,0)),""))</f>
        <v/>
      </c>
      <c r="E83" s="37" t="str">
        <f aca="false">IF($C83="","",IFERROR(INDEX(PR!$E$4:$E$203,MATCH($C83,PR!$A$4:$A$203,0)),""))</f>
        <v/>
      </c>
      <c r="F83" s="37" t="str">
        <f aca="false">IF($C83="","",IFERROR(INDEX(PR!$G$4:$G$203,MATCH($C83,PR!$A$4:$A$203,0)),""))</f>
        <v/>
      </c>
      <c r="G83" s="37" t="str">
        <f aca="false">IF($C83="","",IFERROR(INDEX(PR!$F$4:$F$203,MATCH($C83,PR!$A$4:$A$203,0)),""))</f>
        <v/>
      </c>
      <c r="H83" s="32"/>
      <c r="I83" s="37" t="str">
        <f aca="false">IF($H83="","",IFERROR(INDEX('Nhà cung cấp'!$B$4:$B$203,MATCH($H83,'Nhà cung cấp'!$A$4:$A$203,0)),""))</f>
        <v/>
      </c>
      <c r="J83" s="34"/>
      <c r="K83" s="34"/>
      <c r="L83" s="38" t="str">
        <f aca="false">IF($A83="","",IFERROR($J83*$K83,""))</f>
        <v/>
      </c>
      <c r="M83" s="38" t="str">
        <f aca="false">IF($C83="","",IFERROR(INDEX(PR!$L$4:$L$203,MATCH($C83,PR!$A$4:$A$203,0)),""))</f>
        <v/>
      </c>
      <c r="N83" s="38" t="str">
        <f aca="false">IF($A83="","",IFERROR($M83-$L83,""))</f>
        <v/>
      </c>
      <c r="O83" s="32"/>
      <c r="P83" s="33"/>
      <c r="Q83" s="33"/>
      <c r="R83" s="33"/>
      <c r="S83" s="37" t="str">
        <f aca="true">IF($A83="","",IF($Q83="","",IF($R83="",IF(TODAY()&gt;$Q83,"Trễ hạn","Chưa đến hạn"),IF($R83&lt;=$Q83,"Đúng hạn","Giao trễ"))))</f>
        <v/>
      </c>
      <c r="T83" s="38" t="str">
        <f aca="true">IF($A83="","",IF($Q83="",0,IF($R83="",IF(TODAY()&gt;$Q83,TODAY()-$Q83,0),MAX(0,$R83-$Q83))))</f>
        <v/>
      </c>
      <c r="U83" s="34"/>
      <c r="V83" s="34"/>
      <c r="W83" s="39" t="str">
        <f aca="false">IF($A83="","",IFERROR($V83/$U83,""))</f>
        <v/>
      </c>
      <c r="X83" s="34"/>
      <c r="Y83" s="37" t="str">
        <f aca="false">IF($A83="","",IF($U83="","",IF($W83&lt;='Tổng quan'!$C$8,"Đạt","Không đạt")))</f>
        <v/>
      </c>
      <c r="Z83" s="38" t="str">
        <f aca="false">IF($H83="","",IFERROR(INDEX('Nhà cung cấp'!$G$4:$G$203,MATCH($H83,'Nhà cung cấp'!$A$4:$A$203,0)),""))</f>
        <v/>
      </c>
      <c r="AA83" s="41" t="str">
        <f aca="false">IF($A83="","",IFERROR($R83+$Z83,""))</f>
        <v/>
      </c>
      <c r="AB83" s="32"/>
    </row>
    <row r="84" customFormat="false" ht="15" hidden="false" customHeight="false" outlineLevel="0" collapsed="false">
      <c r="A84" s="32"/>
      <c r="B84" s="33"/>
      <c r="C84" s="32"/>
      <c r="D84" s="37" t="str">
        <f aca="false">IF($C84="","",IFERROR(INDEX(PR!$D$4:$D$203,MATCH($C84,PR!$A$4:$A$203,0)),""))</f>
        <v/>
      </c>
      <c r="E84" s="37" t="str">
        <f aca="false">IF($C84="","",IFERROR(INDEX(PR!$E$4:$E$203,MATCH($C84,PR!$A$4:$A$203,0)),""))</f>
        <v/>
      </c>
      <c r="F84" s="37" t="str">
        <f aca="false">IF($C84="","",IFERROR(INDEX(PR!$G$4:$G$203,MATCH($C84,PR!$A$4:$A$203,0)),""))</f>
        <v/>
      </c>
      <c r="G84" s="37" t="str">
        <f aca="false">IF($C84="","",IFERROR(INDEX(PR!$F$4:$F$203,MATCH($C84,PR!$A$4:$A$203,0)),""))</f>
        <v/>
      </c>
      <c r="H84" s="32"/>
      <c r="I84" s="37" t="str">
        <f aca="false">IF($H84="","",IFERROR(INDEX('Nhà cung cấp'!$B$4:$B$203,MATCH($H84,'Nhà cung cấp'!$A$4:$A$203,0)),""))</f>
        <v/>
      </c>
      <c r="J84" s="34"/>
      <c r="K84" s="34"/>
      <c r="L84" s="38" t="str">
        <f aca="false">IF($A84="","",IFERROR($J84*$K84,""))</f>
        <v/>
      </c>
      <c r="M84" s="38" t="str">
        <f aca="false">IF($C84="","",IFERROR(INDEX(PR!$L$4:$L$203,MATCH($C84,PR!$A$4:$A$203,0)),""))</f>
        <v/>
      </c>
      <c r="N84" s="38" t="str">
        <f aca="false">IF($A84="","",IFERROR($M84-$L84,""))</f>
        <v/>
      </c>
      <c r="O84" s="32"/>
      <c r="P84" s="33"/>
      <c r="Q84" s="33"/>
      <c r="R84" s="33"/>
      <c r="S84" s="37" t="str">
        <f aca="true">IF($A84="","",IF($Q84="","",IF($R84="",IF(TODAY()&gt;$Q84,"Trễ hạn","Chưa đến hạn"),IF($R84&lt;=$Q84,"Đúng hạn","Giao trễ"))))</f>
        <v/>
      </c>
      <c r="T84" s="38" t="str">
        <f aca="true">IF($A84="","",IF($Q84="",0,IF($R84="",IF(TODAY()&gt;$Q84,TODAY()-$Q84,0),MAX(0,$R84-$Q84))))</f>
        <v/>
      </c>
      <c r="U84" s="34"/>
      <c r="V84" s="34"/>
      <c r="W84" s="39" t="str">
        <f aca="false">IF($A84="","",IFERROR($V84/$U84,""))</f>
        <v/>
      </c>
      <c r="X84" s="34"/>
      <c r="Y84" s="37" t="str">
        <f aca="false">IF($A84="","",IF($U84="","",IF($W84&lt;='Tổng quan'!$C$8,"Đạt","Không đạt")))</f>
        <v/>
      </c>
      <c r="Z84" s="38" t="str">
        <f aca="false">IF($H84="","",IFERROR(INDEX('Nhà cung cấp'!$G$4:$G$203,MATCH($H84,'Nhà cung cấp'!$A$4:$A$203,0)),""))</f>
        <v/>
      </c>
      <c r="AA84" s="41" t="str">
        <f aca="false">IF($A84="","",IFERROR($R84+$Z84,""))</f>
        <v/>
      </c>
      <c r="AB84" s="32"/>
    </row>
    <row r="85" customFormat="false" ht="15" hidden="false" customHeight="false" outlineLevel="0" collapsed="false">
      <c r="A85" s="32"/>
      <c r="B85" s="33"/>
      <c r="C85" s="32"/>
      <c r="D85" s="37" t="str">
        <f aca="false">IF($C85="","",IFERROR(INDEX(PR!$D$4:$D$203,MATCH($C85,PR!$A$4:$A$203,0)),""))</f>
        <v/>
      </c>
      <c r="E85" s="37" t="str">
        <f aca="false">IF($C85="","",IFERROR(INDEX(PR!$E$4:$E$203,MATCH($C85,PR!$A$4:$A$203,0)),""))</f>
        <v/>
      </c>
      <c r="F85" s="37" t="str">
        <f aca="false">IF($C85="","",IFERROR(INDEX(PR!$G$4:$G$203,MATCH($C85,PR!$A$4:$A$203,0)),""))</f>
        <v/>
      </c>
      <c r="G85" s="37" t="str">
        <f aca="false">IF($C85="","",IFERROR(INDEX(PR!$F$4:$F$203,MATCH($C85,PR!$A$4:$A$203,0)),""))</f>
        <v/>
      </c>
      <c r="H85" s="32"/>
      <c r="I85" s="37" t="str">
        <f aca="false">IF($H85="","",IFERROR(INDEX('Nhà cung cấp'!$B$4:$B$203,MATCH($H85,'Nhà cung cấp'!$A$4:$A$203,0)),""))</f>
        <v/>
      </c>
      <c r="J85" s="34"/>
      <c r="K85" s="34"/>
      <c r="L85" s="38" t="str">
        <f aca="false">IF($A85="","",IFERROR($J85*$K85,""))</f>
        <v/>
      </c>
      <c r="M85" s="38" t="str">
        <f aca="false">IF($C85="","",IFERROR(INDEX(PR!$L$4:$L$203,MATCH($C85,PR!$A$4:$A$203,0)),""))</f>
        <v/>
      </c>
      <c r="N85" s="38" t="str">
        <f aca="false">IF($A85="","",IFERROR($M85-$L85,""))</f>
        <v/>
      </c>
      <c r="O85" s="32"/>
      <c r="P85" s="33"/>
      <c r="Q85" s="33"/>
      <c r="R85" s="33"/>
      <c r="S85" s="37" t="str">
        <f aca="true">IF($A85="","",IF($Q85="","",IF($R85="",IF(TODAY()&gt;$Q85,"Trễ hạn","Chưa đến hạn"),IF($R85&lt;=$Q85,"Đúng hạn","Giao trễ"))))</f>
        <v/>
      </c>
      <c r="T85" s="38" t="str">
        <f aca="true">IF($A85="","",IF($Q85="",0,IF($R85="",IF(TODAY()&gt;$Q85,TODAY()-$Q85,0),MAX(0,$R85-$Q85))))</f>
        <v/>
      </c>
      <c r="U85" s="34"/>
      <c r="V85" s="34"/>
      <c r="W85" s="39" t="str">
        <f aca="false">IF($A85="","",IFERROR($V85/$U85,""))</f>
        <v/>
      </c>
      <c r="X85" s="34"/>
      <c r="Y85" s="37" t="str">
        <f aca="false">IF($A85="","",IF($U85="","",IF($W85&lt;='Tổng quan'!$C$8,"Đạt","Không đạt")))</f>
        <v/>
      </c>
      <c r="Z85" s="38" t="str">
        <f aca="false">IF($H85="","",IFERROR(INDEX('Nhà cung cấp'!$G$4:$G$203,MATCH($H85,'Nhà cung cấp'!$A$4:$A$203,0)),""))</f>
        <v/>
      </c>
      <c r="AA85" s="41" t="str">
        <f aca="false">IF($A85="","",IFERROR($R85+$Z85,""))</f>
        <v/>
      </c>
      <c r="AB85" s="32"/>
    </row>
    <row r="86" customFormat="false" ht="15" hidden="false" customHeight="false" outlineLevel="0" collapsed="false">
      <c r="A86" s="32"/>
      <c r="B86" s="33"/>
      <c r="C86" s="32"/>
      <c r="D86" s="37" t="str">
        <f aca="false">IF($C86="","",IFERROR(INDEX(PR!$D$4:$D$203,MATCH($C86,PR!$A$4:$A$203,0)),""))</f>
        <v/>
      </c>
      <c r="E86" s="37" t="str">
        <f aca="false">IF($C86="","",IFERROR(INDEX(PR!$E$4:$E$203,MATCH($C86,PR!$A$4:$A$203,0)),""))</f>
        <v/>
      </c>
      <c r="F86" s="37" t="str">
        <f aca="false">IF($C86="","",IFERROR(INDEX(PR!$G$4:$G$203,MATCH($C86,PR!$A$4:$A$203,0)),""))</f>
        <v/>
      </c>
      <c r="G86" s="37" t="str">
        <f aca="false">IF($C86="","",IFERROR(INDEX(PR!$F$4:$F$203,MATCH($C86,PR!$A$4:$A$203,0)),""))</f>
        <v/>
      </c>
      <c r="H86" s="32"/>
      <c r="I86" s="37" t="str">
        <f aca="false">IF($H86="","",IFERROR(INDEX('Nhà cung cấp'!$B$4:$B$203,MATCH($H86,'Nhà cung cấp'!$A$4:$A$203,0)),""))</f>
        <v/>
      </c>
      <c r="J86" s="34"/>
      <c r="K86" s="34"/>
      <c r="L86" s="38" t="str">
        <f aca="false">IF($A86="","",IFERROR($J86*$K86,""))</f>
        <v/>
      </c>
      <c r="M86" s="38" t="str">
        <f aca="false">IF($C86="","",IFERROR(INDEX(PR!$L$4:$L$203,MATCH($C86,PR!$A$4:$A$203,0)),""))</f>
        <v/>
      </c>
      <c r="N86" s="38" t="str">
        <f aca="false">IF($A86="","",IFERROR($M86-$L86,""))</f>
        <v/>
      </c>
      <c r="O86" s="32"/>
      <c r="P86" s="33"/>
      <c r="Q86" s="33"/>
      <c r="R86" s="33"/>
      <c r="S86" s="37" t="str">
        <f aca="true">IF($A86="","",IF($Q86="","",IF($R86="",IF(TODAY()&gt;$Q86,"Trễ hạn","Chưa đến hạn"),IF($R86&lt;=$Q86,"Đúng hạn","Giao trễ"))))</f>
        <v/>
      </c>
      <c r="T86" s="38" t="str">
        <f aca="true">IF($A86="","",IF($Q86="",0,IF($R86="",IF(TODAY()&gt;$Q86,TODAY()-$Q86,0),MAX(0,$R86-$Q86))))</f>
        <v/>
      </c>
      <c r="U86" s="34"/>
      <c r="V86" s="34"/>
      <c r="W86" s="39" t="str">
        <f aca="false">IF($A86="","",IFERROR($V86/$U86,""))</f>
        <v/>
      </c>
      <c r="X86" s="34"/>
      <c r="Y86" s="37" t="str">
        <f aca="false">IF($A86="","",IF($U86="","",IF($W86&lt;='Tổng quan'!$C$8,"Đạt","Không đạt")))</f>
        <v/>
      </c>
      <c r="Z86" s="38" t="str">
        <f aca="false">IF($H86="","",IFERROR(INDEX('Nhà cung cấp'!$G$4:$G$203,MATCH($H86,'Nhà cung cấp'!$A$4:$A$203,0)),""))</f>
        <v/>
      </c>
      <c r="AA86" s="41" t="str">
        <f aca="false">IF($A86="","",IFERROR($R86+$Z86,""))</f>
        <v/>
      </c>
      <c r="AB86" s="32"/>
    </row>
    <row r="87" customFormat="false" ht="15" hidden="false" customHeight="false" outlineLevel="0" collapsed="false">
      <c r="A87" s="32"/>
      <c r="B87" s="33"/>
      <c r="C87" s="32"/>
      <c r="D87" s="37" t="str">
        <f aca="false">IF($C87="","",IFERROR(INDEX(PR!$D$4:$D$203,MATCH($C87,PR!$A$4:$A$203,0)),""))</f>
        <v/>
      </c>
      <c r="E87" s="37" t="str">
        <f aca="false">IF($C87="","",IFERROR(INDEX(PR!$E$4:$E$203,MATCH($C87,PR!$A$4:$A$203,0)),""))</f>
        <v/>
      </c>
      <c r="F87" s="37" t="str">
        <f aca="false">IF($C87="","",IFERROR(INDEX(PR!$G$4:$G$203,MATCH($C87,PR!$A$4:$A$203,0)),""))</f>
        <v/>
      </c>
      <c r="G87" s="37" t="str">
        <f aca="false">IF($C87="","",IFERROR(INDEX(PR!$F$4:$F$203,MATCH($C87,PR!$A$4:$A$203,0)),""))</f>
        <v/>
      </c>
      <c r="H87" s="32"/>
      <c r="I87" s="37" t="str">
        <f aca="false">IF($H87="","",IFERROR(INDEX('Nhà cung cấp'!$B$4:$B$203,MATCH($H87,'Nhà cung cấp'!$A$4:$A$203,0)),""))</f>
        <v/>
      </c>
      <c r="J87" s="34"/>
      <c r="K87" s="34"/>
      <c r="L87" s="38" t="str">
        <f aca="false">IF($A87="","",IFERROR($J87*$K87,""))</f>
        <v/>
      </c>
      <c r="M87" s="38" t="str">
        <f aca="false">IF($C87="","",IFERROR(INDEX(PR!$L$4:$L$203,MATCH($C87,PR!$A$4:$A$203,0)),""))</f>
        <v/>
      </c>
      <c r="N87" s="38" t="str">
        <f aca="false">IF($A87="","",IFERROR($M87-$L87,""))</f>
        <v/>
      </c>
      <c r="O87" s="32"/>
      <c r="P87" s="33"/>
      <c r="Q87" s="33"/>
      <c r="R87" s="33"/>
      <c r="S87" s="37" t="str">
        <f aca="true">IF($A87="","",IF($Q87="","",IF($R87="",IF(TODAY()&gt;$Q87,"Trễ hạn","Chưa đến hạn"),IF($R87&lt;=$Q87,"Đúng hạn","Giao trễ"))))</f>
        <v/>
      </c>
      <c r="T87" s="38" t="str">
        <f aca="true">IF($A87="","",IF($Q87="",0,IF($R87="",IF(TODAY()&gt;$Q87,TODAY()-$Q87,0),MAX(0,$R87-$Q87))))</f>
        <v/>
      </c>
      <c r="U87" s="34"/>
      <c r="V87" s="34"/>
      <c r="W87" s="39" t="str">
        <f aca="false">IF($A87="","",IFERROR($V87/$U87,""))</f>
        <v/>
      </c>
      <c r="X87" s="34"/>
      <c r="Y87" s="37" t="str">
        <f aca="false">IF($A87="","",IF($U87="","",IF($W87&lt;='Tổng quan'!$C$8,"Đạt","Không đạt")))</f>
        <v/>
      </c>
      <c r="Z87" s="38" t="str">
        <f aca="false">IF($H87="","",IFERROR(INDEX('Nhà cung cấp'!$G$4:$G$203,MATCH($H87,'Nhà cung cấp'!$A$4:$A$203,0)),""))</f>
        <v/>
      </c>
      <c r="AA87" s="41" t="str">
        <f aca="false">IF($A87="","",IFERROR($R87+$Z87,""))</f>
        <v/>
      </c>
      <c r="AB87" s="32"/>
    </row>
    <row r="88" customFormat="false" ht="15" hidden="false" customHeight="false" outlineLevel="0" collapsed="false">
      <c r="A88" s="32"/>
      <c r="B88" s="33"/>
      <c r="C88" s="32"/>
      <c r="D88" s="37" t="str">
        <f aca="false">IF($C88="","",IFERROR(INDEX(PR!$D$4:$D$203,MATCH($C88,PR!$A$4:$A$203,0)),""))</f>
        <v/>
      </c>
      <c r="E88" s="37" t="str">
        <f aca="false">IF($C88="","",IFERROR(INDEX(PR!$E$4:$E$203,MATCH($C88,PR!$A$4:$A$203,0)),""))</f>
        <v/>
      </c>
      <c r="F88" s="37" t="str">
        <f aca="false">IF($C88="","",IFERROR(INDEX(PR!$G$4:$G$203,MATCH($C88,PR!$A$4:$A$203,0)),""))</f>
        <v/>
      </c>
      <c r="G88" s="37" t="str">
        <f aca="false">IF($C88="","",IFERROR(INDEX(PR!$F$4:$F$203,MATCH($C88,PR!$A$4:$A$203,0)),""))</f>
        <v/>
      </c>
      <c r="H88" s="32"/>
      <c r="I88" s="37" t="str">
        <f aca="false">IF($H88="","",IFERROR(INDEX('Nhà cung cấp'!$B$4:$B$203,MATCH($H88,'Nhà cung cấp'!$A$4:$A$203,0)),""))</f>
        <v/>
      </c>
      <c r="J88" s="34"/>
      <c r="K88" s="34"/>
      <c r="L88" s="38" t="str">
        <f aca="false">IF($A88="","",IFERROR($J88*$K88,""))</f>
        <v/>
      </c>
      <c r="M88" s="38" t="str">
        <f aca="false">IF($C88="","",IFERROR(INDEX(PR!$L$4:$L$203,MATCH($C88,PR!$A$4:$A$203,0)),""))</f>
        <v/>
      </c>
      <c r="N88" s="38" t="str">
        <f aca="false">IF($A88="","",IFERROR($M88-$L88,""))</f>
        <v/>
      </c>
      <c r="O88" s="32"/>
      <c r="P88" s="33"/>
      <c r="Q88" s="33"/>
      <c r="R88" s="33"/>
      <c r="S88" s="37" t="str">
        <f aca="true">IF($A88="","",IF($Q88="","",IF($R88="",IF(TODAY()&gt;$Q88,"Trễ hạn","Chưa đến hạn"),IF($R88&lt;=$Q88,"Đúng hạn","Giao trễ"))))</f>
        <v/>
      </c>
      <c r="T88" s="38" t="str">
        <f aca="true">IF($A88="","",IF($Q88="",0,IF($R88="",IF(TODAY()&gt;$Q88,TODAY()-$Q88,0),MAX(0,$R88-$Q88))))</f>
        <v/>
      </c>
      <c r="U88" s="34"/>
      <c r="V88" s="34"/>
      <c r="W88" s="39" t="str">
        <f aca="false">IF($A88="","",IFERROR($V88/$U88,""))</f>
        <v/>
      </c>
      <c r="X88" s="34"/>
      <c r="Y88" s="37" t="str">
        <f aca="false">IF($A88="","",IF($U88="","",IF($W88&lt;='Tổng quan'!$C$8,"Đạt","Không đạt")))</f>
        <v/>
      </c>
      <c r="Z88" s="38" t="str">
        <f aca="false">IF($H88="","",IFERROR(INDEX('Nhà cung cấp'!$G$4:$G$203,MATCH($H88,'Nhà cung cấp'!$A$4:$A$203,0)),""))</f>
        <v/>
      </c>
      <c r="AA88" s="41" t="str">
        <f aca="false">IF($A88="","",IFERROR($R88+$Z88,""))</f>
        <v/>
      </c>
      <c r="AB88" s="32"/>
    </row>
    <row r="89" customFormat="false" ht="15" hidden="false" customHeight="false" outlineLevel="0" collapsed="false">
      <c r="A89" s="32"/>
      <c r="B89" s="33"/>
      <c r="C89" s="32"/>
      <c r="D89" s="37" t="str">
        <f aca="false">IF($C89="","",IFERROR(INDEX(PR!$D$4:$D$203,MATCH($C89,PR!$A$4:$A$203,0)),""))</f>
        <v/>
      </c>
      <c r="E89" s="37" t="str">
        <f aca="false">IF($C89="","",IFERROR(INDEX(PR!$E$4:$E$203,MATCH($C89,PR!$A$4:$A$203,0)),""))</f>
        <v/>
      </c>
      <c r="F89" s="37" t="str">
        <f aca="false">IF($C89="","",IFERROR(INDEX(PR!$G$4:$G$203,MATCH($C89,PR!$A$4:$A$203,0)),""))</f>
        <v/>
      </c>
      <c r="G89" s="37" t="str">
        <f aca="false">IF($C89="","",IFERROR(INDEX(PR!$F$4:$F$203,MATCH($C89,PR!$A$4:$A$203,0)),""))</f>
        <v/>
      </c>
      <c r="H89" s="32"/>
      <c r="I89" s="37" t="str">
        <f aca="false">IF($H89="","",IFERROR(INDEX('Nhà cung cấp'!$B$4:$B$203,MATCH($H89,'Nhà cung cấp'!$A$4:$A$203,0)),""))</f>
        <v/>
      </c>
      <c r="J89" s="34"/>
      <c r="K89" s="34"/>
      <c r="L89" s="38" t="str">
        <f aca="false">IF($A89="","",IFERROR($J89*$K89,""))</f>
        <v/>
      </c>
      <c r="M89" s="38" t="str">
        <f aca="false">IF($C89="","",IFERROR(INDEX(PR!$L$4:$L$203,MATCH($C89,PR!$A$4:$A$203,0)),""))</f>
        <v/>
      </c>
      <c r="N89" s="38" t="str">
        <f aca="false">IF($A89="","",IFERROR($M89-$L89,""))</f>
        <v/>
      </c>
      <c r="O89" s="32"/>
      <c r="P89" s="33"/>
      <c r="Q89" s="33"/>
      <c r="R89" s="33"/>
      <c r="S89" s="37" t="str">
        <f aca="true">IF($A89="","",IF($Q89="","",IF($R89="",IF(TODAY()&gt;$Q89,"Trễ hạn","Chưa đến hạn"),IF($R89&lt;=$Q89,"Đúng hạn","Giao trễ"))))</f>
        <v/>
      </c>
      <c r="T89" s="38" t="str">
        <f aca="true">IF($A89="","",IF($Q89="",0,IF($R89="",IF(TODAY()&gt;$Q89,TODAY()-$Q89,0),MAX(0,$R89-$Q89))))</f>
        <v/>
      </c>
      <c r="U89" s="34"/>
      <c r="V89" s="34"/>
      <c r="W89" s="39" t="str">
        <f aca="false">IF($A89="","",IFERROR($V89/$U89,""))</f>
        <v/>
      </c>
      <c r="X89" s="34"/>
      <c r="Y89" s="37" t="str">
        <f aca="false">IF($A89="","",IF($U89="","",IF($W89&lt;='Tổng quan'!$C$8,"Đạt","Không đạt")))</f>
        <v/>
      </c>
      <c r="Z89" s="38" t="str">
        <f aca="false">IF($H89="","",IFERROR(INDEX('Nhà cung cấp'!$G$4:$G$203,MATCH($H89,'Nhà cung cấp'!$A$4:$A$203,0)),""))</f>
        <v/>
      </c>
      <c r="AA89" s="41" t="str">
        <f aca="false">IF($A89="","",IFERROR($R89+$Z89,""))</f>
        <v/>
      </c>
      <c r="AB89" s="32"/>
    </row>
    <row r="90" customFormat="false" ht="15" hidden="false" customHeight="false" outlineLevel="0" collapsed="false">
      <c r="A90" s="32"/>
      <c r="B90" s="33"/>
      <c r="C90" s="32"/>
      <c r="D90" s="37" t="str">
        <f aca="false">IF($C90="","",IFERROR(INDEX(PR!$D$4:$D$203,MATCH($C90,PR!$A$4:$A$203,0)),""))</f>
        <v/>
      </c>
      <c r="E90" s="37" t="str">
        <f aca="false">IF($C90="","",IFERROR(INDEX(PR!$E$4:$E$203,MATCH($C90,PR!$A$4:$A$203,0)),""))</f>
        <v/>
      </c>
      <c r="F90" s="37" t="str">
        <f aca="false">IF($C90="","",IFERROR(INDEX(PR!$G$4:$G$203,MATCH($C90,PR!$A$4:$A$203,0)),""))</f>
        <v/>
      </c>
      <c r="G90" s="37" t="str">
        <f aca="false">IF($C90="","",IFERROR(INDEX(PR!$F$4:$F$203,MATCH($C90,PR!$A$4:$A$203,0)),""))</f>
        <v/>
      </c>
      <c r="H90" s="32"/>
      <c r="I90" s="37" t="str">
        <f aca="false">IF($H90="","",IFERROR(INDEX('Nhà cung cấp'!$B$4:$B$203,MATCH($H90,'Nhà cung cấp'!$A$4:$A$203,0)),""))</f>
        <v/>
      </c>
      <c r="J90" s="34"/>
      <c r="K90" s="34"/>
      <c r="L90" s="38" t="str">
        <f aca="false">IF($A90="","",IFERROR($J90*$K90,""))</f>
        <v/>
      </c>
      <c r="M90" s="38" t="str">
        <f aca="false">IF($C90="","",IFERROR(INDEX(PR!$L$4:$L$203,MATCH($C90,PR!$A$4:$A$203,0)),""))</f>
        <v/>
      </c>
      <c r="N90" s="38" t="str">
        <f aca="false">IF($A90="","",IFERROR($M90-$L90,""))</f>
        <v/>
      </c>
      <c r="O90" s="32"/>
      <c r="P90" s="33"/>
      <c r="Q90" s="33"/>
      <c r="R90" s="33"/>
      <c r="S90" s="37" t="str">
        <f aca="true">IF($A90="","",IF($Q90="","",IF($R90="",IF(TODAY()&gt;$Q90,"Trễ hạn","Chưa đến hạn"),IF($R90&lt;=$Q90,"Đúng hạn","Giao trễ"))))</f>
        <v/>
      </c>
      <c r="T90" s="38" t="str">
        <f aca="true">IF($A90="","",IF($Q90="",0,IF($R90="",IF(TODAY()&gt;$Q90,TODAY()-$Q90,0),MAX(0,$R90-$Q90))))</f>
        <v/>
      </c>
      <c r="U90" s="34"/>
      <c r="V90" s="34"/>
      <c r="W90" s="39" t="str">
        <f aca="false">IF($A90="","",IFERROR($V90/$U90,""))</f>
        <v/>
      </c>
      <c r="X90" s="34"/>
      <c r="Y90" s="37" t="str">
        <f aca="false">IF($A90="","",IF($U90="","",IF($W90&lt;='Tổng quan'!$C$8,"Đạt","Không đạt")))</f>
        <v/>
      </c>
      <c r="Z90" s="38" t="str">
        <f aca="false">IF($H90="","",IFERROR(INDEX('Nhà cung cấp'!$G$4:$G$203,MATCH($H90,'Nhà cung cấp'!$A$4:$A$203,0)),""))</f>
        <v/>
      </c>
      <c r="AA90" s="41" t="str">
        <f aca="false">IF($A90="","",IFERROR($R90+$Z90,""))</f>
        <v/>
      </c>
      <c r="AB90" s="32"/>
    </row>
    <row r="91" customFormat="false" ht="15" hidden="false" customHeight="false" outlineLevel="0" collapsed="false">
      <c r="A91" s="32"/>
      <c r="B91" s="33"/>
      <c r="C91" s="32"/>
      <c r="D91" s="37" t="str">
        <f aca="false">IF($C91="","",IFERROR(INDEX(PR!$D$4:$D$203,MATCH($C91,PR!$A$4:$A$203,0)),""))</f>
        <v/>
      </c>
      <c r="E91" s="37" t="str">
        <f aca="false">IF($C91="","",IFERROR(INDEX(PR!$E$4:$E$203,MATCH($C91,PR!$A$4:$A$203,0)),""))</f>
        <v/>
      </c>
      <c r="F91" s="37" t="str">
        <f aca="false">IF($C91="","",IFERROR(INDEX(PR!$G$4:$G$203,MATCH($C91,PR!$A$4:$A$203,0)),""))</f>
        <v/>
      </c>
      <c r="G91" s="37" t="str">
        <f aca="false">IF($C91="","",IFERROR(INDEX(PR!$F$4:$F$203,MATCH($C91,PR!$A$4:$A$203,0)),""))</f>
        <v/>
      </c>
      <c r="H91" s="32"/>
      <c r="I91" s="37" t="str">
        <f aca="false">IF($H91="","",IFERROR(INDEX('Nhà cung cấp'!$B$4:$B$203,MATCH($H91,'Nhà cung cấp'!$A$4:$A$203,0)),""))</f>
        <v/>
      </c>
      <c r="J91" s="34"/>
      <c r="K91" s="34"/>
      <c r="L91" s="38" t="str">
        <f aca="false">IF($A91="","",IFERROR($J91*$K91,""))</f>
        <v/>
      </c>
      <c r="M91" s="38" t="str">
        <f aca="false">IF($C91="","",IFERROR(INDEX(PR!$L$4:$L$203,MATCH($C91,PR!$A$4:$A$203,0)),""))</f>
        <v/>
      </c>
      <c r="N91" s="38" t="str">
        <f aca="false">IF($A91="","",IFERROR($M91-$L91,""))</f>
        <v/>
      </c>
      <c r="O91" s="32"/>
      <c r="P91" s="33"/>
      <c r="Q91" s="33"/>
      <c r="R91" s="33"/>
      <c r="S91" s="37" t="str">
        <f aca="true">IF($A91="","",IF($Q91="","",IF($R91="",IF(TODAY()&gt;$Q91,"Trễ hạn","Chưa đến hạn"),IF($R91&lt;=$Q91,"Đúng hạn","Giao trễ"))))</f>
        <v/>
      </c>
      <c r="T91" s="38" t="str">
        <f aca="true">IF($A91="","",IF($Q91="",0,IF($R91="",IF(TODAY()&gt;$Q91,TODAY()-$Q91,0),MAX(0,$R91-$Q91))))</f>
        <v/>
      </c>
      <c r="U91" s="34"/>
      <c r="V91" s="34"/>
      <c r="W91" s="39" t="str">
        <f aca="false">IF($A91="","",IFERROR($V91/$U91,""))</f>
        <v/>
      </c>
      <c r="X91" s="34"/>
      <c r="Y91" s="37" t="str">
        <f aca="false">IF($A91="","",IF($U91="","",IF($W91&lt;='Tổng quan'!$C$8,"Đạt","Không đạt")))</f>
        <v/>
      </c>
      <c r="Z91" s="38" t="str">
        <f aca="false">IF($H91="","",IFERROR(INDEX('Nhà cung cấp'!$G$4:$G$203,MATCH($H91,'Nhà cung cấp'!$A$4:$A$203,0)),""))</f>
        <v/>
      </c>
      <c r="AA91" s="41" t="str">
        <f aca="false">IF($A91="","",IFERROR($R91+$Z91,""))</f>
        <v/>
      </c>
      <c r="AB91" s="32"/>
    </row>
    <row r="92" customFormat="false" ht="15" hidden="false" customHeight="false" outlineLevel="0" collapsed="false">
      <c r="A92" s="32"/>
      <c r="B92" s="33"/>
      <c r="C92" s="32"/>
      <c r="D92" s="37" t="str">
        <f aca="false">IF($C92="","",IFERROR(INDEX(PR!$D$4:$D$203,MATCH($C92,PR!$A$4:$A$203,0)),""))</f>
        <v/>
      </c>
      <c r="E92" s="37" t="str">
        <f aca="false">IF($C92="","",IFERROR(INDEX(PR!$E$4:$E$203,MATCH($C92,PR!$A$4:$A$203,0)),""))</f>
        <v/>
      </c>
      <c r="F92" s="37" t="str">
        <f aca="false">IF($C92="","",IFERROR(INDEX(PR!$G$4:$G$203,MATCH($C92,PR!$A$4:$A$203,0)),""))</f>
        <v/>
      </c>
      <c r="G92" s="37" t="str">
        <f aca="false">IF($C92="","",IFERROR(INDEX(PR!$F$4:$F$203,MATCH($C92,PR!$A$4:$A$203,0)),""))</f>
        <v/>
      </c>
      <c r="H92" s="32"/>
      <c r="I92" s="37" t="str">
        <f aca="false">IF($H92="","",IFERROR(INDEX('Nhà cung cấp'!$B$4:$B$203,MATCH($H92,'Nhà cung cấp'!$A$4:$A$203,0)),""))</f>
        <v/>
      </c>
      <c r="J92" s="34"/>
      <c r="K92" s="34"/>
      <c r="L92" s="38" t="str">
        <f aca="false">IF($A92="","",IFERROR($J92*$K92,""))</f>
        <v/>
      </c>
      <c r="M92" s="38" t="str">
        <f aca="false">IF($C92="","",IFERROR(INDEX(PR!$L$4:$L$203,MATCH($C92,PR!$A$4:$A$203,0)),""))</f>
        <v/>
      </c>
      <c r="N92" s="38" t="str">
        <f aca="false">IF($A92="","",IFERROR($M92-$L92,""))</f>
        <v/>
      </c>
      <c r="O92" s="32"/>
      <c r="P92" s="33"/>
      <c r="Q92" s="33"/>
      <c r="R92" s="33"/>
      <c r="S92" s="37" t="str">
        <f aca="true">IF($A92="","",IF($Q92="","",IF($R92="",IF(TODAY()&gt;$Q92,"Trễ hạn","Chưa đến hạn"),IF($R92&lt;=$Q92,"Đúng hạn","Giao trễ"))))</f>
        <v/>
      </c>
      <c r="T92" s="38" t="str">
        <f aca="true">IF($A92="","",IF($Q92="",0,IF($R92="",IF(TODAY()&gt;$Q92,TODAY()-$Q92,0),MAX(0,$R92-$Q92))))</f>
        <v/>
      </c>
      <c r="U92" s="34"/>
      <c r="V92" s="34"/>
      <c r="W92" s="39" t="str">
        <f aca="false">IF($A92="","",IFERROR($V92/$U92,""))</f>
        <v/>
      </c>
      <c r="X92" s="34"/>
      <c r="Y92" s="37" t="str">
        <f aca="false">IF($A92="","",IF($U92="","",IF($W92&lt;='Tổng quan'!$C$8,"Đạt","Không đạt")))</f>
        <v/>
      </c>
      <c r="Z92" s="38" t="str">
        <f aca="false">IF($H92="","",IFERROR(INDEX('Nhà cung cấp'!$G$4:$G$203,MATCH($H92,'Nhà cung cấp'!$A$4:$A$203,0)),""))</f>
        <v/>
      </c>
      <c r="AA92" s="41" t="str">
        <f aca="false">IF($A92="","",IFERROR($R92+$Z92,""))</f>
        <v/>
      </c>
      <c r="AB92" s="32"/>
    </row>
    <row r="93" customFormat="false" ht="15" hidden="false" customHeight="false" outlineLevel="0" collapsed="false">
      <c r="A93" s="32"/>
      <c r="B93" s="33"/>
      <c r="C93" s="32"/>
      <c r="D93" s="37" t="str">
        <f aca="false">IF($C93="","",IFERROR(INDEX(PR!$D$4:$D$203,MATCH($C93,PR!$A$4:$A$203,0)),""))</f>
        <v/>
      </c>
      <c r="E93" s="37" t="str">
        <f aca="false">IF($C93="","",IFERROR(INDEX(PR!$E$4:$E$203,MATCH($C93,PR!$A$4:$A$203,0)),""))</f>
        <v/>
      </c>
      <c r="F93" s="37" t="str">
        <f aca="false">IF($C93="","",IFERROR(INDEX(PR!$G$4:$G$203,MATCH($C93,PR!$A$4:$A$203,0)),""))</f>
        <v/>
      </c>
      <c r="G93" s="37" t="str">
        <f aca="false">IF($C93="","",IFERROR(INDEX(PR!$F$4:$F$203,MATCH($C93,PR!$A$4:$A$203,0)),""))</f>
        <v/>
      </c>
      <c r="H93" s="32"/>
      <c r="I93" s="37" t="str">
        <f aca="false">IF($H93="","",IFERROR(INDEX('Nhà cung cấp'!$B$4:$B$203,MATCH($H93,'Nhà cung cấp'!$A$4:$A$203,0)),""))</f>
        <v/>
      </c>
      <c r="J93" s="34"/>
      <c r="K93" s="34"/>
      <c r="L93" s="38" t="str">
        <f aca="false">IF($A93="","",IFERROR($J93*$K93,""))</f>
        <v/>
      </c>
      <c r="M93" s="38" t="str">
        <f aca="false">IF($C93="","",IFERROR(INDEX(PR!$L$4:$L$203,MATCH($C93,PR!$A$4:$A$203,0)),""))</f>
        <v/>
      </c>
      <c r="N93" s="38" t="str">
        <f aca="false">IF($A93="","",IFERROR($M93-$L93,""))</f>
        <v/>
      </c>
      <c r="O93" s="32"/>
      <c r="P93" s="33"/>
      <c r="Q93" s="33"/>
      <c r="R93" s="33"/>
      <c r="S93" s="37" t="str">
        <f aca="true">IF($A93="","",IF($Q93="","",IF($R93="",IF(TODAY()&gt;$Q93,"Trễ hạn","Chưa đến hạn"),IF($R93&lt;=$Q93,"Đúng hạn","Giao trễ"))))</f>
        <v/>
      </c>
      <c r="T93" s="38" t="str">
        <f aca="true">IF($A93="","",IF($Q93="",0,IF($R93="",IF(TODAY()&gt;$Q93,TODAY()-$Q93,0),MAX(0,$R93-$Q93))))</f>
        <v/>
      </c>
      <c r="U93" s="34"/>
      <c r="V93" s="34"/>
      <c r="W93" s="39" t="str">
        <f aca="false">IF($A93="","",IFERROR($V93/$U93,""))</f>
        <v/>
      </c>
      <c r="X93" s="34"/>
      <c r="Y93" s="37" t="str">
        <f aca="false">IF($A93="","",IF($U93="","",IF($W93&lt;='Tổng quan'!$C$8,"Đạt","Không đạt")))</f>
        <v/>
      </c>
      <c r="Z93" s="38" t="str">
        <f aca="false">IF($H93="","",IFERROR(INDEX('Nhà cung cấp'!$G$4:$G$203,MATCH($H93,'Nhà cung cấp'!$A$4:$A$203,0)),""))</f>
        <v/>
      </c>
      <c r="AA93" s="41" t="str">
        <f aca="false">IF($A93="","",IFERROR($R93+$Z93,""))</f>
        <v/>
      </c>
      <c r="AB93" s="32"/>
    </row>
    <row r="94" customFormat="false" ht="15" hidden="false" customHeight="false" outlineLevel="0" collapsed="false">
      <c r="A94" s="32"/>
      <c r="B94" s="33"/>
      <c r="C94" s="32"/>
      <c r="D94" s="37" t="str">
        <f aca="false">IF($C94="","",IFERROR(INDEX(PR!$D$4:$D$203,MATCH($C94,PR!$A$4:$A$203,0)),""))</f>
        <v/>
      </c>
      <c r="E94" s="37" t="str">
        <f aca="false">IF($C94="","",IFERROR(INDEX(PR!$E$4:$E$203,MATCH($C94,PR!$A$4:$A$203,0)),""))</f>
        <v/>
      </c>
      <c r="F94" s="37" t="str">
        <f aca="false">IF($C94="","",IFERROR(INDEX(PR!$G$4:$G$203,MATCH($C94,PR!$A$4:$A$203,0)),""))</f>
        <v/>
      </c>
      <c r="G94" s="37" t="str">
        <f aca="false">IF($C94="","",IFERROR(INDEX(PR!$F$4:$F$203,MATCH($C94,PR!$A$4:$A$203,0)),""))</f>
        <v/>
      </c>
      <c r="H94" s="32"/>
      <c r="I94" s="37" t="str">
        <f aca="false">IF($H94="","",IFERROR(INDEX('Nhà cung cấp'!$B$4:$B$203,MATCH($H94,'Nhà cung cấp'!$A$4:$A$203,0)),""))</f>
        <v/>
      </c>
      <c r="J94" s="34"/>
      <c r="K94" s="34"/>
      <c r="L94" s="38" t="str">
        <f aca="false">IF($A94="","",IFERROR($J94*$K94,""))</f>
        <v/>
      </c>
      <c r="M94" s="38" t="str">
        <f aca="false">IF($C94="","",IFERROR(INDEX(PR!$L$4:$L$203,MATCH($C94,PR!$A$4:$A$203,0)),""))</f>
        <v/>
      </c>
      <c r="N94" s="38" t="str">
        <f aca="false">IF($A94="","",IFERROR($M94-$L94,""))</f>
        <v/>
      </c>
      <c r="O94" s="32"/>
      <c r="P94" s="33"/>
      <c r="Q94" s="33"/>
      <c r="R94" s="33"/>
      <c r="S94" s="37" t="str">
        <f aca="true">IF($A94="","",IF($Q94="","",IF($R94="",IF(TODAY()&gt;$Q94,"Trễ hạn","Chưa đến hạn"),IF($R94&lt;=$Q94,"Đúng hạn","Giao trễ"))))</f>
        <v/>
      </c>
      <c r="T94" s="38" t="str">
        <f aca="true">IF($A94="","",IF($Q94="",0,IF($R94="",IF(TODAY()&gt;$Q94,TODAY()-$Q94,0),MAX(0,$R94-$Q94))))</f>
        <v/>
      </c>
      <c r="U94" s="34"/>
      <c r="V94" s="34"/>
      <c r="W94" s="39" t="str">
        <f aca="false">IF($A94="","",IFERROR($V94/$U94,""))</f>
        <v/>
      </c>
      <c r="X94" s="34"/>
      <c r="Y94" s="37" t="str">
        <f aca="false">IF($A94="","",IF($U94="","",IF($W94&lt;='Tổng quan'!$C$8,"Đạt","Không đạt")))</f>
        <v/>
      </c>
      <c r="Z94" s="38" t="str">
        <f aca="false">IF($H94="","",IFERROR(INDEX('Nhà cung cấp'!$G$4:$G$203,MATCH($H94,'Nhà cung cấp'!$A$4:$A$203,0)),""))</f>
        <v/>
      </c>
      <c r="AA94" s="41" t="str">
        <f aca="false">IF($A94="","",IFERROR($R94+$Z94,""))</f>
        <v/>
      </c>
      <c r="AB94" s="32"/>
    </row>
    <row r="95" customFormat="false" ht="15" hidden="false" customHeight="false" outlineLevel="0" collapsed="false">
      <c r="A95" s="32"/>
      <c r="B95" s="33"/>
      <c r="C95" s="32"/>
      <c r="D95" s="37" t="str">
        <f aca="false">IF($C95="","",IFERROR(INDEX(PR!$D$4:$D$203,MATCH($C95,PR!$A$4:$A$203,0)),""))</f>
        <v/>
      </c>
      <c r="E95" s="37" t="str">
        <f aca="false">IF($C95="","",IFERROR(INDEX(PR!$E$4:$E$203,MATCH($C95,PR!$A$4:$A$203,0)),""))</f>
        <v/>
      </c>
      <c r="F95" s="37" t="str">
        <f aca="false">IF($C95="","",IFERROR(INDEX(PR!$G$4:$G$203,MATCH($C95,PR!$A$4:$A$203,0)),""))</f>
        <v/>
      </c>
      <c r="G95" s="37" t="str">
        <f aca="false">IF($C95="","",IFERROR(INDEX(PR!$F$4:$F$203,MATCH($C95,PR!$A$4:$A$203,0)),""))</f>
        <v/>
      </c>
      <c r="H95" s="32"/>
      <c r="I95" s="37" t="str">
        <f aca="false">IF($H95="","",IFERROR(INDEX('Nhà cung cấp'!$B$4:$B$203,MATCH($H95,'Nhà cung cấp'!$A$4:$A$203,0)),""))</f>
        <v/>
      </c>
      <c r="J95" s="34"/>
      <c r="K95" s="34"/>
      <c r="L95" s="38" t="str">
        <f aca="false">IF($A95="","",IFERROR($J95*$K95,""))</f>
        <v/>
      </c>
      <c r="M95" s="38" t="str">
        <f aca="false">IF($C95="","",IFERROR(INDEX(PR!$L$4:$L$203,MATCH($C95,PR!$A$4:$A$203,0)),""))</f>
        <v/>
      </c>
      <c r="N95" s="38" t="str">
        <f aca="false">IF($A95="","",IFERROR($M95-$L95,""))</f>
        <v/>
      </c>
      <c r="O95" s="32"/>
      <c r="P95" s="33"/>
      <c r="Q95" s="33"/>
      <c r="R95" s="33"/>
      <c r="S95" s="37" t="str">
        <f aca="true">IF($A95="","",IF($Q95="","",IF($R95="",IF(TODAY()&gt;$Q95,"Trễ hạn","Chưa đến hạn"),IF($R95&lt;=$Q95,"Đúng hạn","Giao trễ"))))</f>
        <v/>
      </c>
      <c r="T95" s="38" t="str">
        <f aca="true">IF($A95="","",IF($Q95="",0,IF($R95="",IF(TODAY()&gt;$Q95,TODAY()-$Q95,0),MAX(0,$R95-$Q95))))</f>
        <v/>
      </c>
      <c r="U95" s="34"/>
      <c r="V95" s="34"/>
      <c r="W95" s="39" t="str">
        <f aca="false">IF($A95="","",IFERROR($V95/$U95,""))</f>
        <v/>
      </c>
      <c r="X95" s="34"/>
      <c r="Y95" s="37" t="str">
        <f aca="false">IF($A95="","",IF($U95="","",IF($W95&lt;='Tổng quan'!$C$8,"Đạt","Không đạt")))</f>
        <v/>
      </c>
      <c r="Z95" s="38" t="str">
        <f aca="false">IF($H95="","",IFERROR(INDEX('Nhà cung cấp'!$G$4:$G$203,MATCH($H95,'Nhà cung cấp'!$A$4:$A$203,0)),""))</f>
        <v/>
      </c>
      <c r="AA95" s="41" t="str">
        <f aca="false">IF($A95="","",IFERROR($R95+$Z95,""))</f>
        <v/>
      </c>
      <c r="AB95" s="32"/>
    </row>
    <row r="96" customFormat="false" ht="15" hidden="false" customHeight="false" outlineLevel="0" collapsed="false">
      <c r="A96" s="32"/>
      <c r="B96" s="33"/>
      <c r="C96" s="32"/>
      <c r="D96" s="37" t="str">
        <f aca="false">IF($C96="","",IFERROR(INDEX(PR!$D$4:$D$203,MATCH($C96,PR!$A$4:$A$203,0)),""))</f>
        <v/>
      </c>
      <c r="E96" s="37" t="str">
        <f aca="false">IF($C96="","",IFERROR(INDEX(PR!$E$4:$E$203,MATCH($C96,PR!$A$4:$A$203,0)),""))</f>
        <v/>
      </c>
      <c r="F96" s="37" t="str">
        <f aca="false">IF($C96="","",IFERROR(INDEX(PR!$G$4:$G$203,MATCH($C96,PR!$A$4:$A$203,0)),""))</f>
        <v/>
      </c>
      <c r="G96" s="37" t="str">
        <f aca="false">IF($C96="","",IFERROR(INDEX(PR!$F$4:$F$203,MATCH($C96,PR!$A$4:$A$203,0)),""))</f>
        <v/>
      </c>
      <c r="H96" s="32"/>
      <c r="I96" s="37" t="str">
        <f aca="false">IF($H96="","",IFERROR(INDEX('Nhà cung cấp'!$B$4:$B$203,MATCH($H96,'Nhà cung cấp'!$A$4:$A$203,0)),""))</f>
        <v/>
      </c>
      <c r="J96" s="34"/>
      <c r="K96" s="34"/>
      <c r="L96" s="38" t="str">
        <f aca="false">IF($A96="","",IFERROR($J96*$K96,""))</f>
        <v/>
      </c>
      <c r="M96" s="38" t="str">
        <f aca="false">IF($C96="","",IFERROR(INDEX(PR!$L$4:$L$203,MATCH($C96,PR!$A$4:$A$203,0)),""))</f>
        <v/>
      </c>
      <c r="N96" s="38" t="str">
        <f aca="false">IF($A96="","",IFERROR($M96-$L96,""))</f>
        <v/>
      </c>
      <c r="O96" s="32"/>
      <c r="P96" s="33"/>
      <c r="Q96" s="33"/>
      <c r="R96" s="33"/>
      <c r="S96" s="37" t="str">
        <f aca="true">IF($A96="","",IF($Q96="","",IF($R96="",IF(TODAY()&gt;$Q96,"Trễ hạn","Chưa đến hạn"),IF($R96&lt;=$Q96,"Đúng hạn","Giao trễ"))))</f>
        <v/>
      </c>
      <c r="T96" s="38" t="str">
        <f aca="true">IF($A96="","",IF($Q96="",0,IF($R96="",IF(TODAY()&gt;$Q96,TODAY()-$Q96,0),MAX(0,$R96-$Q96))))</f>
        <v/>
      </c>
      <c r="U96" s="34"/>
      <c r="V96" s="34"/>
      <c r="W96" s="39" t="str">
        <f aca="false">IF($A96="","",IFERROR($V96/$U96,""))</f>
        <v/>
      </c>
      <c r="X96" s="34"/>
      <c r="Y96" s="37" t="str">
        <f aca="false">IF($A96="","",IF($U96="","",IF($W96&lt;='Tổng quan'!$C$8,"Đạt","Không đạt")))</f>
        <v/>
      </c>
      <c r="Z96" s="38" t="str">
        <f aca="false">IF($H96="","",IFERROR(INDEX('Nhà cung cấp'!$G$4:$G$203,MATCH($H96,'Nhà cung cấp'!$A$4:$A$203,0)),""))</f>
        <v/>
      </c>
      <c r="AA96" s="41" t="str">
        <f aca="false">IF($A96="","",IFERROR($R96+$Z96,""))</f>
        <v/>
      </c>
      <c r="AB96" s="32"/>
    </row>
    <row r="97" customFormat="false" ht="15" hidden="false" customHeight="false" outlineLevel="0" collapsed="false">
      <c r="A97" s="32"/>
      <c r="B97" s="33"/>
      <c r="C97" s="32"/>
      <c r="D97" s="37" t="str">
        <f aca="false">IF($C97="","",IFERROR(INDEX(PR!$D$4:$D$203,MATCH($C97,PR!$A$4:$A$203,0)),""))</f>
        <v/>
      </c>
      <c r="E97" s="37" t="str">
        <f aca="false">IF($C97="","",IFERROR(INDEX(PR!$E$4:$E$203,MATCH($C97,PR!$A$4:$A$203,0)),""))</f>
        <v/>
      </c>
      <c r="F97" s="37" t="str">
        <f aca="false">IF($C97="","",IFERROR(INDEX(PR!$G$4:$G$203,MATCH($C97,PR!$A$4:$A$203,0)),""))</f>
        <v/>
      </c>
      <c r="G97" s="37" t="str">
        <f aca="false">IF($C97="","",IFERROR(INDEX(PR!$F$4:$F$203,MATCH($C97,PR!$A$4:$A$203,0)),""))</f>
        <v/>
      </c>
      <c r="H97" s="32"/>
      <c r="I97" s="37" t="str">
        <f aca="false">IF($H97="","",IFERROR(INDEX('Nhà cung cấp'!$B$4:$B$203,MATCH($H97,'Nhà cung cấp'!$A$4:$A$203,0)),""))</f>
        <v/>
      </c>
      <c r="J97" s="34"/>
      <c r="K97" s="34"/>
      <c r="L97" s="38" t="str">
        <f aca="false">IF($A97="","",IFERROR($J97*$K97,""))</f>
        <v/>
      </c>
      <c r="M97" s="38" t="str">
        <f aca="false">IF($C97="","",IFERROR(INDEX(PR!$L$4:$L$203,MATCH($C97,PR!$A$4:$A$203,0)),""))</f>
        <v/>
      </c>
      <c r="N97" s="38" t="str">
        <f aca="false">IF($A97="","",IFERROR($M97-$L97,""))</f>
        <v/>
      </c>
      <c r="O97" s="32"/>
      <c r="P97" s="33"/>
      <c r="Q97" s="33"/>
      <c r="R97" s="33"/>
      <c r="S97" s="37" t="str">
        <f aca="true">IF($A97="","",IF($Q97="","",IF($R97="",IF(TODAY()&gt;$Q97,"Trễ hạn","Chưa đến hạn"),IF($R97&lt;=$Q97,"Đúng hạn","Giao trễ"))))</f>
        <v/>
      </c>
      <c r="T97" s="38" t="str">
        <f aca="true">IF($A97="","",IF($Q97="",0,IF($R97="",IF(TODAY()&gt;$Q97,TODAY()-$Q97,0),MAX(0,$R97-$Q97))))</f>
        <v/>
      </c>
      <c r="U97" s="34"/>
      <c r="V97" s="34"/>
      <c r="W97" s="39" t="str">
        <f aca="false">IF($A97="","",IFERROR($V97/$U97,""))</f>
        <v/>
      </c>
      <c r="X97" s="34"/>
      <c r="Y97" s="37" t="str">
        <f aca="false">IF($A97="","",IF($U97="","",IF($W97&lt;='Tổng quan'!$C$8,"Đạt","Không đạt")))</f>
        <v/>
      </c>
      <c r="Z97" s="38" t="str">
        <f aca="false">IF($H97="","",IFERROR(INDEX('Nhà cung cấp'!$G$4:$G$203,MATCH($H97,'Nhà cung cấp'!$A$4:$A$203,0)),""))</f>
        <v/>
      </c>
      <c r="AA97" s="41" t="str">
        <f aca="false">IF($A97="","",IFERROR($R97+$Z97,""))</f>
        <v/>
      </c>
      <c r="AB97" s="32"/>
    </row>
    <row r="98" customFormat="false" ht="15" hidden="false" customHeight="false" outlineLevel="0" collapsed="false">
      <c r="A98" s="32"/>
      <c r="B98" s="33"/>
      <c r="C98" s="32"/>
      <c r="D98" s="37" t="str">
        <f aca="false">IF($C98="","",IFERROR(INDEX(PR!$D$4:$D$203,MATCH($C98,PR!$A$4:$A$203,0)),""))</f>
        <v/>
      </c>
      <c r="E98" s="37" t="str">
        <f aca="false">IF($C98="","",IFERROR(INDEX(PR!$E$4:$E$203,MATCH($C98,PR!$A$4:$A$203,0)),""))</f>
        <v/>
      </c>
      <c r="F98" s="37" t="str">
        <f aca="false">IF($C98="","",IFERROR(INDEX(PR!$G$4:$G$203,MATCH($C98,PR!$A$4:$A$203,0)),""))</f>
        <v/>
      </c>
      <c r="G98" s="37" t="str">
        <f aca="false">IF($C98="","",IFERROR(INDEX(PR!$F$4:$F$203,MATCH($C98,PR!$A$4:$A$203,0)),""))</f>
        <v/>
      </c>
      <c r="H98" s="32"/>
      <c r="I98" s="37" t="str">
        <f aca="false">IF($H98="","",IFERROR(INDEX('Nhà cung cấp'!$B$4:$B$203,MATCH($H98,'Nhà cung cấp'!$A$4:$A$203,0)),""))</f>
        <v/>
      </c>
      <c r="J98" s="34"/>
      <c r="K98" s="34"/>
      <c r="L98" s="38" t="str">
        <f aca="false">IF($A98="","",IFERROR($J98*$K98,""))</f>
        <v/>
      </c>
      <c r="M98" s="38" t="str">
        <f aca="false">IF($C98="","",IFERROR(INDEX(PR!$L$4:$L$203,MATCH($C98,PR!$A$4:$A$203,0)),""))</f>
        <v/>
      </c>
      <c r="N98" s="38" t="str">
        <f aca="false">IF($A98="","",IFERROR($M98-$L98,""))</f>
        <v/>
      </c>
      <c r="O98" s="32"/>
      <c r="P98" s="33"/>
      <c r="Q98" s="33"/>
      <c r="R98" s="33"/>
      <c r="S98" s="37" t="str">
        <f aca="true">IF($A98="","",IF($Q98="","",IF($R98="",IF(TODAY()&gt;$Q98,"Trễ hạn","Chưa đến hạn"),IF($R98&lt;=$Q98,"Đúng hạn","Giao trễ"))))</f>
        <v/>
      </c>
      <c r="T98" s="38" t="str">
        <f aca="true">IF($A98="","",IF($Q98="",0,IF($R98="",IF(TODAY()&gt;$Q98,TODAY()-$Q98,0),MAX(0,$R98-$Q98))))</f>
        <v/>
      </c>
      <c r="U98" s="34"/>
      <c r="V98" s="34"/>
      <c r="W98" s="39" t="str">
        <f aca="false">IF($A98="","",IFERROR($V98/$U98,""))</f>
        <v/>
      </c>
      <c r="X98" s="34"/>
      <c r="Y98" s="37" t="str">
        <f aca="false">IF($A98="","",IF($U98="","",IF($W98&lt;='Tổng quan'!$C$8,"Đạt","Không đạt")))</f>
        <v/>
      </c>
      <c r="Z98" s="38" t="str">
        <f aca="false">IF($H98="","",IFERROR(INDEX('Nhà cung cấp'!$G$4:$G$203,MATCH($H98,'Nhà cung cấp'!$A$4:$A$203,0)),""))</f>
        <v/>
      </c>
      <c r="AA98" s="41" t="str">
        <f aca="false">IF($A98="","",IFERROR($R98+$Z98,""))</f>
        <v/>
      </c>
      <c r="AB98" s="32"/>
    </row>
    <row r="99" customFormat="false" ht="15" hidden="false" customHeight="false" outlineLevel="0" collapsed="false">
      <c r="A99" s="32"/>
      <c r="B99" s="33"/>
      <c r="C99" s="32"/>
      <c r="D99" s="37" t="str">
        <f aca="false">IF($C99="","",IFERROR(INDEX(PR!$D$4:$D$203,MATCH($C99,PR!$A$4:$A$203,0)),""))</f>
        <v/>
      </c>
      <c r="E99" s="37" t="str">
        <f aca="false">IF($C99="","",IFERROR(INDEX(PR!$E$4:$E$203,MATCH($C99,PR!$A$4:$A$203,0)),""))</f>
        <v/>
      </c>
      <c r="F99" s="37" t="str">
        <f aca="false">IF($C99="","",IFERROR(INDEX(PR!$G$4:$G$203,MATCH($C99,PR!$A$4:$A$203,0)),""))</f>
        <v/>
      </c>
      <c r="G99" s="37" t="str">
        <f aca="false">IF($C99="","",IFERROR(INDEX(PR!$F$4:$F$203,MATCH($C99,PR!$A$4:$A$203,0)),""))</f>
        <v/>
      </c>
      <c r="H99" s="32"/>
      <c r="I99" s="37" t="str">
        <f aca="false">IF($H99="","",IFERROR(INDEX('Nhà cung cấp'!$B$4:$B$203,MATCH($H99,'Nhà cung cấp'!$A$4:$A$203,0)),""))</f>
        <v/>
      </c>
      <c r="J99" s="34"/>
      <c r="K99" s="34"/>
      <c r="L99" s="38" t="str">
        <f aca="false">IF($A99="","",IFERROR($J99*$K99,""))</f>
        <v/>
      </c>
      <c r="M99" s="38" t="str">
        <f aca="false">IF($C99="","",IFERROR(INDEX(PR!$L$4:$L$203,MATCH($C99,PR!$A$4:$A$203,0)),""))</f>
        <v/>
      </c>
      <c r="N99" s="38" t="str">
        <f aca="false">IF($A99="","",IFERROR($M99-$L99,""))</f>
        <v/>
      </c>
      <c r="O99" s="32"/>
      <c r="P99" s="33"/>
      <c r="Q99" s="33"/>
      <c r="R99" s="33"/>
      <c r="S99" s="37" t="str">
        <f aca="true">IF($A99="","",IF($Q99="","",IF($R99="",IF(TODAY()&gt;$Q99,"Trễ hạn","Chưa đến hạn"),IF($R99&lt;=$Q99,"Đúng hạn","Giao trễ"))))</f>
        <v/>
      </c>
      <c r="T99" s="38" t="str">
        <f aca="true">IF($A99="","",IF($Q99="",0,IF($R99="",IF(TODAY()&gt;$Q99,TODAY()-$Q99,0),MAX(0,$R99-$Q99))))</f>
        <v/>
      </c>
      <c r="U99" s="34"/>
      <c r="V99" s="34"/>
      <c r="W99" s="39" t="str">
        <f aca="false">IF($A99="","",IFERROR($V99/$U99,""))</f>
        <v/>
      </c>
      <c r="X99" s="34"/>
      <c r="Y99" s="37" t="str">
        <f aca="false">IF($A99="","",IF($U99="","",IF($W99&lt;='Tổng quan'!$C$8,"Đạt","Không đạt")))</f>
        <v/>
      </c>
      <c r="Z99" s="38" t="str">
        <f aca="false">IF($H99="","",IFERROR(INDEX('Nhà cung cấp'!$G$4:$G$203,MATCH($H99,'Nhà cung cấp'!$A$4:$A$203,0)),""))</f>
        <v/>
      </c>
      <c r="AA99" s="41" t="str">
        <f aca="false">IF($A99="","",IFERROR($R99+$Z99,""))</f>
        <v/>
      </c>
      <c r="AB99" s="32"/>
    </row>
    <row r="100" customFormat="false" ht="15" hidden="false" customHeight="false" outlineLevel="0" collapsed="false">
      <c r="A100" s="32"/>
      <c r="B100" s="33"/>
      <c r="C100" s="32"/>
      <c r="D100" s="37" t="str">
        <f aca="false">IF($C100="","",IFERROR(INDEX(PR!$D$4:$D$203,MATCH($C100,PR!$A$4:$A$203,0)),""))</f>
        <v/>
      </c>
      <c r="E100" s="37" t="str">
        <f aca="false">IF($C100="","",IFERROR(INDEX(PR!$E$4:$E$203,MATCH($C100,PR!$A$4:$A$203,0)),""))</f>
        <v/>
      </c>
      <c r="F100" s="37" t="str">
        <f aca="false">IF($C100="","",IFERROR(INDEX(PR!$G$4:$G$203,MATCH($C100,PR!$A$4:$A$203,0)),""))</f>
        <v/>
      </c>
      <c r="G100" s="37" t="str">
        <f aca="false">IF($C100="","",IFERROR(INDEX(PR!$F$4:$F$203,MATCH($C100,PR!$A$4:$A$203,0)),""))</f>
        <v/>
      </c>
      <c r="H100" s="32"/>
      <c r="I100" s="37" t="str">
        <f aca="false">IF($H100="","",IFERROR(INDEX('Nhà cung cấp'!$B$4:$B$203,MATCH($H100,'Nhà cung cấp'!$A$4:$A$203,0)),""))</f>
        <v/>
      </c>
      <c r="J100" s="34"/>
      <c r="K100" s="34"/>
      <c r="L100" s="38" t="str">
        <f aca="false">IF($A100="","",IFERROR($J100*$K100,""))</f>
        <v/>
      </c>
      <c r="M100" s="38" t="str">
        <f aca="false">IF($C100="","",IFERROR(INDEX(PR!$L$4:$L$203,MATCH($C100,PR!$A$4:$A$203,0)),""))</f>
        <v/>
      </c>
      <c r="N100" s="38" t="str">
        <f aca="false">IF($A100="","",IFERROR($M100-$L100,""))</f>
        <v/>
      </c>
      <c r="O100" s="32"/>
      <c r="P100" s="33"/>
      <c r="Q100" s="33"/>
      <c r="R100" s="33"/>
      <c r="S100" s="37" t="str">
        <f aca="true">IF($A100="","",IF($Q100="","",IF($R100="",IF(TODAY()&gt;$Q100,"Trễ hạn","Chưa đến hạn"),IF($R100&lt;=$Q100,"Đúng hạn","Giao trễ"))))</f>
        <v/>
      </c>
      <c r="T100" s="38" t="str">
        <f aca="true">IF($A100="","",IF($Q100="",0,IF($R100="",IF(TODAY()&gt;$Q100,TODAY()-$Q100,0),MAX(0,$R100-$Q100))))</f>
        <v/>
      </c>
      <c r="U100" s="34"/>
      <c r="V100" s="34"/>
      <c r="W100" s="39" t="str">
        <f aca="false">IF($A100="","",IFERROR($V100/$U100,""))</f>
        <v/>
      </c>
      <c r="X100" s="34"/>
      <c r="Y100" s="37" t="str">
        <f aca="false">IF($A100="","",IF($U100="","",IF($W100&lt;='Tổng quan'!$C$8,"Đạt","Không đạt")))</f>
        <v/>
      </c>
      <c r="Z100" s="38" t="str">
        <f aca="false">IF($H100="","",IFERROR(INDEX('Nhà cung cấp'!$G$4:$G$203,MATCH($H100,'Nhà cung cấp'!$A$4:$A$203,0)),""))</f>
        <v/>
      </c>
      <c r="AA100" s="41" t="str">
        <f aca="false">IF($A100="","",IFERROR($R100+$Z100,""))</f>
        <v/>
      </c>
      <c r="AB100" s="32"/>
    </row>
    <row r="101" customFormat="false" ht="15" hidden="false" customHeight="false" outlineLevel="0" collapsed="false">
      <c r="A101" s="32"/>
      <c r="B101" s="33"/>
      <c r="C101" s="32"/>
      <c r="D101" s="37" t="str">
        <f aca="false">IF($C101="","",IFERROR(INDEX(PR!$D$4:$D$203,MATCH($C101,PR!$A$4:$A$203,0)),""))</f>
        <v/>
      </c>
      <c r="E101" s="37" t="str">
        <f aca="false">IF($C101="","",IFERROR(INDEX(PR!$E$4:$E$203,MATCH($C101,PR!$A$4:$A$203,0)),""))</f>
        <v/>
      </c>
      <c r="F101" s="37" t="str">
        <f aca="false">IF($C101="","",IFERROR(INDEX(PR!$G$4:$G$203,MATCH($C101,PR!$A$4:$A$203,0)),""))</f>
        <v/>
      </c>
      <c r="G101" s="37" t="str">
        <f aca="false">IF($C101="","",IFERROR(INDEX(PR!$F$4:$F$203,MATCH($C101,PR!$A$4:$A$203,0)),""))</f>
        <v/>
      </c>
      <c r="H101" s="32"/>
      <c r="I101" s="37" t="str">
        <f aca="false">IF($H101="","",IFERROR(INDEX('Nhà cung cấp'!$B$4:$B$203,MATCH($H101,'Nhà cung cấp'!$A$4:$A$203,0)),""))</f>
        <v/>
      </c>
      <c r="J101" s="34"/>
      <c r="K101" s="34"/>
      <c r="L101" s="38" t="str">
        <f aca="false">IF($A101="","",IFERROR($J101*$K101,""))</f>
        <v/>
      </c>
      <c r="M101" s="38" t="str">
        <f aca="false">IF($C101="","",IFERROR(INDEX(PR!$L$4:$L$203,MATCH($C101,PR!$A$4:$A$203,0)),""))</f>
        <v/>
      </c>
      <c r="N101" s="38" t="str">
        <f aca="false">IF($A101="","",IFERROR($M101-$L101,""))</f>
        <v/>
      </c>
      <c r="O101" s="32"/>
      <c r="P101" s="33"/>
      <c r="Q101" s="33"/>
      <c r="R101" s="33"/>
      <c r="S101" s="37" t="str">
        <f aca="true">IF($A101="","",IF($Q101="","",IF($R101="",IF(TODAY()&gt;$Q101,"Trễ hạn","Chưa đến hạn"),IF($R101&lt;=$Q101,"Đúng hạn","Giao trễ"))))</f>
        <v/>
      </c>
      <c r="T101" s="38" t="str">
        <f aca="true">IF($A101="","",IF($Q101="",0,IF($R101="",IF(TODAY()&gt;$Q101,TODAY()-$Q101,0),MAX(0,$R101-$Q101))))</f>
        <v/>
      </c>
      <c r="U101" s="34"/>
      <c r="V101" s="34"/>
      <c r="W101" s="39" t="str">
        <f aca="false">IF($A101="","",IFERROR($V101/$U101,""))</f>
        <v/>
      </c>
      <c r="X101" s="34"/>
      <c r="Y101" s="37" t="str">
        <f aca="false">IF($A101="","",IF($U101="","",IF($W101&lt;='Tổng quan'!$C$8,"Đạt","Không đạt")))</f>
        <v/>
      </c>
      <c r="Z101" s="38" t="str">
        <f aca="false">IF($H101="","",IFERROR(INDEX('Nhà cung cấp'!$G$4:$G$203,MATCH($H101,'Nhà cung cấp'!$A$4:$A$203,0)),""))</f>
        <v/>
      </c>
      <c r="AA101" s="41" t="str">
        <f aca="false">IF($A101="","",IFERROR($R101+$Z101,""))</f>
        <v/>
      </c>
      <c r="AB101" s="32"/>
    </row>
    <row r="102" customFormat="false" ht="15" hidden="false" customHeight="false" outlineLevel="0" collapsed="false">
      <c r="A102" s="32"/>
      <c r="B102" s="33"/>
      <c r="C102" s="32"/>
      <c r="D102" s="37" t="str">
        <f aca="false">IF($C102="","",IFERROR(INDEX(PR!$D$4:$D$203,MATCH($C102,PR!$A$4:$A$203,0)),""))</f>
        <v/>
      </c>
      <c r="E102" s="37" t="str">
        <f aca="false">IF($C102="","",IFERROR(INDEX(PR!$E$4:$E$203,MATCH($C102,PR!$A$4:$A$203,0)),""))</f>
        <v/>
      </c>
      <c r="F102" s="37" t="str">
        <f aca="false">IF($C102="","",IFERROR(INDEX(PR!$G$4:$G$203,MATCH($C102,PR!$A$4:$A$203,0)),""))</f>
        <v/>
      </c>
      <c r="G102" s="37" t="str">
        <f aca="false">IF($C102="","",IFERROR(INDEX(PR!$F$4:$F$203,MATCH($C102,PR!$A$4:$A$203,0)),""))</f>
        <v/>
      </c>
      <c r="H102" s="32"/>
      <c r="I102" s="37" t="str">
        <f aca="false">IF($H102="","",IFERROR(INDEX('Nhà cung cấp'!$B$4:$B$203,MATCH($H102,'Nhà cung cấp'!$A$4:$A$203,0)),""))</f>
        <v/>
      </c>
      <c r="J102" s="34"/>
      <c r="K102" s="34"/>
      <c r="L102" s="38" t="str">
        <f aca="false">IF($A102="","",IFERROR($J102*$K102,""))</f>
        <v/>
      </c>
      <c r="M102" s="38" t="str">
        <f aca="false">IF($C102="","",IFERROR(INDEX(PR!$L$4:$L$203,MATCH($C102,PR!$A$4:$A$203,0)),""))</f>
        <v/>
      </c>
      <c r="N102" s="38" t="str">
        <f aca="false">IF($A102="","",IFERROR($M102-$L102,""))</f>
        <v/>
      </c>
      <c r="O102" s="32"/>
      <c r="P102" s="33"/>
      <c r="Q102" s="33"/>
      <c r="R102" s="33"/>
      <c r="S102" s="37" t="str">
        <f aca="true">IF($A102="","",IF($Q102="","",IF($R102="",IF(TODAY()&gt;$Q102,"Trễ hạn","Chưa đến hạn"),IF($R102&lt;=$Q102,"Đúng hạn","Giao trễ"))))</f>
        <v/>
      </c>
      <c r="T102" s="38" t="str">
        <f aca="true">IF($A102="","",IF($Q102="",0,IF($R102="",IF(TODAY()&gt;$Q102,TODAY()-$Q102,0),MAX(0,$R102-$Q102))))</f>
        <v/>
      </c>
      <c r="U102" s="34"/>
      <c r="V102" s="34"/>
      <c r="W102" s="39" t="str">
        <f aca="false">IF($A102="","",IFERROR($V102/$U102,""))</f>
        <v/>
      </c>
      <c r="X102" s="34"/>
      <c r="Y102" s="37" t="str">
        <f aca="false">IF($A102="","",IF($U102="","",IF($W102&lt;='Tổng quan'!$C$8,"Đạt","Không đạt")))</f>
        <v/>
      </c>
      <c r="Z102" s="38" t="str">
        <f aca="false">IF($H102="","",IFERROR(INDEX('Nhà cung cấp'!$G$4:$G$203,MATCH($H102,'Nhà cung cấp'!$A$4:$A$203,0)),""))</f>
        <v/>
      </c>
      <c r="AA102" s="41" t="str">
        <f aca="false">IF($A102="","",IFERROR($R102+$Z102,""))</f>
        <v/>
      </c>
      <c r="AB102" s="32"/>
    </row>
    <row r="103" customFormat="false" ht="15" hidden="false" customHeight="false" outlineLevel="0" collapsed="false">
      <c r="A103" s="32"/>
      <c r="B103" s="33"/>
      <c r="C103" s="32"/>
      <c r="D103" s="37" t="str">
        <f aca="false">IF($C103="","",IFERROR(INDEX(PR!$D$4:$D$203,MATCH($C103,PR!$A$4:$A$203,0)),""))</f>
        <v/>
      </c>
      <c r="E103" s="37" t="str">
        <f aca="false">IF($C103="","",IFERROR(INDEX(PR!$E$4:$E$203,MATCH($C103,PR!$A$4:$A$203,0)),""))</f>
        <v/>
      </c>
      <c r="F103" s="37" t="str">
        <f aca="false">IF($C103="","",IFERROR(INDEX(PR!$G$4:$G$203,MATCH($C103,PR!$A$4:$A$203,0)),""))</f>
        <v/>
      </c>
      <c r="G103" s="37" t="str">
        <f aca="false">IF($C103="","",IFERROR(INDEX(PR!$F$4:$F$203,MATCH($C103,PR!$A$4:$A$203,0)),""))</f>
        <v/>
      </c>
      <c r="H103" s="32"/>
      <c r="I103" s="37" t="str">
        <f aca="false">IF($H103="","",IFERROR(INDEX('Nhà cung cấp'!$B$4:$B$203,MATCH($H103,'Nhà cung cấp'!$A$4:$A$203,0)),""))</f>
        <v/>
      </c>
      <c r="J103" s="34"/>
      <c r="K103" s="34"/>
      <c r="L103" s="38" t="str">
        <f aca="false">IF($A103="","",IFERROR($J103*$K103,""))</f>
        <v/>
      </c>
      <c r="M103" s="38" t="str">
        <f aca="false">IF($C103="","",IFERROR(INDEX(PR!$L$4:$L$203,MATCH($C103,PR!$A$4:$A$203,0)),""))</f>
        <v/>
      </c>
      <c r="N103" s="38" t="str">
        <f aca="false">IF($A103="","",IFERROR($M103-$L103,""))</f>
        <v/>
      </c>
      <c r="O103" s="32"/>
      <c r="P103" s="33"/>
      <c r="Q103" s="33"/>
      <c r="R103" s="33"/>
      <c r="S103" s="37" t="str">
        <f aca="true">IF($A103="","",IF($Q103="","",IF($R103="",IF(TODAY()&gt;$Q103,"Trễ hạn","Chưa đến hạn"),IF($R103&lt;=$Q103,"Đúng hạn","Giao trễ"))))</f>
        <v/>
      </c>
      <c r="T103" s="38" t="str">
        <f aca="true">IF($A103="","",IF($Q103="",0,IF($R103="",IF(TODAY()&gt;$Q103,TODAY()-$Q103,0),MAX(0,$R103-$Q103))))</f>
        <v/>
      </c>
      <c r="U103" s="34"/>
      <c r="V103" s="34"/>
      <c r="W103" s="39" t="str">
        <f aca="false">IF($A103="","",IFERROR($V103/$U103,""))</f>
        <v/>
      </c>
      <c r="X103" s="34"/>
      <c r="Y103" s="37" t="str">
        <f aca="false">IF($A103="","",IF($U103="","",IF($W103&lt;='Tổng quan'!$C$8,"Đạt","Không đạt")))</f>
        <v/>
      </c>
      <c r="Z103" s="38" t="str">
        <f aca="false">IF($H103="","",IFERROR(INDEX('Nhà cung cấp'!$G$4:$G$203,MATCH($H103,'Nhà cung cấp'!$A$4:$A$203,0)),""))</f>
        <v/>
      </c>
      <c r="AA103" s="41" t="str">
        <f aca="false">IF($A103="","",IFERROR($R103+$Z103,""))</f>
        <v/>
      </c>
      <c r="AB103" s="32"/>
    </row>
    <row r="104" customFormat="false" ht="15" hidden="false" customHeight="false" outlineLevel="0" collapsed="false">
      <c r="A104" s="32"/>
      <c r="B104" s="33"/>
      <c r="C104" s="32"/>
      <c r="D104" s="37" t="str">
        <f aca="false">IF($C104="","",IFERROR(INDEX(PR!$D$4:$D$203,MATCH($C104,PR!$A$4:$A$203,0)),""))</f>
        <v/>
      </c>
      <c r="E104" s="37" t="str">
        <f aca="false">IF($C104="","",IFERROR(INDEX(PR!$E$4:$E$203,MATCH($C104,PR!$A$4:$A$203,0)),""))</f>
        <v/>
      </c>
      <c r="F104" s="37" t="str">
        <f aca="false">IF($C104="","",IFERROR(INDEX(PR!$G$4:$G$203,MATCH($C104,PR!$A$4:$A$203,0)),""))</f>
        <v/>
      </c>
      <c r="G104" s="37" t="str">
        <f aca="false">IF($C104="","",IFERROR(INDEX(PR!$F$4:$F$203,MATCH($C104,PR!$A$4:$A$203,0)),""))</f>
        <v/>
      </c>
      <c r="H104" s="32"/>
      <c r="I104" s="37" t="str">
        <f aca="false">IF($H104="","",IFERROR(INDEX('Nhà cung cấp'!$B$4:$B$203,MATCH($H104,'Nhà cung cấp'!$A$4:$A$203,0)),""))</f>
        <v/>
      </c>
      <c r="J104" s="34"/>
      <c r="K104" s="34"/>
      <c r="L104" s="38" t="str">
        <f aca="false">IF($A104="","",IFERROR($J104*$K104,""))</f>
        <v/>
      </c>
      <c r="M104" s="38" t="str">
        <f aca="false">IF($C104="","",IFERROR(INDEX(PR!$L$4:$L$203,MATCH($C104,PR!$A$4:$A$203,0)),""))</f>
        <v/>
      </c>
      <c r="N104" s="38" t="str">
        <f aca="false">IF($A104="","",IFERROR($M104-$L104,""))</f>
        <v/>
      </c>
      <c r="O104" s="32"/>
      <c r="P104" s="33"/>
      <c r="Q104" s="33"/>
      <c r="R104" s="33"/>
      <c r="S104" s="37" t="str">
        <f aca="true">IF($A104="","",IF($Q104="","",IF($R104="",IF(TODAY()&gt;$Q104,"Trễ hạn","Chưa đến hạn"),IF($R104&lt;=$Q104,"Đúng hạn","Giao trễ"))))</f>
        <v/>
      </c>
      <c r="T104" s="38" t="str">
        <f aca="true">IF($A104="","",IF($Q104="",0,IF($R104="",IF(TODAY()&gt;$Q104,TODAY()-$Q104,0),MAX(0,$R104-$Q104))))</f>
        <v/>
      </c>
      <c r="U104" s="34"/>
      <c r="V104" s="34"/>
      <c r="W104" s="39" t="str">
        <f aca="false">IF($A104="","",IFERROR($V104/$U104,""))</f>
        <v/>
      </c>
      <c r="X104" s="34"/>
      <c r="Y104" s="37" t="str">
        <f aca="false">IF($A104="","",IF($U104="","",IF($W104&lt;='Tổng quan'!$C$8,"Đạt","Không đạt")))</f>
        <v/>
      </c>
      <c r="Z104" s="38" t="str">
        <f aca="false">IF($H104="","",IFERROR(INDEX('Nhà cung cấp'!$G$4:$G$203,MATCH($H104,'Nhà cung cấp'!$A$4:$A$203,0)),""))</f>
        <v/>
      </c>
      <c r="AA104" s="41" t="str">
        <f aca="false">IF($A104="","",IFERROR($R104+$Z104,""))</f>
        <v/>
      </c>
      <c r="AB104" s="32"/>
    </row>
    <row r="105" customFormat="false" ht="15" hidden="false" customHeight="false" outlineLevel="0" collapsed="false">
      <c r="A105" s="32"/>
      <c r="B105" s="33"/>
      <c r="C105" s="32"/>
      <c r="D105" s="37" t="str">
        <f aca="false">IF($C105="","",IFERROR(INDEX(PR!$D$4:$D$203,MATCH($C105,PR!$A$4:$A$203,0)),""))</f>
        <v/>
      </c>
      <c r="E105" s="37" t="str">
        <f aca="false">IF($C105="","",IFERROR(INDEX(PR!$E$4:$E$203,MATCH($C105,PR!$A$4:$A$203,0)),""))</f>
        <v/>
      </c>
      <c r="F105" s="37" t="str">
        <f aca="false">IF($C105="","",IFERROR(INDEX(PR!$G$4:$G$203,MATCH($C105,PR!$A$4:$A$203,0)),""))</f>
        <v/>
      </c>
      <c r="G105" s="37" t="str">
        <f aca="false">IF($C105="","",IFERROR(INDEX(PR!$F$4:$F$203,MATCH($C105,PR!$A$4:$A$203,0)),""))</f>
        <v/>
      </c>
      <c r="H105" s="32"/>
      <c r="I105" s="37" t="str">
        <f aca="false">IF($H105="","",IFERROR(INDEX('Nhà cung cấp'!$B$4:$B$203,MATCH($H105,'Nhà cung cấp'!$A$4:$A$203,0)),""))</f>
        <v/>
      </c>
      <c r="J105" s="34"/>
      <c r="K105" s="34"/>
      <c r="L105" s="38" t="str">
        <f aca="false">IF($A105="","",IFERROR($J105*$K105,""))</f>
        <v/>
      </c>
      <c r="M105" s="38" t="str">
        <f aca="false">IF($C105="","",IFERROR(INDEX(PR!$L$4:$L$203,MATCH($C105,PR!$A$4:$A$203,0)),""))</f>
        <v/>
      </c>
      <c r="N105" s="38" t="str">
        <f aca="false">IF($A105="","",IFERROR($M105-$L105,""))</f>
        <v/>
      </c>
      <c r="O105" s="32"/>
      <c r="P105" s="33"/>
      <c r="Q105" s="33"/>
      <c r="R105" s="33"/>
      <c r="S105" s="37" t="str">
        <f aca="true">IF($A105="","",IF($Q105="","",IF($R105="",IF(TODAY()&gt;$Q105,"Trễ hạn","Chưa đến hạn"),IF($R105&lt;=$Q105,"Đúng hạn","Giao trễ"))))</f>
        <v/>
      </c>
      <c r="T105" s="38" t="str">
        <f aca="true">IF($A105="","",IF($Q105="",0,IF($R105="",IF(TODAY()&gt;$Q105,TODAY()-$Q105,0),MAX(0,$R105-$Q105))))</f>
        <v/>
      </c>
      <c r="U105" s="34"/>
      <c r="V105" s="34"/>
      <c r="W105" s="39" t="str">
        <f aca="false">IF($A105="","",IFERROR($V105/$U105,""))</f>
        <v/>
      </c>
      <c r="X105" s="34"/>
      <c r="Y105" s="37" t="str">
        <f aca="false">IF($A105="","",IF($U105="","",IF($W105&lt;='Tổng quan'!$C$8,"Đạt","Không đạt")))</f>
        <v/>
      </c>
      <c r="Z105" s="38" t="str">
        <f aca="false">IF($H105="","",IFERROR(INDEX('Nhà cung cấp'!$G$4:$G$203,MATCH($H105,'Nhà cung cấp'!$A$4:$A$203,0)),""))</f>
        <v/>
      </c>
      <c r="AA105" s="41" t="str">
        <f aca="false">IF($A105="","",IFERROR($R105+$Z105,""))</f>
        <v/>
      </c>
      <c r="AB105" s="32"/>
    </row>
    <row r="106" customFormat="false" ht="15" hidden="false" customHeight="false" outlineLevel="0" collapsed="false">
      <c r="A106" s="32"/>
      <c r="B106" s="33"/>
      <c r="C106" s="32"/>
      <c r="D106" s="37" t="str">
        <f aca="false">IF($C106="","",IFERROR(INDEX(PR!$D$4:$D$203,MATCH($C106,PR!$A$4:$A$203,0)),""))</f>
        <v/>
      </c>
      <c r="E106" s="37" t="str">
        <f aca="false">IF($C106="","",IFERROR(INDEX(PR!$E$4:$E$203,MATCH($C106,PR!$A$4:$A$203,0)),""))</f>
        <v/>
      </c>
      <c r="F106" s="37" t="str">
        <f aca="false">IF($C106="","",IFERROR(INDEX(PR!$G$4:$G$203,MATCH($C106,PR!$A$4:$A$203,0)),""))</f>
        <v/>
      </c>
      <c r="G106" s="37" t="str">
        <f aca="false">IF($C106="","",IFERROR(INDEX(PR!$F$4:$F$203,MATCH($C106,PR!$A$4:$A$203,0)),""))</f>
        <v/>
      </c>
      <c r="H106" s="32"/>
      <c r="I106" s="37" t="str">
        <f aca="false">IF($H106="","",IFERROR(INDEX('Nhà cung cấp'!$B$4:$B$203,MATCH($H106,'Nhà cung cấp'!$A$4:$A$203,0)),""))</f>
        <v/>
      </c>
      <c r="J106" s="34"/>
      <c r="K106" s="34"/>
      <c r="L106" s="38" t="str">
        <f aca="false">IF($A106="","",IFERROR($J106*$K106,""))</f>
        <v/>
      </c>
      <c r="M106" s="38" t="str">
        <f aca="false">IF($C106="","",IFERROR(INDEX(PR!$L$4:$L$203,MATCH($C106,PR!$A$4:$A$203,0)),""))</f>
        <v/>
      </c>
      <c r="N106" s="38" t="str">
        <f aca="false">IF($A106="","",IFERROR($M106-$L106,""))</f>
        <v/>
      </c>
      <c r="O106" s="32"/>
      <c r="P106" s="33"/>
      <c r="Q106" s="33"/>
      <c r="R106" s="33"/>
      <c r="S106" s="37" t="str">
        <f aca="true">IF($A106="","",IF($Q106="","",IF($R106="",IF(TODAY()&gt;$Q106,"Trễ hạn","Chưa đến hạn"),IF($R106&lt;=$Q106,"Đúng hạn","Giao trễ"))))</f>
        <v/>
      </c>
      <c r="T106" s="38" t="str">
        <f aca="true">IF($A106="","",IF($Q106="",0,IF($R106="",IF(TODAY()&gt;$Q106,TODAY()-$Q106,0),MAX(0,$R106-$Q106))))</f>
        <v/>
      </c>
      <c r="U106" s="34"/>
      <c r="V106" s="34"/>
      <c r="W106" s="39" t="str">
        <f aca="false">IF($A106="","",IFERROR($V106/$U106,""))</f>
        <v/>
      </c>
      <c r="X106" s="34"/>
      <c r="Y106" s="37" t="str">
        <f aca="false">IF($A106="","",IF($U106="","",IF($W106&lt;='Tổng quan'!$C$8,"Đạt","Không đạt")))</f>
        <v/>
      </c>
      <c r="Z106" s="38" t="str">
        <f aca="false">IF($H106="","",IFERROR(INDEX('Nhà cung cấp'!$G$4:$G$203,MATCH($H106,'Nhà cung cấp'!$A$4:$A$203,0)),""))</f>
        <v/>
      </c>
      <c r="AA106" s="41" t="str">
        <f aca="false">IF($A106="","",IFERROR($R106+$Z106,""))</f>
        <v/>
      </c>
      <c r="AB106" s="32"/>
    </row>
    <row r="107" customFormat="false" ht="15" hidden="false" customHeight="false" outlineLevel="0" collapsed="false">
      <c r="A107" s="32"/>
      <c r="B107" s="33"/>
      <c r="C107" s="32"/>
      <c r="D107" s="37" t="str">
        <f aca="false">IF($C107="","",IFERROR(INDEX(PR!$D$4:$D$203,MATCH($C107,PR!$A$4:$A$203,0)),""))</f>
        <v/>
      </c>
      <c r="E107" s="37" t="str">
        <f aca="false">IF($C107="","",IFERROR(INDEX(PR!$E$4:$E$203,MATCH($C107,PR!$A$4:$A$203,0)),""))</f>
        <v/>
      </c>
      <c r="F107" s="37" t="str">
        <f aca="false">IF($C107="","",IFERROR(INDEX(PR!$G$4:$G$203,MATCH($C107,PR!$A$4:$A$203,0)),""))</f>
        <v/>
      </c>
      <c r="G107" s="37" t="str">
        <f aca="false">IF($C107="","",IFERROR(INDEX(PR!$F$4:$F$203,MATCH($C107,PR!$A$4:$A$203,0)),""))</f>
        <v/>
      </c>
      <c r="H107" s="32"/>
      <c r="I107" s="37" t="str">
        <f aca="false">IF($H107="","",IFERROR(INDEX('Nhà cung cấp'!$B$4:$B$203,MATCH($H107,'Nhà cung cấp'!$A$4:$A$203,0)),""))</f>
        <v/>
      </c>
      <c r="J107" s="34"/>
      <c r="K107" s="34"/>
      <c r="L107" s="38" t="str">
        <f aca="false">IF($A107="","",IFERROR($J107*$K107,""))</f>
        <v/>
      </c>
      <c r="M107" s="38" t="str">
        <f aca="false">IF($C107="","",IFERROR(INDEX(PR!$L$4:$L$203,MATCH($C107,PR!$A$4:$A$203,0)),""))</f>
        <v/>
      </c>
      <c r="N107" s="38" t="str">
        <f aca="false">IF($A107="","",IFERROR($M107-$L107,""))</f>
        <v/>
      </c>
      <c r="O107" s="32"/>
      <c r="P107" s="33"/>
      <c r="Q107" s="33"/>
      <c r="R107" s="33"/>
      <c r="S107" s="37" t="str">
        <f aca="true">IF($A107="","",IF($Q107="","",IF($R107="",IF(TODAY()&gt;$Q107,"Trễ hạn","Chưa đến hạn"),IF($R107&lt;=$Q107,"Đúng hạn","Giao trễ"))))</f>
        <v/>
      </c>
      <c r="T107" s="38" t="str">
        <f aca="true">IF($A107="","",IF($Q107="",0,IF($R107="",IF(TODAY()&gt;$Q107,TODAY()-$Q107,0),MAX(0,$R107-$Q107))))</f>
        <v/>
      </c>
      <c r="U107" s="34"/>
      <c r="V107" s="34"/>
      <c r="W107" s="39" t="str">
        <f aca="false">IF($A107="","",IFERROR($V107/$U107,""))</f>
        <v/>
      </c>
      <c r="X107" s="34"/>
      <c r="Y107" s="37" t="str">
        <f aca="false">IF($A107="","",IF($U107="","",IF($W107&lt;='Tổng quan'!$C$8,"Đạt","Không đạt")))</f>
        <v/>
      </c>
      <c r="Z107" s="38" t="str">
        <f aca="false">IF($H107="","",IFERROR(INDEX('Nhà cung cấp'!$G$4:$G$203,MATCH($H107,'Nhà cung cấp'!$A$4:$A$203,0)),""))</f>
        <v/>
      </c>
      <c r="AA107" s="41" t="str">
        <f aca="false">IF($A107="","",IFERROR($R107+$Z107,""))</f>
        <v/>
      </c>
      <c r="AB107" s="32"/>
    </row>
    <row r="108" customFormat="false" ht="15" hidden="false" customHeight="false" outlineLevel="0" collapsed="false">
      <c r="A108" s="32"/>
      <c r="B108" s="33"/>
      <c r="C108" s="32"/>
      <c r="D108" s="37" t="str">
        <f aca="false">IF($C108="","",IFERROR(INDEX(PR!$D$4:$D$203,MATCH($C108,PR!$A$4:$A$203,0)),""))</f>
        <v/>
      </c>
      <c r="E108" s="37" t="str">
        <f aca="false">IF($C108="","",IFERROR(INDEX(PR!$E$4:$E$203,MATCH($C108,PR!$A$4:$A$203,0)),""))</f>
        <v/>
      </c>
      <c r="F108" s="37" t="str">
        <f aca="false">IF($C108="","",IFERROR(INDEX(PR!$G$4:$G$203,MATCH($C108,PR!$A$4:$A$203,0)),""))</f>
        <v/>
      </c>
      <c r="G108" s="37" t="str">
        <f aca="false">IF($C108="","",IFERROR(INDEX(PR!$F$4:$F$203,MATCH($C108,PR!$A$4:$A$203,0)),""))</f>
        <v/>
      </c>
      <c r="H108" s="32"/>
      <c r="I108" s="37" t="str">
        <f aca="false">IF($H108="","",IFERROR(INDEX('Nhà cung cấp'!$B$4:$B$203,MATCH($H108,'Nhà cung cấp'!$A$4:$A$203,0)),""))</f>
        <v/>
      </c>
      <c r="J108" s="34"/>
      <c r="K108" s="34"/>
      <c r="L108" s="38" t="str">
        <f aca="false">IF($A108="","",IFERROR($J108*$K108,""))</f>
        <v/>
      </c>
      <c r="M108" s="38" t="str">
        <f aca="false">IF($C108="","",IFERROR(INDEX(PR!$L$4:$L$203,MATCH($C108,PR!$A$4:$A$203,0)),""))</f>
        <v/>
      </c>
      <c r="N108" s="38" t="str">
        <f aca="false">IF($A108="","",IFERROR($M108-$L108,""))</f>
        <v/>
      </c>
      <c r="O108" s="32"/>
      <c r="P108" s="33"/>
      <c r="Q108" s="33"/>
      <c r="R108" s="33"/>
      <c r="S108" s="37" t="str">
        <f aca="true">IF($A108="","",IF($Q108="","",IF($R108="",IF(TODAY()&gt;$Q108,"Trễ hạn","Chưa đến hạn"),IF($R108&lt;=$Q108,"Đúng hạn","Giao trễ"))))</f>
        <v/>
      </c>
      <c r="T108" s="38" t="str">
        <f aca="true">IF($A108="","",IF($Q108="",0,IF($R108="",IF(TODAY()&gt;$Q108,TODAY()-$Q108,0),MAX(0,$R108-$Q108))))</f>
        <v/>
      </c>
      <c r="U108" s="34"/>
      <c r="V108" s="34"/>
      <c r="W108" s="39" t="str">
        <f aca="false">IF($A108="","",IFERROR($V108/$U108,""))</f>
        <v/>
      </c>
      <c r="X108" s="34"/>
      <c r="Y108" s="37" t="str">
        <f aca="false">IF($A108="","",IF($U108="","",IF($W108&lt;='Tổng quan'!$C$8,"Đạt","Không đạt")))</f>
        <v/>
      </c>
      <c r="Z108" s="38" t="str">
        <f aca="false">IF($H108="","",IFERROR(INDEX('Nhà cung cấp'!$G$4:$G$203,MATCH($H108,'Nhà cung cấp'!$A$4:$A$203,0)),""))</f>
        <v/>
      </c>
      <c r="AA108" s="41" t="str">
        <f aca="false">IF($A108="","",IFERROR($R108+$Z108,""))</f>
        <v/>
      </c>
      <c r="AB108" s="32"/>
    </row>
    <row r="109" customFormat="false" ht="15" hidden="false" customHeight="false" outlineLevel="0" collapsed="false">
      <c r="A109" s="32"/>
      <c r="B109" s="33"/>
      <c r="C109" s="32"/>
      <c r="D109" s="37" t="str">
        <f aca="false">IF($C109="","",IFERROR(INDEX(PR!$D$4:$D$203,MATCH($C109,PR!$A$4:$A$203,0)),""))</f>
        <v/>
      </c>
      <c r="E109" s="37" t="str">
        <f aca="false">IF($C109="","",IFERROR(INDEX(PR!$E$4:$E$203,MATCH($C109,PR!$A$4:$A$203,0)),""))</f>
        <v/>
      </c>
      <c r="F109" s="37" t="str">
        <f aca="false">IF($C109="","",IFERROR(INDEX(PR!$G$4:$G$203,MATCH($C109,PR!$A$4:$A$203,0)),""))</f>
        <v/>
      </c>
      <c r="G109" s="37" t="str">
        <f aca="false">IF($C109="","",IFERROR(INDEX(PR!$F$4:$F$203,MATCH($C109,PR!$A$4:$A$203,0)),""))</f>
        <v/>
      </c>
      <c r="H109" s="32"/>
      <c r="I109" s="37" t="str">
        <f aca="false">IF($H109="","",IFERROR(INDEX('Nhà cung cấp'!$B$4:$B$203,MATCH($H109,'Nhà cung cấp'!$A$4:$A$203,0)),""))</f>
        <v/>
      </c>
      <c r="J109" s="34"/>
      <c r="K109" s="34"/>
      <c r="L109" s="38" t="str">
        <f aca="false">IF($A109="","",IFERROR($J109*$K109,""))</f>
        <v/>
      </c>
      <c r="M109" s="38" t="str">
        <f aca="false">IF($C109="","",IFERROR(INDEX(PR!$L$4:$L$203,MATCH($C109,PR!$A$4:$A$203,0)),""))</f>
        <v/>
      </c>
      <c r="N109" s="38" t="str">
        <f aca="false">IF($A109="","",IFERROR($M109-$L109,""))</f>
        <v/>
      </c>
      <c r="O109" s="32"/>
      <c r="P109" s="33"/>
      <c r="Q109" s="33"/>
      <c r="R109" s="33"/>
      <c r="S109" s="37" t="str">
        <f aca="true">IF($A109="","",IF($Q109="","",IF($R109="",IF(TODAY()&gt;$Q109,"Trễ hạn","Chưa đến hạn"),IF($R109&lt;=$Q109,"Đúng hạn","Giao trễ"))))</f>
        <v/>
      </c>
      <c r="T109" s="38" t="str">
        <f aca="true">IF($A109="","",IF($Q109="",0,IF($R109="",IF(TODAY()&gt;$Q109,TODAY()-$Q109,0),MAX(0,$R109-$Q109))))</f>
        <v/>
      </c>
      <c r="U109" s="34"/>
      <c r="V109" s="34"/>
      <c r="W109" s="39" t="str">
        <f aca="false">IF($A109="","",IFERROR($V109/$U109,""))</f>
        <v/>
      </c>
      <c r="X109" s="34"/>
      <c r="Y109" s="37" t="str">
        <f aca="false">IF($A109="","",IF($U109="","",IF($W109&lt;='Tổng quan'!$C$8,"Đạt","Không đạt")))</f>
        <v/>
      </c>
      <c r="Z109" s="38" t="str">
        <f aca="false">IF($H109="","",IFERROR(INDEX('Nhà cung cấp'!$G$4:$G$203,MATCH($H109,'Nhà cung cấp'!$A$4:$A$203,0)),""))</f>
        <v/>
      </c>
      <c r="AA109" s="41" t="str">
        <f aca="false">IF($A109="","",IFERROR($R109+$Z109,""))</f>
        <v/>
      </c>
      <c r="AB109" s="32"/>
    </row>
    <row r="110" customFormat="false" ht="15" hidden="false" customHeight="false" outlineLevel="0" collapsed="false">
      <c r="A110" s="32"/>
      <c r="B110" s="33"/>
      <c r="C110" s="32"/>
      <c r="D110" s="37" t="str">
        <f aca="false">IF($C110="","",IFERROR(INDEX(PR!$D$4:$D$203,MATCH($C110,PR!$A$4:$A$203,0)),""))</f>
        <v/>
      </c>
      <c r="E110" s="37" t="str">
        <f aca="false">IF($C110="","",IFERROR(INDEX(PR!$E$4:$E$203,MATCH($C110,PR!$A$4:$A$203,0)),""))</f>
        <v/>
      </c>
      <c r="F110" s="37" t="str">
        <f aca="false">IF($C110="","",IFERROR(INDEX(PR!$G$4:$G$203,MATCH($C110,PR!$A$4:$A$203,0)),""))</f>
        <v/>
      </c>
      <c r="G110" s="37" t="str">
        <f aca="false">IF($C110="","",IFERROR(INDEX(PR!$F$4:$F$203,MATCH($C110,PR!$A$4:$A$203,0)),""))</f>
        <v/>
      </c>
      <c r="H110" s="32"/>
      <c r="I110" s="37" t="str">
        <f aca="false">IF($H110="","",IFERROR(INDEX('Nhà cung cấp'!$B$4:$B$203,MATCH($H110,'Nhà cung cấp'!$A$4:$A$203,0)),""))</f>
        <v/>
      </c>
      <c r="J110" s="34"/>
      <c r="K110" s="34"/>
      <c r="L110" s="38" t="str">
        <f aca="false">IF($A110="","",IFERROR($J110*$K110,""))</f>
        <v/>
      </c>
      <c r="M110" s="38" t="str">
        <f aca="false">IF($C110="","",IFERROR(INDEX(PR!$L$4:$L$203,MATCH($C110,PR!$A$4:$A$203,0)),""))</f>
        <v/>
      </c>
      <c r="N110" s="38" t="str">
        <f aca="false">IF($A110="","",IFERROR($M110-$L110,""))</f>
        <v/>
      </c>
      <c r="O110" s="32"/>
      <c r="P110" s="33"/>
      <c r="Q110" s="33"/>
      <c r="R110" s="33"/>
      <c r="S110" s="37" t="str">
        <f aca="true">IF($A110="","",IF($Q110="","",IF($R110="",IF(TODAY()&gt;$Q110,"Trễ hạn","Chưa đến hạn"),IF($R110&lt;=$Q110,"Đúng hạn","Giao trễ"))))</f>
        <v/>
      </c>
      <c r="T110" s="38" t="str">
        <f aca="true">IF($A110="","",IF($Q110="",0,IF($R110="",IF(TODAY()&gt;$Q110,TODAY()-$Q110,0),MAX(0,$R110-$Q110))))</f>
        <v/>
      </c>
      <c r="U110" s="34"/>
      <c r="V110" s="34"/>
      <c r="W110" s="39" t="str">
        <f aca="false">IF($A110="","",IFERROR($V110/$U110,""))</f>
        <v/>
      </c>
      <c r="X110" s="34"/>
      <c r="Y110" s="37" t="str">
        <f aca="false">IF($A110="","",IF($U110="","",IF($W110&lt;='Tổng quan'!$C$8,"Đạt","Không đạt")))</f>
        <v/>
      </c>
      <c r="Z110" s="38" t="str">
        <f aca="false">IF($H110="","",IFERROR(INDEX('Nhà cung cấp'!$G$4:$G$203,MATCH($H110,'Nhà cung cấp'!$A$4:$A$203,0)),""))</f>
        <v/>
      </c>
      <c r="AA110" s="41" t="str">
        <f aca="false">IF($A110="","",IFERROR($R110+$Z110,""))</f>
        <v/>
      </c>
      <c r="AB110" s="32"/>
    </row>
    <row r="111" customFormat="false" ht="15" hidden="false" customHeight="false" outlineLevel="0" collapsed="false">
      <c r="A111" s="32"/>
      <c r="B111" s="33"/>
      <c r="C111" s="32"/>
      <c r="D111" s="37" t="str">
        <f aca="false">IF($C111="","",IFERROR(INDEX(PR!$D$4:$D$203,MATCH($C111,PR!$A$4:$A$203,0)),""))</f>
        <v/>
      </c>
      <c r="E111" s="37" t="str">
        <f aca="false">IF($C111="","",IFERROR(INDEX(PR!$E$4:$E$203,MATCH($C111,PR!$A$4:$A$203,0)),""))</f>
        <v/>
      </c>
      <c r="F111" s="37" t="str">
        <f aca="false">IF($C111="","",IFERROR(INDEX(PR!$G$4:$G$203,MATCH($C111,PR!$A$4:$A$203,0)),""))</f>
        <v/>
      </c>
      <c r="G111" s="37" t="str">
        <f aca="false">IF($C111="","",IFERROR(INDEX(PR!$F$4:$F$203,MATCH($C111,PR!$A$4:$A$203,0)),""))</f>
        <v/>
      </c>
      <c r="H111" s="32"/>
      <c r="I111" s="37" t="str">
        <f aca="false">IF($H111="","",IFERROR(INDEX('Nhà cung cấp'!$B$4:$B$203,MATCH($H111,'Nhà cung cấp'!$A$4:$A$203,0)),""))</f>
        <v/>
      </c>
      <c r="J111" s="34"/>
      <c r="K111" s="34"/>
      <c r="L111" s="38" t="str">
        <f aca="false">IF($A111="","",IFERROR($J111*$K111,""))</f>
        <v/>
      </c>
      <c r="M111" s="38" t="str">
        <f aca="false">IF($C111="","",IFERROR(INDEX(PR!$L$4:$L$203,MATCH($C111,PR!$A$4:$A$203,0)),""))</f>
        <v/>
      </c>
      <c r="N111" s="38" t="str">
        <f aca="false">IF($A111="","",IFERROR($M111-$L111,""))</f>
        <v/>
      </c>
      <c r="O111" s="32"/>
      <c r="P111" s="33"/>
      <c r="Q111" s="33"/>
      <c r="R111" s="33"/>
      <c r="S111" s="37" t="str">
        <f aca="true">IF($A111="","",IF($Q111="","",IF($R111="",IF(TODAY()&gt;$Q111,"Trễ hạn","Chưa đến hạn"),IF($R111&lt;=$Q111,"Đúng hạn","Giao trễ"))))</f>
        <v/>
      </c>
      <c r="T111" s="38" t="str">
        <f aca="true">IF($A111="","",IF($Q111="",0,IF($R111="",IF(TODAY()&gt;$Q111,TODAY()-$Q111,0),MAX(0,$R111-$Q111))))</f>
        <v/>
      </c>
      <c r="U111" s="34"/>
      <c r="V111" s="34"/>
      <c r="W111" s="39" t="str">
        <f aca="false">IF($A111="","",IFERROR($V111/$U111,""))</f>
        <v/>
      </c>
      <c r="X111" s="34"/>
      <c r="Y111" s="37" t="str">
        <f aca="false">IF($A111="","",IF($U111="","",IF($W111&lt;='Tổng quan'!$C$8,"Đạt","Không đạt")))</f>
        <v/>
      </c>
      <c r="Z111" s="38" t="str">
        <f aca="false">IF($H111="","",IFERROR(INDEX('Nhà cung cấp'!$G$4:$G$203,MATCH($H111,'Nhà cung cấp'!$A$4:$A$203,0)),""))</f>
        <v/>
      </c>
      <c r="AA111" s="41" t="str">
        <f aca="false">IF($A111="","",IFERROR($R111+$Z111,""))</f>
        <v/>
      </c>
      <c r="AB111" s="32"/>
    </row>
    <row r="112" customFormat="false" ht="15" hidden="false" customHeight="false" outlineLevel="0" collapsed="false">
      <c r="A112" s="32"/>
      <c r="B112" s="33"/>
      <c r="C112" s="32"/>
      <c r="D112" s="37" t="str">
        <f aca="false">IF($C112="","",IFERROR(INDEX(PR!$D$4:$D$203,MATCH($C112,PR!$A$4:$A$203,0)),""))</f>
        <v/>
      </c>
      <c r="E112" s="37" t="str">
        <f aca="false">IF($C112="","",IFERROR(INDEX(PR!$E$4:$E$203,MATCH($C112,PR!$A$4:$A$203,0)),""))</f>
        <v/>
      </c>
      <c r="F112" s="37" t="str">
        <f aca="false">IF($C112="","",IFERROR(INDEX(PR!$G$4:$G$203,MATCH($C112,PR!$A$4:$A$203,0)),""))</f>
        <v/>
      </c>
      <c r="G112" s="37" t="str">
        <f aca="false">IF($C112="","",IFERROR(INDEX(PR!$F$4:$F$203,MATCH($C112,PR!$A$4:$A$203,0)),""))</f>
        <v/>
      </c>
      <c r="H112" s="32"/>
      <c r="I112" s="37" t="str">
        <f aca="false">IF($H112="","",IFERROR(INDEX('Nhà cung cấp'!$B$4:$B$203,MATCH($H112,'Nhà cung cấp'!$A$4:$A$203,0)),""))</f>
        <v/>
      </c>
      <c r="J112" s="34"/>
      <c r="K112" s="34"/>
      <c r="L112" s="38" t="str">
        <f aca="false">IF($A112="","",IFERROR($J112*$K112,""))</f>
        <v/>
      </c>
      <c r="M112" s="38" t="str">
        <f aca="false">IF($C112="","",IFERROR(INDEX(PR!$L$4:$L$203,MATCH($C112,PR!$A$4:$A$203,0)),""))</f>
        <v/>
      </c>
      <c r="N112" s="38" t="str">
        <f aca="false">IF($A112="","",IFERROR($M112-$L112,""))</f>
        <v/>
      </c>
      <c r="O112" s="32"/>
      <c r="P112" s="33"/>
      <c r="Q112" s="33"/>
      <c r="R112" s="33"/>
      <c r="S112" s="37" t="str">
        <f aca="true">IF($A112="","",IF($Q112="","",IF($R112="",IF(TODAY()&gt;$Q112,"Trễ hạn","Chưa đến hạn"),IF($R112&lt;=$Q112,"Đúng hạn","Giao trễ"))))</f>
        <v/>
      </c>
      <c r="T112" s="38" t="str">
        <f aca="true">IF($A112="","",IF($Q112="",0,IF($R112="",IF(TODAY()&gt;$Q112,TODAY()-$Q112,0),MAX(0,$R112-$Q112))))</f>
        <v/>
      </c>
      <c r="U112" s="34"/>
      <c r="V112" s="34"/>
      <c r="W112" s="39" t="str">
        <f aca="false">IF($A112="","",IFERROR($V112/$U112,""))</f>
        <v/>
      </c>
      <c r="X112" s="34"/>
      <c r="Y112" s="37" t="str">
        <f aca="false">IF($A112="","",IF($U112="","",IF($W112&lt;='Tổng quan'!$C$8,"Đạt","Không đạt")))</f>
        <v/>
      </c>
      <c r="Z112" s="38" t="str">
        <f aca="false">IF($H112="","",IFERROR(INDEX('Nhà cung cấp'!$G$4:$G$203,MATCH($H112,'Nhà cung cấp'!$A$4:$A$203,0)),""))</f>
        <v/>
      </c>
      <c r="AA112" s="41" t="str">
        <f aca="false">IF($A112="","",IFERROR($R112+$Z112,""))</f>
        <v/>
      </c>
      <c r="AB112" s="32"/>
    </row>
    <row r="113" customFormat="false" ht="15" hidden="false" customHeight="false" outlineLevel="0" collapsed="false">
      <c r="A113" s="32"/>
      <c r="B113" s="33"/>
      <c r="C113" s="32"/>
      <c r="D113" s="37" t="str">
        <f aca="false">IF($C113="","",IFERROR(INDEX(PR!$D$4:$D$203,MATCH($C113,PR!$A$4:$A$203,0)),""))</f>
        <v/>
      </c>
      <c r="E113" s="37" t="str">
        <f aca="false">IF($C113="","",IFERROR(INDEX(PR!$E$4:$E$203,MATCH($C113,PR!$A$4:$A$203,0)),""))</f>
        <v/>
      </c>
      <c r="F113" s="37" t="str">
        <f aca="false">IF($C113="","",IFERROR(INDEX(PR!$G$4:$G$203,MATCH($C113,PR!$A$4:$A$203,0)),""))</f>
        <v/>
      </c>
      <c r="G113" s="37" t="str">
        <f aca="false">IF($C113="","",IFERROR(INDEX(PR!$F$4:$F$203,MATCH($C113,PR!$A$4:$A$203,0)),""))</f>
        <v/>
      </c>
      <c r="H113" s="32"/>
      <c r="I113" s="37" t="str">
        <f aca="false">IF($H113="","",IFERROR(INDEX('Nhà cung cấp'!$B$4:$B$203,MATCH($H113,'Nhà cung cấp'!$A$4:$A$203,0)),""))</f>
        <v/>
      </c>
      <c r="J113" s="34"/>
      <c r="K113" s="34"/>
      <c r="L113" s="38" t="str">
        <f aca="false">IF($A113="","",IFERROR($J113*$K113,""))</f>
        <v/>
      </c>
      <c r="M113" s="38" t="str">
        <f aca="false">IF($C113="","",IFERROR(INDEX(PR!$L$4:$L$203,MATCH($C113,PR!$A$4:$A$203,0)),""))</f>
        <v/>
      </c>
      <c r="N113" s="38" t="str">
        <f aca="false">IF($A113="","",IFERROR($M113-$L113,""))</f>
        <v/>
      </c>
      <c r="O113" s="32"/>
      <c r="P113" s="33"/>
      <c r="Q113" s="33"/>
      <c r="R113" s="33"/>
      <c r="S113" s="37" t="str">
        <f aca="true">IF($A113="","",IF($Q113="","",IF($R113="",IF(TODAY()&gt;$Q113,"Trễ hạn","Chưa đến hạn"),IF($R113&lt;=$Q113,"Đúng hạn","Giao trễ"))))</f>
        <v/>
      </c>
      <c r="T113" s="38" t="str">
        <f aca="true">IF($A113="","",IF($Q113="",0,IF($R113="",IF(TODAY()&gt;$Q113,TODAY()-$Q113,0),MAX(0,$R113-$Q113))))</f>
        <v/>
      </c>
      <c r="U113" s="34"/>
      <c r="V113" s="34"/>
      <c r="W113" s="39" t="str">
        <f aca="false">IF($A113="","",IFERROR($V113/$U113,""))</f>
        <v/>
      </c>
      <c r="X113" s="34"/>
      <c r="Y113" s="37" t="str">
        <f aca="false">IF($A113="","",IF($U113="","",IF($W113&lt;='Tổng quan'!$C$8,"Đạt","Không đạt")))</f>
        <v/>
      </c>
      <c r="Z113" s="38" t="str">
        <f aca="false">IF($H113="","",IFERROR(INDEX('Nhà cung cấp'!$G$4:$G$203,MATCH($H113,'Nhà cung cấp'!$A$4:$A$203,0)),""))</f>
        <v/>
      </c>
      <c r="AA113" s="41" t="str">
        <f aca="false">IF($A113="","",IFERROR($R113+$Z113,""))</f>
        <v/>
      </c>
      <c r="AB113" s="32"/>
    </row>
    <row r="114" customFormat="false" ht="15" hidden="false" customHeight="false" outlineLevel="0" collapsed="false">
      <c r="A114" s="32"/>
      <c r="B114" s="33"/>
      <c r="C114" s="32"/>
      <c r="D114" s="37" t="str">
        <f aca="false">IF($C114="","",IFERROR(INDEX(PR!$D$4:$D$203,MATCH($C114,PR!$A$4:$A$203,0)),""))</f>
        <v/>
      </c>
      <c r="E114" s="37" t="str">
        <f aca="false">IF($C114="","",IFERROR(INDEX(PR!$E$4:$E$203,MATCH($C114,PR!$A$4:$A$203,0)),""))</f>
        <v/>
      </c>
      <c r="F114" s="37" t="str">
        <f aca="false">IF($C114="","",IFERROR(INDEX(PR!$G$4:$G$203,MATCH($C114,PR!$A$4:$A$203,0)),""))</f>
        <v/>
      </c>
      <c r="G114" s="37" t="str">
        <f aca="false">IF($C114="","",IFERROR(INDEX(PR!$F$4:$F$203,MATCH($C114,PR!$A$4:$A$203,0)),""))</f>
        <v/>
      </c>
      <c r="H114" s="32"/>
      <c r="I114" s="37" t="str">
        <f aca="false">IF($H114="","",IFERROR(INDEX('Nhà cung cấp'!$B$4:$B$203,MATCH($H114,'Nhà cung cấp'!$A$4:$A$203,0)),""))</f>
        <v/>
      </c>
      <c r="J114" s="34"/>
      <c r="K114" s="34"/>
      <c r="L114" s="38" t="str">
        <f aca="false">IF($A114="","",IFERROR($J114*$K114,""))</f>
        <v/>
      </c>
      <c r="M114" s="38" t="str">
        <f aca="false">IF($C114="","",IFERROR(INDEX(PR!$L$4:$L$203,MATCH($C114,PR!$A$4:$A$203,0)),""))</f>
        <v/>
      </c>
      <c r="N114" s="38" t="str">
        <f aca="false">IF($A114="","",IFERROR($M114-$L114,""))</f>
        <v/>
      </c>
      <c r="O114" s="32"/>
      <c r="P114" s="33"/>
      <c r="Q114" s="33"/>
      <c r="R114" s="33"/>
      <c r="S114" s="37" t="str">
        <f aca="true">IF($A114="","",IF($Q114="","",IF($R114="",IF(TODAY()&gt;$Q114,"Trễ hạn","Chưa đến hạn"),IF($R114&lt;=$Q114,"Đúng hạn","Giao trễ"))))</f>
        <v/>
      </c>
      <c r="T114" s="38" t="str">
        <f aca="true">IF($A114="","",IF($Q114="",0,IF($R114="",IF(TODAY()&gt;$Q114,TODAY()-$Q114,0),MAX(0,$R114-$Q114))))</f>
        <v/>
      </c>
      <c r="U114" s="34"/>
      <c r="V114" s="34"/>
      <c r="W114" s="39" t="str">
        <f aca="false">IF($A114="","",IFERROR($V114/$U114,""))</f>
        <v/>
      </c>
      <c r="X114" s="34"/>
      <c r="Y114" s="37" t="str">
        <f aca="false">IF($A114="","",IF($U114="","",IF($W114&lt;='Tổng quan'!$C$8,"Đạt","Không đạt")))</f>
        <v/>
      </c>
      <c r="Z114" s="38" t="str">
        <f aca="false">IF($H114="","",IFERROR(INDEX('Nhà cung cấp'!$G$4:$G$203,MATCH($H114,'Nhà cung cấp'!$A$4:$A$203,0)),""))</f>
        <v/>
      </c>
      <c r="AA114" s="41" t="str">
        <f aca="false">IF($A114="","",IFERROR($R114+$Z114,""))</f>
        <v/>
      </c>
      <c r="AB114" s="32"/>
    </row>
    <row r="115" customFormat="false" ht="15" hidden="false" customHeight="false" outlineLevel="0" collapsed="false">
      <c r="A115" s="32"/>
      <c r="B115" s="33"/>
      <c r="C115" s="32"/>
      <c r="D115" s="37" t="str">
        <f aca="false">IF($C115="","",IFERROR(INDEX(PR!$D$4:$D$203,MATCH($C115,PR!$A$4:$A$203,0)),""))</f>
        <v/>
      </c>
      <c r="E115" s="37" t="str">
        <f aca="false">IF($C115="","",IFERROR(INDEX(PR!$E$4:$E$203,MATCH($C115,PR!$A$4:$A$203,0)),""))</f>
        <v/>
      </c>
      <c r="F115" s="37" t="str">
        <f aca="false">IF($C115="","",IFERROR(INDEX(PR!$G$4:$G$203,MATCH($C115,PR!$A$4:$A$203,0)),""))</f>
        <v/>
      </c>
      <c r="G115" s="37" t="str">
        <f aca="false">IF($C115="","",IFERROR(INDEX(PR!$F$4:$F$203,MATCH($C115,PR!$A$4:$A$203,0)),""))</f>
        <v/>
      </c>
      <c r="H115" s="32"/>
      <c r="I115" s="37" t="str">
        <f aca="false">IF($H115="","",IFERROR(INDEX('Nhà cung cấp'!$B$4:$B$203,MATCH($H115,'Nhà cung cấp'!$A$4:$A$203,0)),""))</f>
        <v/>
      </c>
      <c r="J115" s="34"/>
      <c r="K115" s="34"/>
      <c r="L115" s="38" t="str">
        <f aca="false">IF($A115="","",IFERROR($J115*$K115,""))</f>
        <v/>
      </c>
      <c r="M115" s="38" t="str">
        <f aca="false">IF($C115="","",IFERROR(INDEX(PR!$L$4:$L$203,MATCH($C115,PR!$A$4:$A$203,0)),""))</f>
        <v/>
      </c>
      <c r="N115" s="38" t="str">
        <f aca="false">IF($A115="","",IFERROR($M115-$L115,""))</f>
        <v/>
      </c>
      <c r="O115" s="32"/>
      <c r="P115" s="33"/>
      <c r="Q115" s="33"/>
      <c r="R115" s="33"/>
      <c r="S115" s="37" t="str">
        <f aca="true">IF($A115="","",IF($Q115="","",IF($R115="",IF(TODAY()&gt;$Q115,"Trễ hạn","Chưa đến hạn"),IF($R115&lt;=$Q115,"Đúng hạn","Giao trễ"))))</f>
        <v/>
      </c>
      <c r="T115" s="38" t="str">
        <f aca="true">IF($A115="","",IF($Q115="",0,IF($R115="",IF(TODAY()&gt;$Q115,TODAY()-$Q115,0),MAX(0,$R115-$Q115))))</f>
        <v/>
      </c>
      <c r="U115" s="34"/>
      <c r="V115" s="34"/>
      <c r="W115" s="39" t="str">
        <f aca="false">IF($A115="","",IFERROR($V115/$U115,""))</f>
        <v/>
      </c>
      <c r="X115" s="34"/>
      <c r="Y115" s="37" t="str">
        <f aca="false">IF($A115="","",IF($U115="","",IF($W115&lt;='Tổng quan'!$C$8,"Đạt","Không đạt")))</f>
        <v/>
      </c>
      <c r="Z115" s="38" t="str">
        <f aca="false">IF($H115="","",IFERROR(INDEX('Nhà cung cấp'!$G$4:$G$203,MATCH($H115,'Nhà cung cấp'!$A$4:$A$203,0)),""))</f>
        <v/>
      </c>
      <c r="AA115" s="41" t="str">
        <f aca="false">IF($A115="","",IFERROR($R115+$Z115,""))</f>
        <v/>
      </c>
      <c r="AB115" s="32"/>
    </row>
    <row r="116" customFormat="false" ht="15" hidden="false" customHeight="false" outlineLevel="0" collapsed="false">
      <c r="A116" s="32"/>
      <c r="B116" s="33"/>
      <c r="C116" s="32"/>
      <c r="D116" s="37" t="str">
        <f aca="false">IF($C116="","",IFERROR(INDEX(PR!$D$4:$D$203,MATCH($C116,PR!$A$4:$A$203,0)),""))</f>
        <v/>
      </c>
      <c r="E116" s="37" t="str">
        <f aca="false">IF($C116="","",IFERROR(INDEX(PR!$E$4:$E$203,MATCH($C116,PR!$A$4:$A$203,0)),""))</f>
        <v/>
      </c>
      <c r="F116" s="37" t="str">
        <f aca="false">IF($C116="","",IFERROR(INDEX(PR!$G$4:$G$203,MATCH($C116,PR!$A$4:$A$203,0)),""))</f>
        <v/>
      </c>
      <c r="G116" s="37" t="str">
        <f aca="false">IF($C116="","",IFERROR(INDEX(PR!$F$4:$F$203,MATCH($C116,PR!$A$4:$A$203,0)),""))</f>
        <v/>
      </c>
      <c r="H116" s="32"/>
      <c r="I116" s="37" t="str">
        <f aca="false">IF($H116="","",IFERROR(INDEX('Nhà cung cấp'!$B$4:$B$203,MATCH($H116,'Nhà cung cấp'!$A$4:$A$203,0)),""))</f>
        <v/>
      </c>
      <c r="J116" s="34"/>
      <c r="K116" s="34"/>
      <c r="L116" s="38" t="str">
        <f aca="false">IF($A116="","",IFERROR($J116*$K116,""))</f>
        <v/>
      </c>
      <c r="M116" s="38" t="str">
        <f aca="false">IF($C116="","",IFERROR(INDEX(PR!$L$4:$L$203,MATCH($C116,PR!$A$4:$A$203,0)),""))</f>
        <v/>
      </c>
      <c r="N116" s="38" t="str">
        <f aca="false">IF($A116="","",IFERROR($M116-$L116,""))</f>
        <v/>
      </c>
      <c r="O116" s="32"/>
      <c r="P116" s="33"/>
      <c r="Q116" s="33"/>
      <c r="R116" s="33"/>
      <c r="S116" s="37" t="str">
        <f aca="true">IF($A116="","",IF($Q116="","",IF($R116="",IF(TODAY()&gt;$Q116,"Trễ hạn","Chưa đến hạn"),IF($R116&lt;=$Q116,"Đúng hạn","Giao trễ"))))</f>
        <v/>
      </c>
      <c r="T116" s="38" t="str">
        <f aca="true">IF($A116="","",IF($Q116="",0,IF($R116="",IF(TODAY()&gt;$Q116,TODAY()-$Q116,0),MAX(0,$R116-$Q116))))</f>
        <v/>
      </c>
      <c r="U116" s="34"/>
      <c r="V116" s="34"/>
      <c r="W116" s="39" t="str">
        <f aca="false">IF($A116="","",IFERROR($V116/$U116,""))</f>
        <v/>
      </c>
      <c r="X116" s="34"/>
      <c r="Y116" s="37" t="str">
        <f aca="false">IF($A116="","",IF($U116="","",IF($W116&lt;='Tổng quan'!$C$8,"Đạt","Không đạt")))</f>
        <v/>
      </c>
      <c r="Z116" s="38" t="str">
        <f aca="false">IF($H116="","",IFERROR(INDEX('Nhà cung cấp'!$G$4:$G$203,MATCH($H116,'Nhà cung cấp'!$A$4:$A$203,0)),""))</f>
        <v/>
      </c>
      <c r="AA116" s="41" t="str">
        <f aca="false">IF($A116="","",IFERROR($R116+$Z116,""))</f>
        <v/>
      </c>
      <c r="AB116" s="32"/>
    </row>
    <row r="117" customFormat="false" ht="15" hidden="false" customHeight="false" outlineLevel="0" collapsed="false">
      <c r="A117" s="32"/>
      <c r="B117" s="33"/>
      <c r="C117" s="32"/>
      <c r="D117" s="37" t="str">
        <f aca="false">IF($C117="","",IFERROR(INDEX(PR!$D$4:$D$203,MATCH($C117,PR!$A$4:$A$203,0)),""))</f>
        <v/>
      </c>
      <c r="E117" s="37" t="str">
        <f aca="false">IF($C117="","",IFERROR(INDEX(PR!$E$4:$E$203,MATCH($C117,PR!$A$4:$A$203,0)),""))</f>
        <v/>
      </c>
      <c r="F117" s="37" t="str">
        <f aca="false">IF($C117="","",IFERROR(INDEX(PR!$G$4:$G$203,MATCH($C117,PR!$A$4:$A$203,0)),""))</f>
        <v/>
      </c>
      <c r="G117" s="37" t="str">
        <f aca="false">IF($C117="","",IFERROR(INDEX(PR!$F$4:$F$203,MATCH($C117,PR!$A$4:$A$203,0)),""))</f>
        <v/>
      </c>
      <c r="H117" s="32"/>
      <c r="I117" s="37" t="str">
        <f aca="false">IF($H117="","",IFERROR(INDEX('Nhà cung cấp'!$B$4:$B$203,MATCH($H117,'Nhà cung cấp'!$A$4:$A$203,0)),""))</f>
        <v/>
      </c>
      <c r="J117" s="34"/>
      <c r="K117" s="34"/>
      <c r="L117" s="38" t="str">
        <f aca="false">IF($A117="","",IFERROR($J117*$K117,""))</f>
        <v/>
      </c>
      <c r="M117" s="38" t="str">
        <f aca="false">IF($C117="","",IFERROR(INDEX(PR!$L$4:$L$203,MATCH($C117,PR!$A$4:$A$203,0)),""))</f>
        <v/>
      </c>
      <c r="N117" s="38" t="str">
        <f aca="false">IF($A117="","",IFERROR($M117-$L117,""))</f>
        <v/>
      </c>
      <c r="O117" s="32"/>
      <c r="P117" s="33"/>
      <c r="Q117" s="33"/>
      <c r="R117" s="33"/>
      <c r="S117" s="37" t="str">
        <f aca="true">IF($A117="","",IF($Q117="","",IF($R117="",IF(TODAY()&gt;$Q117,"Trễ hạn","Chưa đến hạn"),IF($R117&lt;=$Q117,"Đúng hạn","Giao trễ"))))</f>
        <v/>
      </c>
      <c r="T117" s="38" t="str">
        <f aca="true">IF($A117="","",IF($Q117="",0,IF($R117="",IF(TODAY()&gt;$Q117,TODAY()-$Q117,0),MAX(0,$R117-$Q117))))</f>
        <v/>
      </c>
      <c r="U117" s="34"/>
      <c r="V117" s="34"/>
      <c r="W117" s="39" t="str">
        <f aca="false">IF($A117="","",IFERROR($V117/$U117,""))</f>
        <v/>
      </c>
      <c r="X117" s="34"/>
      <c r="Y117" s="37" t="str">
        <f aca="false">IF($A117="","",IF($U117="","",IF($W117&lt;='Tổng quan'!$C$8,"Đạt","Không đạt")))</f>
        <v/>
      </c>
      <c r="Z117" s="38" t="str">
        <f aca="false">IF($H117="","",IFERROR(INDEX('Nhà cung cấp'!$G$4:$G$203,MATCH($H117,'Nhà cung cấp'!$A$4:$A$203,0)),""))</f>
        <v/>
      </c>
      <c r="AA117" s="41" t="str">
        <f aca="false">IF($A117="","",IFERROR($R117+$Z117,""))</f>
        <v/>
      </c>
      <c r="AB117" s="32"/>
    </row>
    <row r="118" customFormat="false" ht="15" hidden="false" customHeight="false" outlineLevel="0" collapsed="false">
      <c r="A118" s="32"/>
      <c r="B118" s="33"/>
      <c r="C118" s="32"/>
      <c r="D118" s="37" t="str">
        <f aca="false">IF($C118="","",IFERROR(INDEX(PR!$D$4:$D$203,MATCH($C118,PR!$A$4:$A$203,0)),""))</f>
        <v/>
      </c>
      <c r="E118" s="37" t="str">
        <f aca="false">IF($C118="","",IFERROR(INDEX(PR!$E$4:$E$203,MATCH($C118,PR!$A$4:$A$203,0)),""))</f>
        <v/>
      </c>
      <c r="F118" s="37" t="str">
        <f aca="false">IF($C118="","",IFERROR(INDEX(PR!$G$4:$G$203,MATCH($C118,PR!$A$4:$A$203,0)),""))</f>
        <v/>
      </c>
      <c r="G118" s="37" t="str">
        <f aca="false">IF($C118="","",IFERROR(INDEX(PR!$F$4:$F$203,MATCH($C118,PR!$A$4:$A$203,0)),""))</f>
        <v/>
      </c>
      <c r="H118" s="32"/>
      <c r="I118" s="37" t="str">
        <f aca="false">IF($H118="","",IFERROR(INDEX('Nhà cung cấp'!$B$4:$B$203,MATCH($H118,'Nhà cung cấp'!$A$4:$A$203,0)),""))</f>
        <v/>
      </c>
      <c r="J118" s="34"/>
      <c r="K118" s="34"/>
      <c r="L118" s="38" t="str">
        <f aca="false">IF($A118="","",IFERROR($J118*$K118,""))</f>
        <v/>
      </c>
      <c r="M118" s="38" t="str">
        <f aca="false">IF($C118="","",IFERROR(INDEX(PR!$L$4:$L$203,MATCH($C118,PR!$A$4:$A$203,0)),""))</f>
        <v/>
      </c>
      <c r="N118" s="38" t="str">
        <f aca="false">IF($A118="","",IFERROR($M118-$L118,""))</f>
        <v/>
      </c>
      <c r="O118" s="32"/>
      <c r="P118" s="33"/>
      <c r="Q118" s="33"/>
      <c r="R118" s="33"/>
      <c r="S118" s="37" t="str">
        <f aca="true">IF($A118="","",IF($Q118="","",IF($R118="",IF(TODAY()&gt;$Q118,"Trễ hạn","Chưa đến hạn"),IF($R118&lt;=$Q118,"Đúng hạn","Giao trễ"))))</f>
        <v/>
      </c>
      <c r="T118" s="38" t="str">
        <f aca="true">IF($A118="","",IF($Q118="",0,IF($R118="",IF(TODAY()&gt;$Q118,TODAY()-$Q118,0),MAX(0,$R118-$Q118))))</f>
        <v/>
      </c>
      <c r="U118" s="34"/>
      <c r="V118" s="34"/>
      <c r="W118" s="39" t="str">
        <f aca="false">IF($A118="","",IFERROR($V118/$U118,""))</f>
        <v/>
      </c>
      <c r="X118" s="34"/>
      <c r="Y118" s="37" t="str">
        <f aca="false">IF($A118="","",IF($U118="","",IF($W118&lt;='Tổng quan'!$C$8,"Đạt","Không đạt")))</f>
        <v/>
      </c>
      <c r="Z118" s="38" t="str">
        <f aca="false">IF($H118="","",IFERROR(INDEX('Nhà cung cấp'!$G$4:$G$203,MATCH($H118,'Nhà cung cấp'!$A$4:$A$203,0)),""))</f>
        <v/>
      </c>
      <c r="AA118" s="41" t="str">
        <f aca="false">IF($A118="","",IFERROR($R118+$Z118,""))</f>
        <v/>
      </c>
      <c r="AB118" s="32"/>
    </row>
    <row r="119" customFormat="false" ht="15" hidden="false" customHeight="false" outlineLevel="0" collapsed="false">
      <c r="A119" s="32"/>
      <c r="B119" s="33"/>
      <c r="C119" s="32"/>
      <c r="D119" s="37" t="str">
        <f aca="false">IF($C119="","",IFERROR(INDEX(PR!$D$4:$D$203,MATCH($C119,PR!$A$4:$A$203,0)),""))</f>
        <v/>
      </c>
      <c r="E119" s="37" t="str">
        <f aca="false">IF($C119="","",IFERROR(INDEX(PR!$E$4:$E$203,MATCH($C119,PR!$A$4:$A$203,0)),""))</f>
        <v/>
      </c>
      <c r="F119" s="37" t="str">
        <f aca="false">IF($C119="","",IFERROR(INDEX(PR!$G$4:$G$203,MATCH($C119,PR!$A$4:$A$203,0)),""))</f>
        <v/>
      </c>
      <c r="G119" s="37" t="str">
        <f aca="false">IF($C119="","",IFERROR(INDEX(PR!$F$4:$F$203,MATCH($C119,PR!$A$4:$A$203,0)),""))</f>
        <v/>
      </c>
      <c r="H119" s="32"/>
      <c r="I119" s="37" t="str">
        <f aca="false">IF($H119="","",IFERROR(INDEX('Nhà cung cấp'!$B$4:$B$203,MATCH($H119,'Nhà cung cấp'!$A$4:$A$203,0)),""))</f>
        <v/>
      </c>
      <c r="J119" s="34"/>
      <c r="K119" s="34"/>
      <c r="L119" s="38" t="str">
        <f aca="false">IF($A119="","",IFERROR($J119*$K119,""))</f>
        <v/>
      </c>
      <c r="M119" s="38" t="str">
        <f aca="false">IF($C119="","",IFERROR(INDEX(PR!$L$4:$L$203,MATCH($C119,PR!$A$4:$A$203,0)),""))</f>
        <v/>
      </c>
      <c r="N119" s="38" t="str">
        <f aca="false">IF($A119="","",IFERROR($M119-$L119,""))</f>
        <v/>
      </c>
      <c r="O119" s="32"/>
      <c r="P119" s="33"/>
      <c r="Q119" s="33"/>
      <c r="R119" s="33"/>
      <c r="S119" s="37" t="str">
        <f aca="true">IF($A119="","",IF($Q119="","",IF($R119="",IF(TODAY()&gt;$Q119,"Trễ hạn","Chưa đến hạn"),IF($R119&lt;=$Q119,"Đúng hạn","Giao trễ"))))</f>
        <v/>
      </c>
      <c r="T119" s="38" t="str">
        <f aca="true">IF($A119="","",IF($Q119="",0,IF($R119="",IF(TODAY()&gt;$Q119,TODAY()-$Q119,0),MAX(0,$R119-$Q119))))</f>
        <v/>
      </c>
      <c r="U119" s="34"/>
      <c r="V119" s="34"/>
      <c r="W119" s="39" t="str">
        <f aca="false">IF($A119="","",IFERROR($V119/$U119,""))</f>
        <v/>
      </c>
      <c r="X119" s="34"/>
      <c r="Y119" s="37" t="str">
        <f aca="false">IF($A119="","",IF($U119="","",IF($W119&lt;='Tổng quan'!$C$8,"Đạt","Không đạt")))</f>
        <v/>
      </c>
      <c r="Z119" s="38" t="str">
        <f aca="false">IF($H119="","",IFERROR(INDEX('Nhà cung cấp'!$G$4:$G$203,MATCH($H119,'Nhà cung cấp'!$A$4:$A$203,0)),""))</f>
        <v/>
      </c>
      <c r="AA119" s="41" t="str">
        <f aca="false">IF($A119="","",IFERROR($R119+$Z119,""))</f>
        <v/>
      </c>
      <c r="AB119" s="32"/>
    </row>
    <row r="120" customFormat="false" ht="15" hidden="false" customHeight="false" outlineLevel="0" collapsed="false">
      <c r="A120" s="32"/>
      <c r="B120" s="33"/>
      <c r="C120" s="32"/>
      <c r="D120" s="37" t="str">
        <f aca="false">IF($C120="","",IFERROR(INDEX(PR!$D$4:$D$203,MATCH($C120,PR!$A$4:$A$203,0)),""))</f>
        <v/>
      </c>
      <c r="E120" s="37" t="str">
        <f aca="false">IF($C120="","",IFERROR(INDEX(PR!$E$4:$E$203,MATCH($C120,PR!$A$4:$A$203,0)),""))</f>
        <v/>
      </c>
      <c r="F120" s="37" t="str">
        <f aca="false">IF($C120="","",IFERROR(INDEX(PR!$G$4:$G$203,MATCH($C120,PR!$A$4:$A$203,0)),""))</f>
        <v/>
      </c>
      <c r="G120" s="37" t="str">
        <f aca="false">IF($C120="","",IFERROR(INDEX(PR!$F$4:$F$203,MATCH($C120,PR!$A$4:$A$203,0)),""))</f>
        <v/>
      </c>
      <c r="H120" s="32"/>
      <c r="I120" s="37" t="str">
        <f aca="false">IF($H120="","",IFERROR(INDEX('Nhà cung cấp'!$B$4:$B$203,MATCH($H120,'Nhà cung cấp'!$A$4:$A$203,0)),""))</f>
        <v/>
      </c>
      <c r="J120" s="34"/>
      <c r="K120" s="34"/>
      <c r="L120" s="38" t="str">
        <f aca="false">IF($A120="","",IFERROR($J120*$K120,""))</f>
        <v/>
      </c>
      <c r="M120" s="38" t="str">
        <f aca="false">IF($C120="","",IFERROR(INDEX(PR!$L$4:$L$203,MATCH($C120,PR!$A$4:$A$203,0)),""))</f>
        <v/>
      </c>
      <c r="N120" s="38" t="str">
        <f aca="false">IF($A120="","",IFERROR($M120-$L120,""))</f>
        <v/>
      </c>
      <c r="O120" s="32"/>
      <c r="P120" s="33"/>
      <c r="Q120" s="33"/>
      <c r="R120" s="33"/>
      <c r="S120" s="37" t="str">
        <f aca="true">IF($A120="","",IF($Q120="","",IF($R120="",IF(TODAY()&gt;$Q120,"Trễ hạn","Chưa đến hạn"),IF($R120&lt;=$Q120,"Đúng hạn","Giao trễ"))))</f>
        <v/>
      </c>
      <c r="T120" s="38" t="str">
        <f aca="true">IF($A120="","",IF($Q120="",0,IF($R120="",IF(TODAY()&gt;$Q120,TODAY()-$Q120,0),MAX(0,$R120-$Q120))))</f>
        <v/>
      </c>
      <c r="U120" s="34"/>
      <c r="V120" s="34"/>
      <c r="W120" s="39" t="str">
        <f aca="false">IF($A120="","",IFERROR($V120/$U120,""))</f>
        <v/>
      </c>
      <c r="X120" s="34"/>
      <c r="Y120" s="37" t="str">
        <f aca="false">IF($A120="","",IF($U120="","",IF($W120&lt;='Tổng quan'!$C$8,"Đạt","Không đạt")))</f>
        <v/>
      </c>
      <c r="Z120" s="38" t="str">
        <f aca="false">IF($H120="","",IFERROR(INDEX('Nhà cung cấp'!$G$4:$G$203,MATCH($H120,'Nhà cung cấp'!$A$4:$A$203,0)),""))</f>
        <v/>
      </c>
      <c r="AA120" s="41" t="str">
        <f aca="false">IF($A120="","",IFERROR($R120+$Z120,""))</f>
        <v/>
      </c>
      <c r="AB120" s="32"/>
    </row>
    <row r="121" customFormat="false" ht="15" hidden="false" customHeight="false" outlineLevel="0" collapsed="false">
      <c r="A121" s="32"/>
      <c r="B121" s="33"/>
      <c r="C121" s="32"/>
      <c r="D121" s="37" t="str">
        <f aca="false">IF($C121="","",IFERROR(INDEX(PR!$D$4:$D$203,MATCH($C121,PR!$A$4:$A$203,0)),""))</f>
        <v/>
      </c>
      <c r="E121" s="37" t="str">
        <f aca="false">IF($C121="","",IFERROR(INDEX(PR!$E$4:$E$203,MATCH($C121,PR!$A$4:$A$203,0)),""))</f>
        <v/>
      </c>
      <c r="F121" s="37" t="str">
        <f aca="false">IF($C121="","",IFERROR(INDEX(PR!$G$4:$G$203,MATCH($C121,PR!$A$4:$A$203,0)),""))</f>
        <v/>
      </c>
      <c r="G121" s="37" t="str">
        <f aca="false">IF($C121="","",IFERROR(INDEX(PR!$F$4:$F$203,MATCH($C121,PR!$A$4:$A$203,0)),""))</f>
        <v/>
      </c>
      <c r="H121" s="32"/>
      <c r="I121" s="37" t="str">
        <f aca="false">IF($H121="","",IFERROR(INDEX('Nhà cung cấp'!$B$4:$B$203,MATCH($H121,'Nhà cung cấp'!$A$4:$A$203,0)),""))</f>
        <v/>
      </c>
      <c r="J121" s="34"/>
      <c r="K121" s="34"/>
      <c r="L121" s="38" t="str">
        <f aca="false">IF($A121="","",IFERROR($J121*$K121,""))</f>
        <v/>
      </c>
      <c r="M121" s="38" t="str">
        <f aca="false">IF($C121="","",IFERROR(INDEX(PR!$L$4:$L$203,MATCH($C121,PR!$A$4:$A$203,0)),""))</f>
        <v/>
      </c>
      <c r="N121" s="38" t="str">
        <f aca="false">IF($A121="","",IFERROR($M121-$L121,""))</f>
        <v/>
      </c>
      <c r="O121" s="32"/>
      <c r="P121" s="33"/>
      <c r="Q121" s="33"/>
      <c r="R121" s="33"/>
      <c r="S121" s="37" t="str">
        <f aca="true">IF($A121="","",IF($Q121="","",IF($R121="",IF(TODAY()&gt;$Q121,"Trễ hạn","Chưa đến hạn"),IF($R121&lt;=$Q121,"Đúng hạn","Giao trễ"))))</f>
        <v/>
      </c>
      <c r="T121" s="38" t="str">
        <f aca="true">IF($A121="","",IF($Q121="",0,IF($R121="",IF(TODAY()&gt;$Q121,TODAY()-$Q121,0),MAX(0,$R121-$Q121))))</f>
        <v/>
      </c>
      <c r="U121" s="34"/>
      <c r="V121" s="34"/>
      <c r="W121" s="39" t="str">
        <f aca="false">IF($A121="","",IFERROR($V121/$U121,""))</f>
        <v/>
      </c>
      <c r="X121" s="34"/>
      <c r="Y121" s="37" t="str">
        <f aca="false">IF($A121="","",IF($U121="","",IF($W121&lt;='Tổng quan'!$C$8,"Đạt","Không đạt")))</f>
        <v/>
      </c>
      <c r="Z121" s="38" t="str">
        <f aca="false">IF($H121="","",IFERROR(INDEX('Nhà cung cấp'!$G$4:$G$203,MATCH($H121,'Nhà cung cấp'!$A$4:$A$203,0)),""))</f>
        <v/>
      </c>
      <c r="AA121" s="41" t="str">
        <f aca="false">IF($A121="","",IFERROR($R121+$Z121,""))</f>
        <v/>
      </c>
      <c r="AB121" s="32"/>
    </row>
    <row r="122" customFormat="false" ht="15" hidden="false" customHeight="false" outlineLevel="0" collapsed="false">
      <c r="A122" s="32"/>
      <c r="B122" s="33"/>
      <c r="C122" s="32"/>
      <c r="D122" s="37" t="str">
        <f aca="false">IF($C122="","",IFERROR(INDEX(PR!$D$4:$D$203,MATCH($C122,PR!$A$4:$A$203,0)),""))</f>
        <v/>
      </c>
      <c r="E122" s="37" t="str">
        <f aca="false">IF($C122="","",IFERROR(INDEX(PR!$E$4:$E$203,MATCH($C122,PR!$A$4:$A$203,0)),""))</f>
        <v/>
      </c>
      <c r="F122" s="37" t="str">
        <f aca="false">IF($C122="","",IFERROR(INDEX(PR!$G$4:$G$203,MATCH($C122,PR!$A$4:$A$203,0)),""))</f>
        <v/>
      </c>
      <c r="G122" s="37" t="str">
        <f aca="false">IF($C122="","",IFERROR(INDEX(PR!$F$4:$F$203,MATCH($C122,PR!$A$4:$A$203,0)),""))</f>
        <v/>
      </c>
      <c r="H122" s="32"/>
      <c r="I122" s="37" t="str">
        <f aca="false">IF($H122="","",IFERROR(INDEX('Nhà cung cấp'!$B$4:$B$203,MATCH($H122,'Nhà cung cấp'!$A$4:$A$203,0)),""))</f>
        <v/>
      </c>
      <c r="J122" s="34"/>
      <c r="K122" s="34"/>
      <c r="L122" s="38" t="str">
        <f aca="false">IF($A122="","",IFERROR($J122*$K122,""))</f>
        <v/>
      </c>
      <c r="M122" s="38" t="str">
        <f aca="false">IF($C122="","",IFERROR(INDEX(PR!$L$4:$L$203,MATCH($C122,PR!$A$4:$A$203,0)),""))</f>
        <v/>
      </c>
      <c r="N122" s="38" t="str">
        <f aca="false">IF($A122="","",IFERROR($M122-$L122,""))</f>
        <v/>
      </c>
      <c r="O122" s="32"/>
      <c r="P122" s="33"/>
      <c r="Q122" s="33"/>
      <c r="R122" s="33"/>
      <c r="S122" s="37" t="str">
        <f aca="true">IF($A122="","",IF($Q122="","",IF($R122="",IF(TODAY()&gt;$Q122,"Trễ hạn","Chưa đến hạn"),IF($R122&lt;=$Q122,"Đúng hạn","Giao trễ"))))</f>
        <v/>
      </c>
      <c r="T122" s="38" t="str">
        <f aca="true">IF($A122="","",IF($Q122="",0,IF($R122="",IF(TODAY()&gt;$Q122,TODAY()-$Q122,0),MAX(0,$R122-$Q122))))</f>
        <v/>
      </c>
      <c r="U122" s="34"/>
      <c r="V122" s="34"/>
      <c r="W122" s="39" t="str">
        <f aca="false">IF($A122="","",IFERROR($V122/$U122,""))</f>
        <v/>
      </c>
      <c r="X122" s="34"/>
      <c r="Y122" s="37" t="str">
        <f aca="false">IF($A122="","",IF($U122="","",IF($W122&lt;='Tổng quan'!$C$8,"Đạt","Không đạt")))</f>
        <v/>
      </c>
      <c r="Z122" s="38" t="str">
        <f aca="false">IF($H122="","",IFERROR(INDEX('Nhà cung cấp'!$G$4:$G$203,MATCH($H122,'Nhà cung cấp'!$A$4:$A$203,0)),""))</f>
        <v/>
      </c>
      <c r="AA122" s="41" t="str">
        <f aca="false">IF($A122="","",IFERROR($R122+$Z122,""))</f>
        <v/>
      </c>
      <c r="AB122" s="32"/>
    </row>
    <row r="123" customFormat="false" ht="15" hidden="false" customHeight="false" outlineLevel="0" collapsed="false">
      <c r="A123" s="32"/>
      <c r="B123" s="33"/>
      <c r="C123" s="32"/>
      <c r="D123" s="37" t="str">
        <f aca="false">IF($C123="","",IFERROR(INDEX(PR!$D$4:$D$203,MATCH($C123,PR!$A$4:$A$203,0)),""))</f>
        <v/>
      </c>
      <c r="E123" s="37" t="str">
        <f aca="false">IF($C123="","",IFERROR(INDEX(PR!$E$4:$E$203,MATCH($C123,PR!$A$4:$A$203,0)),""))</f>
        <v/>
      </c>
      <c r="F123" s="37" t="str">
        <f aca="false">IF($C123="","",IFERROR(INDEX(PR!$G$4:$G$203,MATCH($C123,PR!$A$4:$A$203,0)),""))</f>
        <v/>
      </c>
      <c r="G123" s="37" t="str">
        <f aca="false">IF($C123="","",IFERROR(INDEX(PR!$F$4:$F$203,MATCH($C123,PR!$A$4:$A$203,0)),""))</f>
        <v/>
      </c>
      <c r="H123" s="32"/>
      <c r="I123" s="37" t="str">
        <f aca="false">IF($H123="","",IFERROR(INDEX('Nhà cung cấp'!$B$4:$B$203,MATCH($H123,'Nhà cung cấp'!$A$4:$A$203,0)),""))</f>
        <v/>
      </c>
      <c r="J123" s="34"/>
      <c r="K123" s="34"/>
      <c r="L123" s="38" t="str">
        <f aca="false">IF($A123="","",IFERROR($J123*$K123,""))</f>
        <v/>
      </c>
      <c r="M123" s="38" t="str">
        <f aca="false">IF($C123="","",IFERROR(INDEX(PR!$L$4:$L$203,MATCH($C123,PR!$A$4:$A$203,0)),""))</f>
        <v/>
      </c>
      <c r="N123" s="38" t="str">
        <f aca="false">IF($A123="","",IFERROR($M123-$L123,""))</f>
        <v/>
      </c>
      <c r="O123" s="32"/>
      <c r="P123" s="33"/>
      <c r="Q123" s="33"/>
      <c r="R123" s="33"/>
      <c r="S123" s="37" t="str">
        <f aca="true">IF($A123="","",IF($Q123="","",IF($R123="",IF(TODAY()&gt;$Q123,"Trễ hạn","Chưa đến hạn"),IF($R123&lt;=$Q123,"Đúng hạn","Giao trễ"))))</f>
        <v/>
      </c>
      <c r="T123" s="38" t="str">
        <f aca="true">IF($A123="","",IF($Q123="",0,IF($R123="",IF(TODAY()&gt;$Q123,TODAY()-$Q123,0),MAX(0,$R123-$Q123))))</f>
        <v/>
      </c>
      <c r="U123" s="34"/>
      <c r="V123" s="34"/>
      <c r="W123" s="39" t="str">
        <f aca="false">IF($A123="","",IFERROR($V123/$U123,""))</f>
        <v/>
      </c>
      <c r="X123" s="34"/>
      <c r="Y123" s="37" t="str">
        <f aca="false">IF($A123="","",IF($U123="","",IF($W123&lt;='Tổng quan'!$C$8,"Đạt","Không đạt")))</f>
        <v/>
      </c>
      <c r="Z123" s="38" t="str">
        <f aca="false">IF($H123="","",IFERROR(INDEX('Nhà cung cấp'!$G$4:$G$203,MATCH($H123,'Nhà cung cấp'!$A$4:$A$203,0)),""))</f>
        <v/>
      </c>
      <c r="AA123" s="41" t="str">
        <f aca="false">IF($A123="","",IFERROR($R123+$Z123,""))</f>
        <v/>
      </c>
      <c r="AB123" s="32"/>
    </row>
    <row r="124" customFormat="false" ht="15" hidden="false" customHeight="false" outlineLevel="0" collapsed="false">
      <c r="A124" s="32"/>
      <c r="B124" s="33"/>
      <c r="C124" s="32"/>
      <c r="D124" s="37" t="str">
        <f aca="false">IF($C124="","",IFERROR(INDEX(PR!$D$4:$D$203,MATCH($C124,PR!$A$4:$A$203,0)),""))</f>
        <v/>
      </c>
      <c r="E124" s="37" t="str">
        <f aca="false">IF($C124="","",IFERROR(INDEX(PR!$E$4:$E$203,MATCH($C124,PR!$A$4:$A$203,0)),""))</f>
        <v/>
      </c>
      <c r="F124" s="37" t="str">
        <f aca="false">IF($C124="","",IFERROR(INDEX(PR!$G$4:$G$203,MATCH($C124,PR!$A$4:$A$203,0)),""))</f>
        <v/>
      </c>
      <c r="G124" s="37" t="str">
        <f aca="false">IF($C124="","",IFERROR(INDEX(PR!$F$4:$F$203,MATCH($C124,PR!$A$4:$A$203,0)),""))</f>
        <v/>
      </c>
      <c r="H124" s="32"/>
      <c r="I124" s="37" t="str">
        <f aca="false">IF($H124="","",IFERROR(INDEX('Nhà cung cấp'!$B$4:$B$203,MATCH($H124,'Nhà cung cấp'!$A$4:$A$203,0)),""))</f>
        <v/>
      </c>
      <c r="J124" s="34"/>
      <c r="K124" s="34"/>
      <c r="L124" s="38" t="str">
        <f aca="false">IF($A124="","",IFERROR($J124*$K124,""))</f>
        <v/>
      </c>
      <c r="M124" s="38" t="str">
        <f aca="false">IF($C124="","",IFERROR(INDEX(PR!$L$4:$L$203,MATCH($C124,PR!$A$4:$A$203,0)),""))</f>
        <v/>
      </c>
      <c r="N124" s="38" t="str">
        <f aca="false">IF($A124="","",IFERROR($M124-$L124,""))</f>
        <v/>
      </c>
      <c r="O124" s="32"/>
      <c r="P124" s="33"/>
      <c r="Q124" s="33"/>
      <c r="R124" s="33"/>
      <c r="S124" s="37" t="str">
        <f aca="true">IF($A124="","",IF($Q124="","",IF($R124="",IF(TODAY()&gt;$Q124,"Trễ hạn","Chưa đến hạn"),IF($R124&lt;=$Q124,"Đúng hạn","Giao trễ"))))</f>
        <v/>
      </c>
      <c r="T124" s="38" t="str">
        <f aca="true">IF($A124="","",IF($Q124="",0,IF($R124="",IF(TODAY()&gt;$Q124,TODAY()-$Q124,0),MAX(0,$R124-$Q124))))</f>
        <v/>
      </c>
      <c r="U124" s="34"/>
      <c r="V124" s="34"/>
      <c r="W124" s="39" t="str">
        <f aca="false">IF($A124="","",IFERROR($V124/$U124,""))</f>
        <v/>
      </c>
      <c r="X124" s="34"/>
      <c r="Y124" s="37" t="str">
        <f aca="false">IF($A124="","",IF($U124="","",IF($W124&lt;='Tổng quan'!$C$8,"Đạt","Không đạt")))</f>
        <v/>
      </c>
      <c r="Z124" s="38" t="str">
        <f aca="false">IF($H124="","",IFERROR(INDEX('Nhà cung cấp'!$G$4:$G$203,MATCH($H124,'Nhà cung cấp'!$A$4:$A$203,0)),""))</f>
        <v/>
      </c>
      <c r="AA124" s="41" t="str">
        <f aca="false">IF($A124="","",IFERROR($R124+$Z124,""))</f>
        <v/>
      </c>
      <c r="AB124" s="32"/>
    </row>
    <row r="125" customFormat="false" ht="15" hidden="false" customHeight="false" outlineLevel="0" collapsed="false">
      <c r="A125" s="32"/>
      <c r="B125" s="33"/>
      <c r="C125" s="32"/>
      <c r="D125" s="37" t="str">
        <f aca="false">IF($C125="","",IFERROR(INDEX(PR!$D$4:$D$203,MATCH($C125,PR!$A$4:$A$203,0)),""))</f>
        <v/>
      </c>
      <c r="E125" s="37" t="str">
        <f aca="false">IF($C125="","",IFERROR(INDEX(PR!$E$4:$E$203,MATCH($C125,PR!$A$4:$A$203,0)),""))</f>
        <v/>
      </c>
      <c r="F125" s="37" t="str">
        <f aca="false">IF($C125="","",IFERROR(INDEX(PR!$G$4:$G$203,MATCH($C125,PR!$A$4:$A$203,0)),""))</f>
        <v/>
      </c>
      <c r="G125" s="37" t="str">
        <f aca="false">IF($C125="","",IFERROR(INDEX(PR!$F$4:$F$203,MATCH($C125,PR!$A$4:$A$203,0)),""))</f>
        <v/>
      </c>
      <c r="H125" s="32"/>
      <c r="I125" s="37" t="str">
        <f aca="false">IF($H125="","",IFERROR(INDEX('Nhà cung cấp'!$B$4:$B$203,MATCH($H125,'Nhà cung cấp'!$A$4:$A$203,0)),""))</f>
        <v/>
      </c>
      <c r="J125" s="34"/>
      <c r="K125" s="34"/>
      <c r="L125" s="38" t="str">
        <f aca="false">IF($A125="","",IFERROR($J125*$K125,""))</f>
        <v/>
      </c>
      <c r="M125" s="38" t="str">
        <f aca="false">IF($C125="","",IFERROR(INDEX(PR!$L$4:$L$203,MATCH($C125,PR!$A$4:$A$203,0)),""))</f>
        <v/>
      </c>
      <c r="N125" s="38" t="str">
        <f aca="false">IF($A125="","",IFERROR($M125-$L125,""))</f>
        <v/>
      </c>
      <c r="O125" s="32"/>
      <c r="P125" s="33"/>
      <c r="Q125" s="33"/>
      <c r="R125" s="33"/>
      <c r="S125" s="37" t="str">
        <f aca="true">IF($A125="","",IF($Q125="","",IF($R125="",IF(TODAY()&gt;$Q125,"Trễ hạn","Chưa đến hạn"),IF($R125&lt;=$Q125,"Đúng hạn","Giao trễ"))))</f>
        <v/>
      </c>
      <c r="T125" s="38" t="str">
        <f aca="true">IF($A125="","",IF($Q125="",0,IF($R125="",IF(TODAY()&gt;$Q125,TODAY()-$Q125,0),MAX(0,$R125-$Q125))))</f>
        <v/>
      </c>
      <c r="U125" s="34"/>
      <c r="V125" s="34"/>
      <c r="W125" s="39" t="str">
        <f aca="false">IF($A125="","",IFERROR($V125/$U125,""))</f>
        <v/>
      </c>
      <c r="X125" s="34"/>
      <c r="Y125" s="37" t="str">
        <f aca="false">IF($A125="","",IF($U125="","",IF($W125&lt;='Tổng quan'!$C$8,"Đạt","Không đạt")))</f>
        <v/>
      </c>
      <c r="Z125" s="38" t="str">
        <f aca="false">IF($H125="","",IFERROR(INDEX('Nhà cung cấp'!$G$4:$G$203,MATCH($H125,'Nhà cung cấp'!$A$4:$A$203,0)),""))</f>
        <v/>
      </c>
      <c r="AA125" s="41" t="str">
        <f aca="false">IF($A125="","",IFERROR($R125+$Z125,""))</f>
        <v/>
      </c>
      <c r="AB125" s="32"/>
    </row>
    <row r="126" customFormat="false" ht="15" hidden="false" customHeight="false" outlineLevel="0" collapsed="false">
      <c r="A126" s="32"/>
      <c r="B126" s="33"/>
      <c r="C126" s="32"/>
      <c r="D126" s="37" t="str">
        <f aca="false">IF($C126="","",IFERROR(INDEX(PR!$D$4:$D$203,MATCH($C126,PR!$A$4:$A$203,0)),""))</f>
        <v/>
      </c>
      <c r="E126" s="37" t="str">
        <f aca="false">IF($C126="","",IFERROR(INDEX(PR!$E$4:$E$203,MATCH($C126,PR!$A$4:$A$203,0)),""))</f>
        <v/>
      </c>
      <c r="F126" s="37" t="str">
        <f aca="false">IF($C126="","",IFERROR(INDEX(PR!$G$4:$G$203,MATCH($C126,PR!$A$4:$A$203,0)),""))</f>
        <v/>
      </c>
      <c r="G126" s="37" t="str">
        <f aca="false">IF($C126="","",IFERROR(INDEX(PR!$F$4:$F$203,MATCH($C126,PR!$A$4:$A$203,0)),""))</f>
        <v/>
      </c>
      <c r="H126" s="32"/>
      <c r="I126" s="37" t="str">
        <f aca="false">IF($H126="","",IFERROR(INDEX('Nhà cung cấp'!$B$4:$B$203,MATCH($H126,'Nhà cung cấp'!$A$4:$A$203,0)),""))</f>
        <v/>
      </c>
      <c r="J126" s="34"/>
      <c r="K126" s="34"/>
      <c r="L126" s="38" t="str">
        <f aca="false">IF($A126="","",IFERROR($J126*$K126,""))</f>
        <v/>
      </c>
      <c r="M126" s="38" t="str">
        <f aca="false">IF($C126="","",IFERROR(INDEX(PR!$L$4:$L$203,MATCH($C126,PR!$A$4:$A$203,0)),""))</f>
        <v/>
      </c>
      <c r="N126" s="38" t="str">
        <f aca="false">IF($A126="","",IFERROR($M126-$L126,""))</f>
        <v/>
      </c>
      <c r="O126" s="32"/>
      <c r="P126" s="33"/>
      <c r="Q126" s="33"/>
      <c r="R126" s="33"/>
      <c r="S126" s="37" t="str">
        <f aca="true">IF($A126="","",IF($Q126="","",IF($R126="",IF(TODAY()&gt;$Q126,"Trễ hạn","Chưa đến hạn"),IF($R126&lt;=$Q126,"Đúng hạn","Giao trễ"))))</f>
        <v/>
      </c>
      <c r="T126" s="38" t="str">
        <f aca="true">IF($A126="","",IF($Q126="",0,IF($R126="",IF(TODAY()&gt;$Q126,TODAY()-$Q126,0),MAX(0,$R126-$Q126))))</f>
        <v/>
      </c>
      <c r="U126" s="34"/>
      <c r="V126" s="34"/>
      <c r="W126" s="39" t="str">
        <f aca="false">IF($A126="","",IFERROR($V126/$U126,""))</f>
        <v/>
      </c>
      <c r="X126" s="34"/>
      <c r="Y126" s="37" t="str">
        <f aca="false">IF($A126="","",IF($U126="","",IF($W126&lt;='Tổng quan'!$C$8,"Đạt","Không đạt")))</f>
        <v/>
      </c>
      <c r="Z126" s="38" t="str">
        <f aca="false">IF($H126="","",IFERROR(INDEX('Nhà cung cấp'!$G$4:$G$203,MATCH($H126,'Nhà cung cấp'!$A$4:$A$203,0)),""))</f>
        <v/>
      </c>
      <c r="AA126" s="41" t="str">
        <f aca="false">IF($A126="","",IFERROR($R126+$Z126,""))</f>
        <v/>
      </c>
      <c r="AB126" s="32"/>
    </row>
    <row r="127" customFormat="false" ht="15" hidden="false" customHeight="false" outlineLevel="0" collapsed="false">
      <c r="A127" s="32"/>
      <c r="B127" s="33"/>
      <c r="C127" s="32"/>
      <c r="D127" s="37" t="str">
        <f aca="false">IF($C127="","",IFERROR(INDEX(PR!$D$4:$D$203,MATCH($C127,PR!$A$4:$A$203,0)),""))</f>
        <v/>
      </c>
      <c r="E127" s="37" t="str">
        <f aca="false">IF($C127="","",IFERROR(INDEX(PR!$E$4:$E$203,MATCH($C127,PR!$A$4:$A$203,0)),""))</f>
        <v/>
      </c>
      <c r="F127" s="37" t="str">
        <f aca="false">IF($C127="","",IFERROR(INDEX(PR!$G$4:$G$203,MATCH($C127,PR!$A$4:$A$203,0)),""))</f>
        <v/>
      </c>
      <c r="G127" s="37" t="str">
        <f aca="false">IF($C127="","",IFERROR(INDEX(PR!$F$4:$F$203,MATCH($C127,PR!$A$4:$A$203,0)),""))</f>
        <v/>
      </c>
      <c r="H127" s="32"/>
      <c r="I127" s="37" t="str">
        <f aca="false">IF($H127="","",IFERROR(INDEX('Nhà cung cấp'!$B$4:$B$203,MATCH($H127,'Nhà cung cấp'!$A$4:$A$203,0)),""))</f>
        <v/>
      </c>
      <c r="J127" s="34"/>
      <c r="K127" s="34"/>
      <c r="L127" s="38" t="str">
        <f aca="false">IF($A127="","",IFERROR($J127*$K127,""))</f>
        <v/>
      </c>
      <c r="M127" s="38" t="str">
        <f aca="false">IF($C127="","",IFERROR(INDEX(PR!$L$4:$L$203,MATCH($C127,PR!$A$4:$A$203,0)),""))</f>
        <v/>
      </c>
      <c r="N127" s="38" t="str">
        <f aca="false">IF($A127="","",IFERROR($M127-$L127,""))</f>
        <v/>
      </c>
      <c r="O127" s="32"/>
      <c r="P127" s="33"/>
      <c r="Q127" s="33"/>
      <c r="R127" s="33"/>
      <c r="S127" s="37" t="str">
        <f aca="true">IF($A127="","",IF($Q127="","",IF($R127="",IF(TODAY()&gt;$Q127,"Trễ hạn","Chưa đến hạn"),IF($R127&lt;=$Q127,"Đúng hạn","Giao trễ"))))</f>
        <v/>
      </c>
      <c r="T127" s="38" t="str">
        <f aca="true">IF($A127="","",IF($Q127="",0,IF($R127="",IF(TODAY()&gt;$Q127,TODAY()-$Q127,0),MAX(0,$R127-$Q127))))</f>
        <v/>
      </c>
      <c r="U127" s="34"/>
      <c r="V127" s="34"/>
      <c r="W127" s="39" t="str">
        <f aca="false">IF($A127="","",IFERROR($V127/$U127,""))</f>
        <v/>
      </c>
      <c r="X127" s="34"/>
      <c r="Y127" s="37" t="str">
        <f aca="false">IF($A127="","",IF($U127="","",IF($W127&lt;='Tổng quan'!$C$8,"Đạt","Không đạt")))</f>
        <v/>
      </c>
      <c r="Z127" s="38" t="str">
        <f aca="false">IF($H127="","",IFERROR(INDEX('Nhà cung cấp'!$G$4:$G$203,MATCH($H127,'Nhà cung cấp'!$A$4:$A$203,0)),""))</f>
        <v/>
      </c>
      <c r="AA127" s="41" t="str">
        <f aca="false">IF($A127="","",IFERROR($R127+$Z127,""))</f>
        <v/>
      </c>
      <c r="AB127" s="32"/>
    </row>
    <row r="128" customFormat="false" ht="15" hidden="false" customHeight="false" outlineLevel="0" collapsed="false">
      <c r="A128" s="32"/>
      <c r="B128" s="33"/>
      <c r="C128" s="32"/>
      <c r="D128" s="37" t="str">
        <f aca="false">IF($C128="","",IFERROR(INDEX(PR!$D$4:$D$203,MATCH($C128,PR!$A$4:$A$203,0)),""))</f>
        <v/>
      </c>
      <c r="E128" s="37" t="str">
        <f aca="false">IF($C128="","",IFERROR(INDEX(PR!$E$4:$E$203,MATCH($C128,PR!$A$4:$A$203,0)),""))</f>
        <v/>
      </c>
      <c r="F128" s="37" t="str">
        <f aca="false">IF($C128="","",IFERROR(INDEX(PR!$G$4:$G$203,MATCH($C128,PR!$A$4:$A$203,0)),""))</f>
        <v/>
      </c>
      <c r="G128" s="37" t="str">
        <f aca="false">IF($C128="","",IFERROR(INDEX(PR!$F$4:$F$203,MATCH($C128,PR!$A$4:$A$203,0)),""))</f>
        <v/>
      </c>
      <c r="H128" s="32"/>
      <c r="I128" s="37" t="str">
        <f aca="false">IF($H128="","",IFERROR(INDEX('Nhà cung cấp'!$B$4:$B$203,MATCH($H128,'Nhà cung cấp'!$A$4:$A$203,0)),""))</f>
        <v/>
      </c>
      <c r="J128" s="34"/>
      <c r="K128" s="34"/>
      <c r="L128" s="38" t="str">
        <f aca="false">IF($A128="","",IFERROR($J128*$K128,""))</f>
        <v/>
      </c>
      <c r="M128" s="38" t="str">
        <f aca="false">IF($C128="","",IFERROR(INDEX(PR!$L$4:$L$203,MATCH($C128,PR!$A$4:$A$203,0)),""))</f>
        <v/>
      </c>
      <c r="N128" s="38" t="str">
        <f aca="false">IF($A128="","",IFERROR($M128-$L128,""))</f>
        <v/>
      </c>
      <c r="O128" s="32"/>
      <c r="P128" s="33"/>
      <c r="Q128" s="33"/>
      <c r="R128" s="33"/>
      <c r="S128" s="37" t="str">
        <f aca="true">IF($A128="","",IF($Q128="","",IF($R128="",IF(TODAY()&gt;$Q128,"Trễ hạn","Chưa đến hạn"),IF($R128&lt;=$Q128,"Đúng hạn","Giao trễ"))))</f>
        <v/>
      </c>
      <c r="T128" s="38" t="str">
        <f aca="true">IF($A128="","",IF($Q128="",0,IF($R128="",IF(TODAY()&gt;$Q128,TODAY()-$Q128,0),MAX(0,$R128-$Q128))))</f>
        <v/>
      </c>
      <c r="U128" s="34"/>
      <c r="V128" s="34"/>
      <c r="W128" s="39" t="str">
        <f aca="false">IF($A128="","",IFERROR($V128/$U128,""))</f>
        <v/>
      </c>
      <c r="X128" s="34"/>
      <c r="Y128" s="37" t="str">
        <f aca="false">IF($A128="","",IF($U128="","",IF($W128&lt;='Tổng quan'!$C$8,"Đạt","Không đạt")))</f>
        <v/>
      </c>
      <c r="Z128" s="38" t="str">
        <f aca="false">IF($H128="","",IFERROR(INDEX('Nhà cung cấp'!$G$4:$G$203,MATCH($H128,'Nhà cung cấp'!$A$4:$A$203,0)),""))</f>
        <v/>
      </c>
      <c r="AA128" s="41" t="str">
        <f aca="false">IF($A128="","",IFERROR($R128+$Z128,""))</f>
        <v/>
      </c>
      <c r="AB128" s="32"/>
    </row>
    <row r="129" customFormat="false" ht="15" hidden="false" customHeight="false" outlineLevel="0" collapsed="false">
      <c r="A129" s="32"/>
      <c r="B129" s="33"/>
      <c r="C129" s="32"/>
      <c r="D129" s="37" t="str">
        <f aca="false">IF($C129="","",IFERROR(INDEX(PR!$D$4:$D$203,MATCH($C129,PR!$A$4:$A$203,0)),""))</f>
        <v/>
      </c>
      <c r="E129" s="37" t="str">
        <f aca="false">IF($C129="","",IFERROR(INDEX(PR!$E$4:$E$203,MATCH($C129,PR!$A$4:$A$203,0)),""))</f>
        <v/>
      </c>
      <c r="F129" s="37" t="str">
        <f aca="false">IF($C129="","",IFERROR(INDEX(PR!$G$4:$G$203,MATCH($C129,PR!$A$4:$A$203,0)),""))</f>
        <v/>
      </c>
      <c r="G129" s="37" t="str">
        <f aca="false">IF($C129="","",IFERROR(INDEX(PR!$F$4:$F$203,MATCH($C129,PR!$A$4:$A$203,0)),""))</f>
        <v/>
      </c>
      <c r="H129" s="32"/>
      <c r="I129" s="37" t="str">
        <f aca="false">IF($H129="","",IFERROR(INDEX('Nhà cung cấp'!$B$4:$B$203,MATCH($H129,'Nhà cung cấp'!$A$4:$A$203,0)),""))</f>
        <v/>
      </c>
      <c r="J129" s="34"/>
      <c r="K129" s="34"/>
      <c r="L129" s="38" t="str">
        <f aca="false">IF($A129="","",IFERROR($J129*$K129,""))</f>
        <v/>
      </c>
      <c r="M129" s="38" t="str">
        <f aca="false">IF($C129="","",IFERROR(INDEX(PR!$L$4:$L$203,MATCH($C129,PR!$A$4:$A$203,0)),""))</f>
        <v/>
      </c>
      <c r="N129" s="38" t="str">
        <f aca="false">IF($A129="","",IFERROR($M129-$L129,""))</f>
        <v/>
      </c>
      <c r="O129" s="32"/>
      <c r="P129" s="33"/>
      <c r="Q129" s="33"/>
      <c r="R129" s="33"/>
      <c r="S129" s="37" t="str">
        <f aca="true">IF($A129="","",IF($Q129="","",IF($R129="",IF(TODAY()&gt;$Q129,"Trễ hạn","Chưa đến hạn"),IF($R129&lt;=$Q129,"Đúng hạn","Giao trễ"))))</f>
        <v/>
      </c>
      <c r="T129" s="38" t="str">
        <f aca="true">IF($A129="","",IF($Q129="",0,IF($R129="",IF(TODAY()&gt;$Q129,TODAY()-$Q129,0),MAX(0,$R129-$Q129))))</f>
        <v/>
      </c>
      <c r="U129" s="34"/>
      <c r="V129" s="34"/>
      <c r="W129" s="39" t="str">
        <f aca="false">IF($A129="","",IFERROR($V129/$U129,""))</f>
        <v/>
      </c>
      <c r="X129" s="34"/>
      <c r="Y129" s="37" t="str">
        <f aca="false">IF($A129="","",IF($U129="","",IF($W129&lt;='Tổng quan'!$C$8,"Đạt","Không đạt")))</f>
        <v/>
      </c>
      <c r="Z129" s="38" t="str">
        <f aca="false">IF($H129="","",IFERROR(INDEX('Nhà cung cấp'!$G$4:$G$203,MATCH($H129,'Nhà cung cấp'!$A$4:$A$203,0)),""))</f>
        <v/>
      </c>
      <c r="AA129" s="41" t="str">
        <f aca="false">IF($A129="","",IFERROR($R129+$Z129,""))</f>
        <v/>
      </c>
      <c r="AB129" s="32"/>
    </row>
    <row r="130" customFormat="false" ht="15" hidden="false" customHeight="false" outlineLevel="0" collapsed="false">
      <c r="A130" s="32"/>
      <c r="B130" s="33"/>
      <c r="C130" s="32"/>
      <c r="D130" s="37" t="str">
        <f aca="false">IF($C130="","",IFERROR(INDEX(PR!$D$4:$D$203,MATCH($C130,PR!$A$4:$A$203,0)),""))</f>
        <v/>
      </c>
      <c r="E130" s="37" t="str">
        <f aca="false">IF($C130="","",IFERROR(INDEX(PR!$E$4:$E$203,MATCH($C130,PR!$A$4:$A$203,0)),""))</f>
        <v/>
      </c>
      <c r="F130" s="37" t="str">
        <f aca="false">IF($C130="","",IFERROR(INDEX(PR!$G$4:$G$203,MATCH($C130,PR!$A$4:$A$203,0)),""))</f>
        <v/>
      </c>
      <c r="G130" s="37" t="str">
        <f aca="false">IF($C130="","",IFERROR(INDEX(PR!$F$4:$F$203,MATCH($C130,PR!$A$4:$A$203,0)),""))</f>
        <v/>
      </c>
      <c r="H130" s="32"/>
      <c r="I130" s="37" t="str">
        <f aca="false">IF($H130="","",IFERROR(INDEX('Nhà cung cấp'!$B$4:$B$203,MATCH($H130,'Nhà cung cấp'!$A$4:$A$203,0)),""))</f>
        <v/>
      </c>
      <c r="J130" s="34"/>
      <c r="K130" s="34"/>
      <c r="L130" s="38" t="str">
        <f aca="false">IF($A130="","",IFERROR($J130*$K130,""))</f>
        <v/>
      </c>
      <c r="M130" s="38" t="str">
        <f aca="false">IF($C130="","",IFERROR(INDEX(PR!$L$4:$L$203,MATCH($C130,PR!$A$4:$A$203,0)),""))</f>
        <v/>
      </c>
      <c r="N130" s="38" t="str">
        <f aca="false">IF($A130="","",IFERROR($M130-$L130,""))</f>
        <v/>
      </c>
      <c r="O130" s="32"/>
      <c r="P130" s="33"/>
      <c r="Q130" s="33"/>
      <c r="R130" s="33"/>
      <c r="S130" s="37" t="str">
        <f aca="true">IF($A130="","",IF($Q130="","",IF($R130="",IF(TODAY()&gt;$Q130,"Trễ hạn","Chưa đến hạn"),IF($R130&lt;=$Q130,"Đúng hạn","Giao trễ"))))</f>
        <v/>
      </c>
      <c r="T130" s="38" t="str">
        <f aca="true">IF($A130="","",IF($Q130="",0,IF($R130="",IF(TODAY()&gt;$Q130,TODAY()-$Q130,0),MAX(0,$R130-$Q130))))</f>
        <v/>
      </c>
      <c r="U130" s="34"/>
      <c r="V130" s="34"/>
      <c r="W130" s="39" t="str">
        <f aca="false">IF($A130="","",IFERROR($V130/$U130,""))</f>
        <v/>
      </c>
      <c r="X130" s="34"/>
      <c r="Y130" s="37" t="str">
        <f aca="false">IF($A130="","",IF($U130="","",IF($W130&lt;='Tổng quan'!$C$8,"Đạt","Không đạt")))</f>
        <v/>
      </c>
      <c r="Z130" s="38" t="str">
        <f aca="false">IF($H130="","",IFERROR(INDEX('Nhà cung cấp'!$G$4:$G$203,MATCH($H130,'Nhà cung cấp'!$A$4:$A$203,0)),""))</f>
        <v/>
      </c>
      <c r="AA130" s="41" t="str">
        <f aca="false">IF($A130="","",IFERROR($R130+$Z130,""))</f>
        <v/>
      </c>
      <c r="AB130" s="32"/>
    </row>
    <row r="131" customFormat="false" ht="15" hidden="false" customHeight="false" outlineLevel="0" collapsed="false">
      <c r="A131" s="32"/>
      <c r="B131" s="33"/>
      <c r="C131" s="32"/>
      <c r="D131" s="37" t="str">
        <f aca="false">IF($C131="","",IFERROR(INDEX(PR!$D$4:$D$203,MATCH($C131,PR!$A$4:$A$203,0)),""))</f>
        <v/>
      </c>
      <c r="E131" s="37" t="str">
        <f aca="false">IF($C131="","",IFERROR(INDEX(PR!$E$4:$E$203,MATCH($C131,PR!$A$4:$A$203,0)),""))</f>
        <v/>
      </c>
      <c r="F131" s="37" t="str">
        <f aca="false">IF($C131="","",IFERROR(INDEX(PR!$G$4:$G$203,MATCH($C131,PR!$A$4:$A$203,0)),""))</f>
        <v/>
      </c>
      <c r="G131" s="37" t="str">
        <f aca="false">IF($C131="","",IFERROR(INDEX(PR!$F$4:$F$203,MATCH($C131,PR!$A$4:$A$203,0)),""))</f>
        <v/>
      </c>
      <c r="H131" s="32"/>
      <c r="I131" s="37" t="str">
        <f aca="false">IF($H131="","",IFERROR(INDEX('Nhà cung cấp'!$B$4:$B$203,MATCH($H131,'Nhà cung cấp'!$A$4:$A$203,0)),""))</f>
        <v/>
      </c>
      <c r="J131" s="34"/>
      <c r="K131" s="34"/>
      <c r="L131" s="38" t="str">
        <f aca="false">IF($A131="","",IFERROR($J131*$K131,""))</f>
        <v/>
      </c>
      <c r="M131" s="38" t="str">
        <f aca="false">IF($C131="","",IFERROR(INDEX(PR!$L$4:$L$203,MATCH($C131,PR!$A$4:$A$203,0)),""))</f>
        <v/>
      </c>
      <c r="N131" s="38" t="str">
        <f aca="false">IF($A131="","",IFERROR($M131-$L131,""))</f>
        <v/>
      </c>
      <c r="O131" s="32"/>
      <c r="P131" s="33"/>
      <c r="Q131" s="33"/>
      <c r="R131" s="33"/>
      <c r="S131" s="37" t="str">
        <f aca="true">IF($A131="","",IF($Q131="","",IF($R131="",IF(TODAY()&gt;$Q131,"Trễ hạn","Chưa đến hạn"),IF($R131&lt;=$Q131,"Đúng hạn","Giao trễ"))))</f>
        <v/>
      </c>
      <c r="T131" s="38" t="str">
        <f aca="true">IF($A131="","",IF($Q131="",0,IF($R131="",IF(TODAY()&gt;$Q131,TODAY()-$Q131,0),MAX(0,$R131-$Q131))))</f>
        <v/>
      </c>
      <c r="U131" s="34"/>
      <c r="V131" s="34"/>
      <c r="W131" s="39" t="str">
        <f aca="false">IF($A131="","",IFERROR($V131/$U131,""))</f>
        <v/>
      </c>
      <c r="X131" s="34"/>
      <c r="Y131" s="37" t="str">
        <f aca="false">IF($A131="","",IF($U131="","",IF($W131&lt;='Tổng quan'!$C$8,"Đạt","Không đạt")))</f>
        <v/>
      </c>
      <c r="Z131" s="38" t="str">
        <f aca="false">IF($H131="","",IFERROR(INDEX('Nhà cung cấp'!$G$4:$G$203,MATCH($H131,'Nhà cung cấp'!$A$4:$A$203,0)),""))</f>
        <v/>
      </c>
      <c r="AA131" s="41" t="str">
        <f aca="false">IF($A131="","",IFERROR($R131+$Z131,""))</f>
        <v/>
      </c>
      <c r="AB131" s="32"/>
    </row>
    <row r="132" customFormat="false" ht="15" hidden="false" customHeight="false" outlineLevel="0" collapsed="false">
      <c r="A132" s="32"/>
      <c r="B132" s="33"/>
      <c r="C132" s="32"/>
      <c r="D132" s="37" t="str">
        <f aca="false">IF($C132="","",IFERROR(INDEX(PR!$D$4:$D$203,MATCH($C132,PR!$A$4:$A$203,0)),""))</f>
        <v/>
      </c>
      <c r="E132" s="37" t="str">
        <f aca="false">IF($C132="","",IFERROR(INDEX(PR!$E$4:$E$203,MATCH($C132,PR!$A$4:$A$203,0)),""))</f>
        <v/>
      </c>
      <c r="F132" s="37" t="str">
        <f aca="false">IF($C132="","",IFERROR(INDEX(PR!$G$4:$G$203,MATCH($C132,PR!$A$4:$A$203,0)),""))</f>
        <v/>
      </c>
      <c r="G132" s="37" t="str">
        <f aca="false">IF($C132="","",IFERROR(INDEX(PR!$F$4:$F$203,MATCH($C132,PR!$A$4:$A$203,0)),""))</f>
        <v/>
      </c>
      <c r="H132" s="32"/>
      <c r="I132" s="37" t="str">
        <f aca="false">IF($H132="","",IFERROR(INDEX('Nhà cung cấp'!$B$4:$B$203,MATCH($H132,'Nhà cung cấp'!$A$4:$A$203,0)),""))</f>
        <v/>
      </c>
      <c r="J132" s="34"/>
      <c r="K132" s="34"/>
      <c r="L132" s="38" t="str">
        <f aca="false">IF($A132="","",IFERROR($J132*$K132,""))</f>
        <v/>
      </c>
      <c r="M132" s="38" t="str">
        <f aca="false">IF($C132="","",IFERROR(INDEX(PR!$L$4:$L$203,MATCH($C132,PR!$A$4:$A$203,0)),""))</f>
        <v/>
      </c>
      <c r="N132" s="38" t="str">
        <f aca="false">IF($A132="","",IFERROR($M132-$L132,""))</f>
        <v/>
      </c>
      <c r="O132" s="32"/>
      <c r="P132" s="33"/>
      <c r="Q132" s="33"/>
      <c r="R132" s="33"/>
      <c r="S132" s="37" t="str">
        <f aca="true">IF($A132="","",IF($Q132="","",IF($R132="",IF(TODAY()&gt;$Q132,"Trễ hạn","Chưa đến hạn"),IF($R132&lt;=$Q132,"Đúng hạn","Giao trễ"))))</f>
        <v/>
      </c>
      <c r="T132" s="38" t="str">
        <f aca="true">IF($A132="","",IF($Q132="",0,IF($R132="",IF(TODAY()&gt;$Q132,TODAY()-$Q132,0),MAX(0,$R132-$Q132))))</f>
        <v/>
      </c>
      <c r="U132" s="34"/>
      <c r="V132" s="34"/>
      <c r="W132" s="39" t="str">
        <f aca="false">IF($A132="","",IFERROR($V132/$U132,""))</f>
        <v/>
      </c>
      <c r="X132" s="34"/>
      <c r="Y132" s="37" t="str">
        <f aca="false">IF($A132="","",IF($U132="","",IF($W132&lt;='Tổng quan'!$C$8,"Đạt","Không đạt")))</f>
        <v/>
      </c>
      <c r="Z132" s="38" t="str">
        <f aca="false">IF($H132="","",IFERROR(INDEX('Nhà cung cấp'!$G$4:$G$203,MATCH($H132,'Nhà cung cấp'!$A$4:$A$203,0)),""))</f>
        <v/>
      </c>
      <c r="AA132" s="41" t="str">
        <f aca="false">IF($A132="","",IFERROR($R132+$Z132,""))</f>
        <v/>
      </c>
      <c r="AB132" s="32"/>
    </row>
    <row r="133" customFormat="false" ht="15" hidden="false" customHeight="false" outlineLevel="0" collapsed="false">
      <c r="A133" s="32"/>
      <c r="B133" s="33"/>
      <c r="C133" s="32"/>
      <c r="D133" s="37" t="str">
        <f aca="false">IF($C133="","",IFERROR(INDEX(PR!$D$4:$D$203,MATCH($C133,PR!$A$4:$A$203,0)),""))</f>
        <v/>
      </c>
      <c r="E133" s="37" t="str">
        <f aca="false">IF($C133="","",IFERROR(INDEX(PR!$E$4:$E$203,MATCH($C133,PR!$A$4:$A$203,0)),""))</f>
        <v/>
      </c>
      <c r="F133" s="37" t="str">
        <f aca="false">IF($C133="","",IFERROR(INDEX(PR!$G$4:$G$203,MATCH($C133,PR!$A$4:$A$203,0)),""))</f>
        <v/>
      </c>
      <c r="G133" s="37" t="str">
        <f aca="false">IF($C133="","",IFERROR(INDEX(PR!$F$4:$F$203,MATCH($C133,PR!$A$4:$A$203,0)),""))</f>
        <v/>
      </c>
      <c r="H133" s="32"/>
      <c r="I133" s="37" t="str">
        <f aca="false">IF($H133="","",IFERROR(INDEX('Nhà cung cấp'!$B$4:$B$203,MATCH($H133,'Nhà cung cấp'!$A$4:$A$203,0)),""))</f>
        <v/>
      </c>
      <c r="J133" s="34"/>
      <c r="K133" s="34"/>
      <c r="L133" s="38" t="str">
        <f aca="false">IF($A133="","",IFERROR($J133*$K133,""))</f>
        <v/>
      </c>
      <c r="M133" s="38" t="str">
        <f aca="false">IF($C133="","",IFERROR(INDEX(PR!$L$4:$L$203,MATCH($C133,PR!$A$4:$A$203,0)),""))</f>
        <v/>
      </c>
      <c r="N133" s="38" t="str">
        <f aca="false">IF($A133="","",IFERROR($M133-$L133,""))</f>
        <v/>
      </c>
      <c r="O133" s="32"/>
      <c r="P133" s="33"/>
      <c r="Q133" s="33"/>
      <c r="R133" s="33"/>
      <c r="S133" s="37" t="str">
        <f aca="true">IF($A133="","",IF($Q133="","",IF($R133="",IF(TODAY()&gt;$Q133,"Trễ hạn","Chưa đến hạn"),IF($R133&lt;=$Q133,"Đúng hạn","Giao trễ"))))</f>
        <v/>
      </c>
      <c r="T133" s="38" t="str">
        <f aca="true">IF($A133="","",IF($Q133="",0,IF($R133="",IF(TODAY()&gt;$Q133,TODAY()-$Q133,0),MAX(0,$R133-$Q133))))</f>
        <v/>
      </c>
      <c r="U133" s="34"/>
      <c r="V133" s="34"/>
      <c r="W133" s="39" t="str">
        <f aca="false">IF($A133="","",IFERROR($V133/$U133,""))</f>
        <v/>
      </c>
      <c r="X133" s="34"/>
      <c r="Y133" s="37" t="str">
        <f aca="false">IF($A133="","",IF($U133="","",IF($W133&lt;='Tổng quan'!$C$8,"Đạt","Không đạt")))</f>
        <v/>
      </c>
      <c r="Z133" s="38" t="str">
        <f aca="false">IF($H133="","",IFERROR(INDEX('Nhà cung cấp'!$G$4:$G$203,MATCH($H133,'Nhà cung cấp'!$A$4:$A$203,0)),""))</f>
        <v/>
      </c>
      <c r="AA133" s="41" t="str">
        <f aca="false">IF($A133="","",IFERROR($R133+$Z133,""))</f>
        <v/>
      </c>
      <c r="AB133" s="32"/>
    </row>
    <row r="134" customFormat="false" ht="15" hidden="false" customHeight="false" outlineLevel="0" collapsed="false">
      <c r="A134" s="32"/>
      <c r="B134" s="33"/>
      <c r="C134" s="32"/>
      <c r="D134" s="37" t="str">
        <f aca="false">IF($C134="","",IFERROR(INDEX(PR!$D$4:$D$203,MATCH($C134,PR!$A$4:$A$203,0)),""))</f>
        <v/>
      </c>
      <c r="E134" s="37" t="str">
        <f aca="false">IF($C134="","",IFERROR(INDEX(PR!$E$4:$E$203,MATCH($C134,PR!$A$4:$A$203,0)),""))</f>
        <v/>
      </c>
      <c r="F134" s="37" t="str">
        <f aca="false">IF($C134="","",IFERROR(INDEX(PR!$G$4:$G$203,MATCH($C134,PR!$A$4:$A$203,0)),""))</f>
        <v/>
      </c>
      <c r="G134" s="37" t="str">
        <f aca="false">IF($C134="","",IFERROR(INDEX(PR!$F$4:$F$203,MATCH($C134,PR!$A$4:$A$203,0)),""))</f>
        <v/>
      </c>
      <c r="H134" s="32"/>
      <c r="I134" s="37" t="str">
        <f aca="false">IF($H134="","",IFERROR(INDEX('Nhà cung cấp'!$B$4:$B$203,MATCH($H134,'Nhà cung cấp'!$A$4:$A$203,0)),""))</f>
        <v/>
      </c>
      <c r="J134" s="34"/>
      <c r="K134" s="34"/>
      <c r="L134" s="38" t="str">
        <f aca="false">IF($A134="","",IFERROR($J134*$K134,""))</f>
        <v/>
      </c>
      <c r="M134" s="38" t="str">
        <f aca="false">IF($C134="","",IFERROR(INDEX(PR!$L$4:$L$203,MATCH($C134,PR!$A$4:$A$203,0)),""))</f>
        <v/>
      </c>
      <c r="N134" s="38" t="str">
        <f aca="false">IF($A134="","",IFERROR($M134-$L134,""))</f>
        <v/>
      </c>
      <c r="O134" s="32"/>
      <c r="P134" s="33"/>
      <c r="Q134" s="33"/>
      <c r="R134" s="33"/>
      <c r="S134" s="37" t="str">
        <f aca="true">IF($A134="","",IF($Q134="","",IF($R134="",IF(TODAY()&gt;$Q134,"Trễ hạn","Chưa đến hạn"),IF($R134&lt;=$Q134,"Đúng hạn","Giao trễ"))))</f>
        <v/>
      </c>
      <c r="T134" s="38" t="str">
        <f aca="true">IF($A134="","",IF($Q134="",0,IF($R134="",IF(TODAY()&gt;$Q134,TODAY()-$Q134,0),MAX(0,$R134-$Q134))))</f>
        <v/>
      </c>
      <c r="U134" s="34"/>
      <c r="V134" s="34"/>
      <c r="W134" s="39" t="str">
        <f aca="false">IF($A134="","",IFERROR($V134/$U134,""))</f>
        <v/>
      </c>
      <c r="X134" s="34"/>
      <c r="Y134" s="37" t="str">
        <f aca="false">IF($A134="","",IF($U134="","",IF($W134&lt;='Tổng quan'!$C$8,"Đạt","Không đạt")))</f>
        <v/>
      </c>
      <c r="Z134" s="38" t="str">
        <f aca="false">IF($H134="","",IFERROR(INDEX('Nhà cung cấp'!$G$4:$G$203,MATCH($H134,'Nhà cung cấp'!$A$4:$A$203,0)),""))</f>
        <v/>
      </c>
      <c r="AA134" s="41" t="str">
        <f aca="false">IF($A134="","",IFERROR($R134+$Z134,""))</f>
        <v/>
      </c>
      <c r="AB134" s="32"/>
    </row>
    <row r="135" customFormat="false" ht="15" hidden="false" customHeight="false" outlineLevel="0" collapsed="false">
      <c r="A135" s="32"/>
      <c r="B135" s="33"/>
      <c r="C135" s="32"/>
      <c r="D135" s="37" t="str">
        <f aca="false">IF($C135="","",IFERROR(INDEX(PR!$D$4:$D$203,MATCH($C135,PR!$A$4:$A$203,0)),""))</f>
        <v/>
      </c>
      <c r="E135" s="37" t="str">
        <f aca="false">IF($C135="","",IFERROR(INDEX(PR!$E$4:$E$203,MATCH($C135,PR!$A$4:$A$203,0)),""))</f>
        <v/>
      </c>
      <c r="F135" s="37" t="str">
        <f aca="false">IF($C135="","",IFERROR(INDEX(PR!$G$4:$G$203,MATCH($C135,PR!$A$4:$A$203,0)),""))</f>
        <v/>
      </c>
      <c r="G135" s="37" t="str">
        <f aca="false">IF($C135="","",IFERROR(INDEX(PR!$F$4:$F$203,MATCH($C135,PR!$A$4:$A$203,0)),""))</f>
        <v/>
      </c>
      <c r="H135" s="32"/>
      <c r="I135" s="37" t="str">
        <f aca="false">IF($H135="","",IFERROR(INDEX('Nhà cung cấp'!$B$4:$B$203,MATCH($H135,'Nhà cung cấp'!$A$4:$A$203,0)),""))</f>
        <v/>
      </c>
      <c r="J135" s="34"/>
      <c r="K135" s="34"/>
      <c r="L135" s="38" t="str">
        <f aca="false">IF($A135="","",IFERROR($J135*$K135,""))</f>
        <v/>
      </c>
      <c r="M135" s="38" t="str">
        <f aca="false">IF($C135="","",IFERROR(INDEX(PR!$L$4:$L$203,MATCH($C135,PR!$A$4:$A$203,0)),""))</f>
        <v/>
      </c>
      <c r="N135" s="38" t="str">
        <f aca="false">IF($A135="","",IFERROR($M135-$L135,""))</f>
        <v/>
      </c>
      <c r="O135" s="32"/>
      <c r="P135" s="33"/>
      <c r="Q135" s="33"/>
      <c r="R135" s="33"/>
      <c r="S135" s="37" t="str">
        <f aca="true">IF($A135="","",IF($Q135="","",IF($R135="",IF(TODAY()&gt;$Q135,"Trễ hạn","Chưa đến hạn"),IF($R135&lt;=$Q135,"Đúng hạn","Giao trễ"))))</f>
        <v/>
      </c>
      <c r="T135" s="38" t="str">
        <f aca="true">IF($A135="","",IF($Q135="",0,IF($R135="",IF(TODAY()&gt;$Q135,TODAY()-$Q135,0),MAX(0,$R135-$Q135))))</f>
        <v/>
      </c>
      <c r="U135" s="34"/>
      <c r="V135" s="34"/>
      <c r="W135" s="39" t="str">
        <f aca="false">IF($A135="","",IFERROR($V135/$U135,""))</f>
        <v/>
      </c>
      <c r="X135" s="34"/>
      <c r="Y135" s="37" t="str">
        <f aca="false">IF($A135="","",IF($U135="","",IF($W135&lt;='Tổng quan'!$C$8,"Đạt","Không đạt")))</f>
        <v/>
      </c>
      <c r="Z135" s="38" t="str">
        <f aca="false">IF($H135="","",IFERROR(INDEX('Nhà cung cấp'!$G$4:$G$203,MATCH($H135,'Nhà cung cấp'!$A$4:$A$203,0)),""))</f>
        <v/>
      </c>
      <c r="AA135" s="41" t="str">
        <f aca="false">IF($A135="","",IFERROR($R135+$Z135,""))</f>
        <v/>
      </c>
      <c r="AB135" s="32"/>
    </row>
    <row r="136" customFormat="false" ht="15" hidden="false" customHeight="false" outlineLevel="0" collapsed="false">
      <c r="A136" s="32"/>
      <c r="B136" s="33"/>
      <c r="C136" s="32"/>
      <c r="D136" s="37" t="str">
        <f aca="false">IF($C136="","",IFERROR(INDEX(PR!$D$4:$D$203,MATCH($C136,PR!$A$4:$A$203,0)),""))</f>
        <v/>
      </c>
      <c r="E136" s="37" t="str">
        <f aca="false">IF($C136="","",IFERROR(INDEX(PR!$E$4:$E$203,MATCH($C136,PR!$A$4:$A$203,0)),""))</f>
        <v/>
      </c>
      <c r="F136" s="37" t="str">
        <f aca="false">IF($C136="","",IFERROR(INDEX(PR!$G$4:$G$203,MATCH($C136,PR!$A$4:$A$203,0)),""))</f>
        <v/>
      </c>
      <c r="G136" s="37" t="str">
        <f aca="false">IF($C136="","",IFERROR(INDEX(PR!$F$4:$F$203,MATCH($C136,PR!$A$4:$A$203,0)),""))</f>
        <v/>
      </c>
      <c r="H136" s="32"/>
      <c r="I136" s="37" t="str">
        <f aca="false">IF($H136="","",IFERROR(INDEX('Nhà cung cấp'!$B$4:$B$203,MATCH($H136,'Nhà cung cấp'!$A$4:$A$203,0)),""))</f>
        <v/>
      </c>
      <c r="J136" s="34"/>
      <c r="K136" s="34"/>
      <c r="L136" s="38" t="str">
        <f aca="false">IF($A136="","",IFERROR($J136*$K136,""))</f>
        <v/>
      </c>
      <c r="M136" s="38" t="str">
        <f aca="false">IF($C136="","",IFERROR(INDEX(PR!$L$4:$L$203,MATCH($C136,PR!$A$4:$A$203,0)),""))</f>
        <v/>
      </c>
      <c r="N136" s="38" t="str">
        <f aca="false">IF($A136="","",IFERROR($M136-$L136,""))</f>
        <v/>
      </c>
      <c r="O136" s="32"/>
      <c r="P136" s="33"/>
      <c r="Q136" s="33"/>
      <c r="R136" s="33"/>
      <c r="S136" s="37" t="str">
        <f aca="true">IF($A136="","",IF($Q136="","",IF($R136="",IF(TODAY()&gt;$Q136,"Trễ hạn","Chưa đến hạn"),IF($R136&lt;=$Q136,"Đúng hạn","Giao trễ"))))</f>
        <v/>
      </c>
      <c r="T136" s="38" t="str">
        <f aca="true">IF($A136="","",IF($Q136="",0,IF($R136="",IF(TODAY()&gt;$Q136,TODAY()-$Q136,0),MAX(0,$R136-$Q136))))</f>
        <v/>
      </c>
      <c r="U136" s="34"/>
      <c r="V136" s="34"/>
      <c r="W136" s="39" t="str">
        <f aca="false">IF($A136="","",IFERROR($V136/$U136,""))</f>
        <v/>
      </c>
      <c r="X136" s="34"/>
      <c r="Y136" s="37" t="str">
        <f aca="false">IF($A136="","",IF($U136="","",IF($W136&lt;='Tổng quan'!$C$8,"Đạt","Không đạt")))</f>
        <v/>
      </c>
      <c r="Z136" s="38" t="str">
        <f aca="false">IF($H136="","",IFERROR(INDEX('Nhà cung cấp'!$G$4:$G$203,MATCH($H136,'Nhà cung cấp'!$A$4:$A$203,0)),""))</f>
        <v/>
      </c>
      <c r="AA136" s="41" t="str">
        <f aca="false">IF($A136="","",IFERROR($R136+$Z136,""))</f>
        <v/>
      </c>
      <c r="AB136" s="32"/>
    </row>
    <row r="137" customFormat="false" ht="15" hidden="false" customHeight="false" outlineLevel="0" collapsed="false">
      <c r="A137" s="32"/>
      <c r="B137" s="33"/>
      <c r="C137" s="32"/>
      <c r="D137" s="37" t="str">
        <f aca="false">IF($C137="","",IFERROR(INDEX(PR!$D$4:$D$203,MATCH($C137,PR!$A$4:$A$203,0)),""))</f>
        <v/>
      </c>
      <c r="E137" s="37" t="str">
        <f aca="false">IF($C137="","",IFERROR(INDEX(PR!$E$4:$E$203,MATCH($C137,PR!$A$4:$A$203,0)),""))</f>
        <v/>
      </c>
      <c r="F137" s="37" t="str">
        <f aca="false">IF($C137="","",IFERROR(INDEX(PR!$G$4:$G$203,MATCH($C137,PR!$A$4:$A$203,0)),""))</f>
        <v/>
      </c>
      <c r="G137" s="37" t="str">
        <f aca="false">IF($C137="","",IFERROR(INDEX(PR!$F$4:$F$203,MATCH($C137,PR!$A$4:$A$203,0)),""))</f>
        <v/>
      </c>
      <c r="H137" s="32"/>
      <c r="I137" s="37" t="str">
        <f aca="false">IF($H137="","",IFERROR(INDEX('Nhà cung cấp'!$B$4:$B$203,MATCH($H137,'Nhà cung cấp'!$A$4:$A$203,0)),""))</f>
        <v/>
      </c>
      <c r="J137" s="34"/>
      <c r="K137" s="34"/>
      <c r="L137" s="38" t="str">
        <f aca="false">IF($A137="","",IFERROR($J137*$K137,""))</f>
        <v/>
      </c>
      <c r="M137" s="38" t="str">
        <f aca="false">IF($C137="","",IFERROR(INDEX(PR!$L$4:$L$203,MATCH($C137,PR!$A$4:$A$203,0)),""))</f>
        <v/>
      </c>
      <c r="N137" s="38" t="str">
        <f aca="false">IF($A137="","",IFERROR($M137-$L137,""))</f>
        <v/>
      </c>
      <c r="O137" s="32"/>
      <c r="P137" s="33"/>
      <c r="Q137" s="33"/>
      <c r="R137" s="33"/>
      <c r="S137" s="37" t="str">
        <f aca="true">IF($A137="","",IF($Q137="","",IF($R137="",IF(TODAY()&gt;$Q137,"Trễ hạn","Chưa đến hạn"),IF($R137&lt;=$Q137,"Đúng hạn","Giao trễ"))))</f>
        <v/>
      </c>
      <c r="T137" s="38" t="str">
        <f aca="true">IF($A137="","",IF($Q137="",0,IF($R137="",IF(TODAY()&gt;$Q137,TODAY()-$Q137,0),MAX(0,$R137-$Q137))))</f>
        <v/>
      </c>
      <c r="U137" s="34"/>
      <c r="V137" s="34"/>
      <c r="W137" s="39" t="str">
        <f aca="false">IF($A137="","",IFERROR($V137/$U137,""))</f>
        <v/>
      </c>
      <c r="X137" s="34"/>
      <c r="Y137" s="37" t="str">
        <f aca="false">IF($A137="","",IF($U137="","",IF($W137&lt;='Tổng quan'!$C$8,"Đạt","Không đạt")))</f>
        <v/>
      </c>
      <c r="Z137" s="38" t="str">
        <f aca="false">IF($H137="","",IFERROR(INDEX('Nhà cung cấp'!$G$4:$G$203,MATCH($H137,'Nhà cung cấp'!$A$4:$A$203,0)),""))</f>
        <v/>
      </c>
      <c r="AA137" s="41" t="str">
        <f aca="false">IF($A137="","",IFERROR($R137+$Z137,""))</f>
        <v/>
      </c>
      <c r="AB137" s="32"/>
    </row>
    <row r="138" customFormat="false" ht="15" hidden="false" customHeight="false" outlineLevel="0" collapsed="false">
      <c r="A138" s="32"/>
      <c r="B138" s="33"/>
      <c r="C138" s="32"/>
      <c r="D138" s="37" t="str">
        <f aca="false">IF($C138="","",IFERROR(INDEX(PR!$D$4:$D$203,MATCH($C138,PR!$A$4:$A$203,0)),""))</f>
        <v/>
      </c>
      <c r="E138" s="37" t="str">
        <f aca="false">IF($C138="","",IFERROR(INDEX(PR!$E$4:$E$203,MATCH($C138,PR!$A$4:$A$203,0)),""))</f>
        <v/>
      </c>
      <c r="F138" s="37" t="str">
        <f aca="false">IF($C138="","",IFERROR(INDEX(PR!$G$4:$G$203,MATCH($C138,PR!$A$4:$A$203,0)),""))</f>
        <v/>
      </c>
      <c r="G138" s="37" t="str">
        <f aca="false">IF($C138="","",IFERROR(INDEX(PR!$F$4:$F$203,MATCH($C138,PR!$A$4:$A$203,0)),""))</f>
        <v/>
      </c>
      <c r="H138" s="32"/>
      <c r="I138" s="37" t="str">
        <f aca="false">IF($H138="","",IFERROR(INDEX('Nhà cung cấp'!$B$4:$B$203,MATCH($H138,'Nhà cung cấp'!$A$4:$A$203,0)),""))</f>
        <v/>
      </c>
      <c r="J138" s="34"/>
      <c r="K138" s="34"/>
      <c r="L138" s="38" t="str">
        <f aca="false">IF($A138="","",IFERROR($J138*$K138,""))</f>
        <v/>
      </c>
      <c r="M138" s="38" t="str">
        <f aca="false">IF($C138="","",IFERROR(INDEX(PR!$L$4:$L$203,MATCH($C138,PR!$A$4:$A$203,0)),""))</f>
        <v/>
      </c>
      <c r="N138" s="38" t="str">
        <f aca="false">IF($A138="","",IFERROR($M138-$L138,""))</f>
        <v/>
      </c>
      <c r="O138" s="32"/>
      <c r="P138" s="33"/>
      <c r="Q138" s="33"/>
      <c r="R138" s="33"/>
      <c r="S138" s="37" t="str">
        <f aca="true">IF($A138="","",IF($Q138="","",IF($R138="",IF(TODAY()&gt;$Q138,"Trễ hạn","Chưa đến hạn"),IF($R138&lt;=$Q138,"Đúng hạn","Giao trễ"))))</f>
        <v/>
      </c>
      <c r="T138" s="38" t="str">
        <f aca="true">IF($A138="","",IF($Q138="",0,IF($R138="",IF(TODAY()&gt;$Q138,TODAY()-$Q138,0),MAX(0,$R138-$Q138))))</f>
        <v/>
      </c>
      <c r="U138" s="34"/>
      <c r="V138" s="34"/>
      <c r="W138" s="39" t="str">
        <f aca="false">IF($A138="","",IFERROR($V138/$U138,""))</f>
        <v/>
      </c>
      <c r="X138" s="34"/>
      <c r="Y138" s="37" t="str">
        <f aca="false">IF($A138="","",IF($U138="","",IF($W138&lt;='Tổng quan'!$C$8,"Đạt","Không đạt")))</f>
        <v/>
      </c>
      <c r="Z138" s="38" t="str">
        <f aca="false">IF($H138="","",IFERROR(INDEX('Nhà cung cấp'!$G$4:$G$203,MATCH($H138,'Nhà cung cấp'!$A$4:$A$203,0)),""))</f>
        <v/>
      </c>
      <c r="AA138" s="41" t="str">
        <f aca="false">IF($A138="","",IFERROR($R138+$Z138,""))</f>
        <v/>
      </c>
      <c r="AB138" s="32"/>
    </row>
    <row r="139" customFormat="false" ht="15" hidden="false" customHeight="false" outlineLevel="0" collapsed="false">
      <c r="A139" s="32"/>
      <c r="B139" s="33"/>
      <c r="C139" s="32"/>
      <c r="D139" s="37" t="str">
        <f aca="false">IF($C139="","",IFERROR(INDEX(PR!$D$4:$D$203,MATCH($C139,PR!$A$4:$A$203,0)),""))</f>
        <v/>
      </c>
      <c r="E139" s="37" t="str">
        <f aca="false">IF($C139="","",IFERROR(INDEX(PR!$E$4:$E$203,MATCH($C139,PR!$A$4:$A$203,0)),""))</f>
        <v/>
      </c>
      <c r="F139" s="37" t="str">
        <f aca="false">IF($C139="","",IFERROR(INDEX(PR!$G$4:$G$203,MATCH($C139,PR!$A$4:$A$203,0)),""))</f>
        <v/>
      </c>
      <c r="G139" s="37" t="str">
        <f aca="false">IF($C139="","",IFERROR(INDEX(PR!$F$4:$F$203,MATCH($C139,PR!$A$4:$A$203,0)),""))</f>
        <v/>
      </c>
      <c r="H139" s="32"/>
      <c r="I139" s="37" t="str">
        <f aca="false">IF($H139="","",IFERROR(INDEX('Nhà cung cấp'!$B$4:$B$203,MATCH($H139,'Nhà cung cấp'!$A$4:$A$203,0)),""))</f>
        <v/>
      </c>
      <c r="J139" s="34"/>
      <c r="K139" s="34"/>
      <c r="L139" s="38" t="str">
        <f aca="false">IF($A139="","",IFERROR($J139*$K139,""))</f>
        <v/>
      </c>
      <c r="M139" s="38" t="str">
        <f aca="false">IF($C139="","",IFERROR(INDEX(PR!$L$4:$L$203,MATCH($C139,PR!$A$4:$A$203,0)),""))</f>
        <v/>
      </c>
      <c r="N139" s="38" t="str">
        <f aca="false">IF($A139="","",IFERROR($M139-$L139,""))</f>
        <v/>
      </c>
      <c r="O139" s="32"/>
      <c r="P139" s="33"/>
      <c r="Q139" s="33"/>
      <c r="R139" s="33"/>
      <c r="S139" s="37" t="str">
        <f aca="true">IF($A139="","",IF($Q139="","",IF($R139="",IF(TODAY()&gt;$Q139,"Trễ hạn","Chưa đến hạn"),IF($R139&lt;=$Q139,"Đúng hạn","Giao trễ"))))</f>
        <v/>
      </c>
      <c r="T139" s="38" t="str">
        <f aca="true">IF($A139="","",IF($Q139="",0,IF($R139="",IF(TODAY()&gt;$Q139,TODAY()-$Q139,0),MAX(0,$R139-$Q139))))</f>
        <v/>
      </c>
      <c r="U139" s="34"/>
      <c r="V139" s="34"/>
      <c r="W139" s="39" t="str">
        <f aca="false">IF($A139="","",IFERROR($V139/$U139,""))</f>
        <v/>
      </c>
      <c r="X139" s="34"/>
      <c r="Y139" s="37" t="str">
        <f aca="false">IF($A139="","",IF($U139="","",IF($W139&lt;='Tổng quan'!$C$8,"Đạt","Không đạt")))</f>
        <v/>
      </c>
      <c r="Z139" s="38" t="str">
        <f aca="false">IF($H139="","",IFERROR(INDEX('Nhà cung cấp'!$G$4:$G$203,MATCH($H139,'Nhà cung cấp'!$A$4:$A$203,0)),""))</f>
        <v/>
      </c>
      <c r="AA139" s="41" t="str">
        <f aca="false">IF($A139="","",IFERROR($R139+$Z139,""))</f>
        <v/>
      </c>
      <c r="AB139" s="32"/>
    </row>
    <row r="140" customFormat="false" ht="15" hidden="false" customHeight="false" outlineLevel="0" collapsed="false">
      <c r="A140" s="32"/>
      <c r="B140" s="33"/>
      <c r="C140" s="32"/>
      <c r="D140" s="37" t="str">
        <f aca="false">IF($C140="","",IFERROR(INDEX(PR!$D$4:$D$203,MATCH($C140,PR!$A$4:$A$203,0)),""))</f>
        <v/>
      </c>
      <c r="E140" s="37" t="str">
        <f aca="false">IF($C140="","",IFERROR(INDEX(PR!$E$4:$E$203,MATCH($C140,PR!$A$4:$A$203,0)),""))</f>
        <v/>
      </c>
      <c r="F140" s="37" t="str">
        <f aca="false">IF($C140="","",IFERROR(INDEX(PR!$G$4:$G$203,MATCH($C140,PR!$A$4:$A$203,0)),""))</f>
        <v/>
      </c>
      <c r="G140" s="37" t="str">
        <f aca="false">IF($C140="","",IFERROR(INDEX(PR!$F$4:$F$203,MATCH($C140,PR!$A$4:$A$203,0)),""))</f>
        <v/>
      </c>
      <c r="H140" s="32"/>
      <c r="I140" s="37" t="str">
        <f aca="false">IF($H140="","",IFERROR(INDEX('Nhà cung cấp'!$B$4:$B$203,MATCH($H140,'Nhà cung cấp'!$A$4:$A$203,0)),""))</f>
        <v/>
      </c>
      <c r="J140" s="34"/>
      <c r="K140" s="34"/>
      <c r="L140" s="38" t="str">
        <f aca="false">IF($A140="","",IFERROR($J140*$K140,""))</f>
        <v/>
      </c>
      <c r="M140" s="38" t="str">
        <f aca="false">IF($C140="","",IFERROR(INDEX(PR!$L$4:$L$203,MATCH($C140,PR!$A$4:$A$203,0)),""))</f>
        <v/>
      </c>
      <c r="N140" s="38" t="str">
        <f aca="false">IF($A140="","",IFERROR($M140-$L140,""))</f>
        <v/>
      </c>
      <c r="O140" s="32"/>
      <c r="P140" s="33"/>
      <c r="Q140" s="33"/>
      <c r="R140" s="33"/>
      <c r="S140" s="37" t="str">
        <f aca="true">IF($A140="","",IF($Q140="","",IF($R140="",IF(TODAY()&gt;$Q140,"Trễ hạn","Chưa đến hạn"),IF($R140&lt;=$Q140,"Đúng hạn","Giao trễ"))))</f>
        <v/>
      </c>
      <c r="T140" s="38" t="str">
        <f aca="true">IF($A140="","",IF($Q140="",0,IF($R140="",IF(TODAY()&gt;$Q140,TODAY()-$Q140,0),MAX(0,$R140-$Q140))))</f>
        <v/>
      </c>
      <c r="U140" s="34"/>
      <c r="V140" s="34"/>
      <c r="W140" s="39" t="str">
        <f aca="false">IF($A140="","",IFERROR($V140/$U140,""))</f>
        <v/>
      </c>
      <c r="X140" s="34"/>
      <c r="Y140" s="37" t="str">
        <f aca="false">IF($A140="","",IF($U140="","",IF($W140&lt;='Tổng quan'!$C$8,"Đạt","Không đạt")))</f>
        <v/>
      </c>
      <c r="Z140" s="38" t="str">
        <f aca="false">IF($H140="","",IFERROR(INDEX('Nhà cung cấp'!$G$4:$G$203,MATCH($H140,'Nhà cung cấp'!$A$4:$A$203,0)),""))</f>
        <v/>
      </c>
      <c r="AA140" s="41" t="str">
        <f aca="false">IF($A140="","",IFERROR($R140+$Z140,""))</f>
        <v/>
      </c>
      <c r="AB140" s="32"/>
    </row>
    <row r="141" customFormat="false" ht="15" hidden="false" customHeight="false" outlineLevel="0" collapsed="false">
      <c r="A141" s="32"/>
      <c r="B141" s="33"/>
      <c r="C141" s="32"/>
      <c r="D141" s="37" t="str">
        <f aca="false">IF($C141="","",IFERROR(INDEX(PR!$D$4:$D$203,MATCH($C141,PR!$A$4:$A$203,0)),""))</f>
        <v/>
      </c>
      <c r="E141" s="37" t="str">
        <f aca="false">IF($C141="","",IFERROR(INDEX(PR!$E$4:$E$203,MATCH($C141,PR!$A$4:$A$203,0)),""))</f>
        <v/>
      </c>
      <c r="F141" s="37" t="str">
        <f aca="false">IF($C141="","",IFERROR(INDEX(PR!$G$4:$G$203,MATCH($C141,PR!$A$4:$A$203,0)),""))</f>
        <v/>
      </c>
      <c r="G141" s="37" t="str">
        <f aca="false">IF($C141="","",IFERROR(INDEX(PR!$F$4:$F$203,MATCH($C141,PR!$A$4:$A$203,0)),""))</f>
        <v/>
      </c>
      <c r="H141" s="32"/>
      <c r="I141" s="37" t="str">
        <f aca="false">IF($H141="","",IFERROR(INDEX('Nhà cung cấp'!$B$4:$B$203,MATCH($H141,'Nhà cung cấp'!$A$4:$A$203,0)),""))</f>
        <v/>
      </c>
      <c r="J141" s="34"/>
      <c r="K141" s="34"/>
      <c r="L141" s="38" t="str">
        <f aca="false">IF($A141="","",IFERROR($J141*$K141,""))</f>
        <v/>
      </c>
      <c r="M141" s="38" t="str">
        <f aca="false">IF($C141="","",IFERROR(INDEX(PR!$L$4:$L$203,MATCH($C141,PR!$A$4:$A$203,0)),""))</f>
        <v/>
      </c>
      <c r="N141" s="38" t="str">
        <f aca="false">IF($A141="","",IFERROR($M141-$L141,""))</f>
        <v/>
      </c>
      <c r="O141" s="32"/>
      <c r="P141" s="33"/>
      <c r="Q141" s="33"/>
      <c r="R141" s="33"/>
      <c r="S141" s="37" t="str">
        <f aca="true">IF($A141="","",IF($Q141="","",IF($R141="",IF(TODAY()&gt;$Q141,"Trễ hạn","Chưa đến hạn"),IF($R141&lt;=$Q141,"Đúng hạn","Giao trễ"))))</f>
        <v/>
      </c>
      <c r="T141" s="38" t="str">
        <f aca="true">IF($A141="","",IF($Q141="",0,IF($R141="",IF(TODAY()&gt;$Q141,TODAY()-$Q141,0),MAX(0,$R141-$Q141))))</f>
        <v/>
      </c>
      <c r="U141" s="34"/>
      <c r="V141" s="34"/>
      <c r="W141" s="39" t="str">
        <f aca="false">IF($A141="","",IFERROR($V141/$U141,""))</f>
        <v/>
      </c>
      <c r="X141" s="34"/>
      <c r="Y141" s="37" t="str">
        <f aca="false">IF($A141="","",IF($U141="","",IF($W141&lt;='Tổng quan'!$C$8,"Đạt","Không đạt")))</f>
        <v/>
      </c>
      <c r="Z141" s="38" t="str">
        <f aca="false">IF($H141="","",IFERROR(INDEX('Nhà cung cấp'!$G$4:$G$203,MATCH($H141,'Nhà cung cấp'!$A$4:$A$203,0)),""))</f>
        <v/>
      </c>
      <c r="AA141" s="41" t="str">
        <f aca="false">IF($A141="","",IFERROR($R141+$Z141,""))</f>
        <v/>
      </c>
      <c r="AB141" s="32"/>
    </row>
    <row r="142" customFormat="false" ht="15" hidden="false" customHeight="false" outlineLevel="0" collapsed="false">
      <c r="A142" s="32"/>
      <c r="B142" s="33"/>
      <c r="C142" s="32"/>
      <c r="D142" s="37" t="str">
        <f aca="false">IF($C142="","",IFERROR(INDEX(PR!$D$4:$D$203,MATCH($C142,PR!$A$4:$A$203,0)),""))</f>
        <v/>
      </c>
      <c r="E142" s="37" t="str">
        <f aca="false">IF($C142="","",IFERROR(INDEX(PR!$E$4:$E$203,MATCH($C142,PR!$A$4:$A$203,0)),""))</f>
        <v/>
      </c>
      <c r="F142" s="37" t="str">
        <f aca="false">IF($C142="","",IFERROR(INDEX(PR!$G$4:$G$203,MATCH($C142,PR!$A$4:$A$203,0)),""))</f>
        <v/>
      </c>
      <c r="G142" s="37" t="str">
        <f aca="false">IF($C142="","",IFERROR(INDEX(PR!$F$4:$F$203,MATCH($C142,PR!$A$4:$A$203,0)),""))</f>
        <v/>
      </c>
      <c r="H142" s="32"/>
      <c r="I142" s="37" t="str">
        <f aca="false">IF($H142="","",IFERROR(INDEX('Nhà cung cấp'!$B$4:$B$203,MATCH($H142,'Nhà cung cấp'!$A$4:$A$203,0)),""))</f>
        <v/>
      </c>
      <c r="J142" s="34"/>
      <c r="K142" s="34"/>
      <c r="L142" s="38" t="str">
        <f aca="false">IF($A142="","",IFERROR($J142*$K142,""))</f>
        <v/>
      </c>
      <c r="M142" s="38" t="str">
        <f aca="false">IF($C142="","",IFERROR(INDEX(PR!$L$4:$L$203,MATCH($C142,PR!$A$4:$A$203,0)),""))</f>
        <v/>
      </c>
      <c r="N142" s="38" t="str">
        <f aca="false">IF($A142="","",IFERROR($M142-$L142,""))</f>
        <v/>
      </c>
      <c r="O142" s="32"/>
      <c r="P142" s="33"/>
      <c r="Q142" s="33"/>
      <c r="R142" s="33"/>
      <c r="S142" s="37" t="str">
        <f aca="true">IF($A142="","",IF($Q142="","",IF($R142="",IF(TODAY()&gt;$Q142,"Trễ hạn","Chưa đến hạn"),IF($R142&lt;=$Q142,"Đúng hạn","Giao trễ"))))</f>
        <v/>
      </c>
      <c r="T142" s="38" t="str">
        <f aca="true">IF($A142="","",IF($Q142="",0,IF($R142="",IF(TODAY()&gt;$Q142,TODAY()-$Q142,0),MAX(0,$R142-$Q142))))</f>
        <v/>
      </c>
      <c r="U142" s="34"/>
      <c r="V142" s="34"/>
      <c r="W142" s="39" t="str">
        <f aca="false">IF($A142="","",IFERROR($V142/$U142,""))</f>
        <v/>
      </c>
      <c r="X142" s="34"/>
      <c r="Y142" s="37" t="str">
        <f aca="false">IF($A142="","",IF($U142="","",IF($W142&lt;='Tổng quan'!$C$8,"Đạt","Không đạt")))</f>
        <v/>
      </c>
      <c r="Z142" s="38" t="str">
        <f aca="false">IF($H142="","",IFERROR(INDEX('Nhà cung cấp'!$G$4:$G$203,MATCH($H142,'Nhà cung cấp'!$A$4:$A$203,0)),""))</f>
        <v/>
      </c>
      <c r="AA142" s="41" t="str">
        <f aca="false">IF($A142="","",IFERROR($R142+$Z142,""))</f>
        <v/>
      </c>
      <c r="AB142" s="32"/>
    </row>
    <row r="143" customFormat="false" ht="15" hidden="false" customHeight="false" outlineLevel="0" collapsed="false">
      <c r="A143" s="32"/>
      <c r="B143" s="33"/>
      <c r="C143" s="32"/>
      <c r="D143" s="37" t="str">
        <f aca="false">IF($C143="","",IFERROR(INDEX(PR!$D$4:$D$203,MATCH($C143,PR!$A$4:$A$203,0)),""))</f>
        <v/>
      </c>
      <c r="E143" s="37" t="str">
        <f aca="false">IF($C143="","",IFERROR(INDEX(PR!$E$4:$E$203,MATCH($C143,PR!$A$4:$A$203,0)),""))</f>
        <v/>
      </c>
      <c r="F143" s="37" t="str">
        <f aca="false">IF($C143="","",IFERROR(INDEX(PR!$G$4:$G$203,MATCH($C143,PR!$A$4:$A$203,0)),""))</f>
        <v/>
      </c>
      <c r="G143" s="37" t="str">
        <f aca="false">IF($C143="","",IFERROR(INDEX(PR!$F$4:$F$203,MATCH($C143,PR!$A$4:$A$203,0)),""))</f>
        <v/>
      </c>
      <c r="H143" s="32"/>
      <c r="I143" s="37" t="str">
        <f aca="false">IF($H143="","",IFERROR(INDEX('Nhà cung cấp'!$B$4:$B$203,MATCH($H143,'Nhà cung cấp'!$A$4:$A$203,0)),""))</f>
        <v/>
      </c>
      <c r="J143" s="34"/>
      <c r="K143" s="34"/>
      <c r="L143" s="38" t="str">
        <f aca="false">IF($A143="","",IFERROR($J143*$K143,""))</f>
        <v/>
      </c>
      <c r="M143" s="38" t="str">
        <f aca="false">IF($C143="","",IFERROR(INDEX(PR!$L$4:$L$203,MATCH($C143,PR!$A$4:$A$203,0)),""))</f>
        <v/>
      </c>
      <c r="N143" s="38" t="str">
        <f aca="false">IF($A143="","",IFERROR($M143-$L143,""))</f>
        <v/>
      </c>
      <c r="O143" s="32"/>
      <c r="P143" s="33"/>
      <c r="Q143" s="33"/>
      <c r="R143" s="33"/>
      <c r="S143" s="37" t="str">
        <f aca="true">IF($A143="","",IF($Q143="","",IF($R143="",IF(TODAY()&gt;$Q143,"Trễ hạn","Chưa đến hạn"),IF($R143&lt;=$Q143,"Đúng hạn","Giao trễ"))))</f>
        <v/>
      </c>
      <c r="T143" s="38" t="str">
        <f aca="true">IF($A143="","",IF($Q143="",0,IF($R143="",IF(TODAY()&gt;$Q143,TODAY()-$Q143,0),MAX(0,$R143-$Q143))))</f>
        <v/>
      </c>
      <c r="U143" s="34"/>
      <c r="V143" s="34"/>
      <c r="W143" s="39" t="str">
        <f aca="false">IF($A143="","",IFERROR($V143/$U143,""))</f>
        <v/>
      </c>
      <c r="X143" s="34"/>
      <c r="Y143" s="37" t="str">
        <f aca="false">IF($A143="","",IF($U143="","",IF($W143&lt;='Tổng quan'!$C$8,"Đạt","Không đạt")))</f>
        <v/>
      </c>
      <c r="Z143" s="38" t="str">
        <f aca="false">IF($H143="","",IFERROR(INDEX('Nhà cung cấp'!$G$4:$G$203,MATCH($H143,'Nhà cung cấp'!$A$4:$A$203,0)),""))</f>
        <v/>
      </c>
      <c r="AA143" s="41" t="str">
        <f aca="false">IF($A143="","",IFERROR($R143+$Z143,""))</f>
        <v/>
      </c>
      <c r="AB143" s="32"/>
    </row>
    <row r="144" customFormat="false" ht="15" hidden="false" customHeight="false" outlineLevel="0" collapsed="false">
      <c r="A144" s="32"/>
      <c r="B144" s="33"/>
      <c r="C144" s="32"/>
      <c r="D144" s="37" t="str">
        <f aca="false">IF($C144="","",IFERROR(INDEX(PR!$D$4:$D$203,MATCH($C144,PR!$A$4:$A$203,0)),""))</f>
        <v/>
      </c>
      <c r="E144" s="37" t="str">
        <f aca="false">IF($C144="","",IFERROR(INDEX(PR!$E$4:$E$203,MATCH($C144,PR!$A$4:$A$203,0)),""))</f>
        <v/>
      </c>
      <c r="F144" s="37" t="str">
        <f aca="false">IF($C144="","",IFERROR(INDEX(PR!$G$4:$G$203,MATCH($C144,PR!$A$4:$A$203,0)),""))</f>
        <v/>
      </c>
      <c r="G144" s="37" t="str">
        <f aca="false">IF($C144="","",IFERROR(INDEX(PR!$F$4:$F$203,MATCH($C144,PR!$A$4:$A$203,0)),""))</f>
        <v/>
      </c>
      <c r="H144" s="32"/>
      <c r="I144" s="37" t="str">
        <f aca="false">IF($H144="","",IFERROR(INDEX('Nhà cung cấp'!$B$4:$B$203,MATCH($H144,'Nhà cung cấp'!$A$4:$A$203,0)),""))</f>
        <v/>
      </c>
      <c r="J144" s="34"/>
      <c r="K144" s="34"/>
      <c r="L144" s="38" t="str">
        <f aca="false">IF($A144="","",IFERROR($J144*$K144,""))</f>
        <v/>
      </c>
      <c r="M144" s="38" t="str">
        <f aca="false">IF($C144="","",IFERROR(INDEX(PR!$L$4:$L$203,MATCH($C144,PR!$A$4:$A$203,0)),""))</f>
        <v/>
      </c>
      <c r="N144" s="38" t="str">
        <f aca="false">IF($A144="","",IFERROR($M144-$L144,""))</f>
        <v/>
      </c>
      <c r="O144" s="32"/>
      <c r="P144" s="33"/>
      <c r="Q144" s="33"/>
      <c r="R144" s="33"/>
      <c r="S144" s="37" t="str">
        <f aca="true">IF($A144="","",IF($Q144="","",IF($R144="",IF(TODAY()&gt;$Q144,"Trễ hạn","Chưa đến hạn"),IF($R144&lt;=$Q144,"Đúng hạn","Giao trễ"))))</f>
        <v/>
      </c>
      <c r="T144" s="38" t="str">
        <f aca="true">IF($A144="","",IF($Q144="",0,IF($R144="",IF(TODAY()&gt;$Q144,TODAY()-$Q144,0),MAX(0,$R144-$Q144))))</f>
        <v/>
      </c>
      <c r="U144" s="34"/>
      <c r="V144" s="34"/>
      <c r="W144" s="39" t="str">
        <f aca="false">IF($A144="","",IFERROR($V144/$U144,""))</f>
        <v/>
      </c>
      <c r="X144" s="34"/>
      <c r="Y144" s="37" t="str">
        <f aca="false">IF($A144="","",IF($U144="","",IF($W144&lt;='Tổng quan'!$C$8,"Đạt","Không đạt")))</f>
        <v/>
      </c>
      <c r="Z144" s="38" t="str">
        <f aca="false">IF($H144="","",IFERROR(INDEX('Nhà cung cấp'!$G$4:$G$203,MATCH($H144,'Nhà cung cấp'!$A$4:$A$203,0)),""))</f>
        <v/>
      </c>
      <c r="AA144" s="41" t="str">
        <f aca="false">IF($A144="","",IFERROR($R144+$Z144,""))</f>
        <v/>
      </c>
      <c r="AB144" s="32"/>
    </row>
    <row r="145" customFormat="false" ht="15" hidden="false" customHeight="false" outlineLevel="0" collapsed="false">
      <c r="A145" s="32"/>
      <c r="B145" s="33"/>
      <c r="C145" s="32"/>
      <c r="D145" s="37" t="str">
        <f aca="false">IF($C145="","",IFERROR(INDEX(PR!$D$4:$D$203,MATCH($C145,PR!$A$4:$A$203,0)),""))</f>
        <v/>
      </c>
      <c r="E145" s="37" t="str">
        <f aca="false">IF($C145="","",IFERROR(INDEX(PR!$E$4:$E$203,MATCH($C145,PR!$A$4:$A$203,0)),""))</f>
        <v/>
      </c>
      <c r="F145" s="37" t="str">
        <f aca="false">IF($C145="","",IFERROR(INDEX(PR!$G$4:$G$203,MATCH($C145,PR!$A$4:$A$203,0)),""))</f>
        <v/>
      </c>
      <c r="G145" s="37" t="str">
        <f aca="false">IF($C145="","",IFERROR(INDEX(PR!$F$4:$F$203,MATCH($C145,PR!$A$4:$A$203,0)),""))</f>
        <v/>
      </c>
      <c r="H145" s="32"/>
      <c r="I145" s="37" t="str">
        <f aca="false">IF($H145="","",IFERROR(INDEX('Nhà cung cấp'!$B$4:$B$203,MATCH($H145,'Nhà cung cấp'!$A$4:$A$203,0)),""))</f>
        <v/>
      </c>
      <c r="J145" s="34"/>
      <c r="K145" s="34"/>
      <c r="L145" s="38" t="str">
        <f aca="false">IF($A145="","",IFERROR($J145*$K145,""))</f>
        <v/>
      </c>
      <c r="M145" s="38" t="str">
        <f aca="false">IF($C145="","",IFERROR(INDEX(PR!$L$4:$L$203,MATCH($C145,PR!$A$4:$A$203,0)),""))</f>
        <v/>
      </c>
      <c r="N145" s="38" t="str">
        <f aca="false">IF($A145="","",IFERROR($M145-$L145,""))</f>
        <v/>
      </c>
      <c r="O145" s="32"/>
      <c r="P145" s="33"/>
      <c r="Q145" s="33"/>
      <c r="R145" s="33"/>
      <c r="S145" s="37" t="str">
        <f aca="true">IF($A145="","",IF($Q145="","",IF($R145="",IF(TODAY()&gt;$Q145,"Trễ hạn","Chưa đến hạn"),IF($R145&lt;=$Q145,"Đúng hạn","Giao trễ"))))</f>
        <v/>
      </c>
      <c r="T145" s="38" t="str">
        <f aca="true">IF($A145="","",IF($Q145="",0,IF($R145="",IF(TODAY()&gt;$Q145,TODAY()-$Q145,0),MAX(0,$R145-$Q145))))</f>
        <v/>
      </c>
      <c r="U145" s="34"/>
      <c r="V145" s="34"/>
      <c r="W145" s="39" t="str">
        <f aca="false">IF($A145="","",IFERROR($V145/$U145,""))</f>
        <v/>
      </c>
      <c r="X145" s="34"/>
      <c r="Y145" s="37" t="str">
        <f aca="false">IF($A145="","",IF($U145="","",IF($W145&lt;='Tổng quan'!$C$8,"Đạt","Không đạt")))</f>
        <v/>
      </c>
      <c r="Z145" s="38" t="str">
        <f aca="false">IF($H145="","",IFERROR(INDEX('Nhà cung cấp'!$G$4:$G$203,MATCH($H145,'Nhà cung cấp'!$A$4:$A$203,0)),""))</f>
        <v/>
      </c>
      <c r="AA145" s="41" t="str">
        <f aca="false">IF($A145="","",IFERROR($R145+$Z145,""))</f>
        <v/>
      </c>
      <c r="AB145" s="32"/>
    </row>
    <row r="146" customFormat="false" ht="15" hidden="false" customHeight="false" outlineLevel="0" collapsed="false">
      <c r="A146" s="32"/>
      <c r="B146" s="33"/>
      <c r="C146" s="32"/>
      <c r="D146" s="37" t="str">
        <f aca="false">IF($C146="","",IFERROR(INDEX(PR!$D$4:$D$203,MATCH($C146,PR!$A$4:$A$203,0)),""))</f>
        <v/>
      </c>
      <c r="E146" s="37" t="str">
        <f aca="false">IF($C146="","",IFERROR(INDEX(PR!$E$4:$E$203,MATCH($C146,PR!$A$4:$A$203,0)),""))</f>
        <v/>
      </c>
      <c r="F146" s="37" t="str">
        <f aca="false">IF($C146="","",IFERROR(INDEX(PR!$G$4:$G$203,MATCH($C146,PR!$A$4:$A$203,0)),""))</f>
        <v/>
      </c>
      <c r="G146" s="37" t="str">
        <f aca="false">IF($C146="","",IFERROR(INDEX(PR!$F$4:$F$203,MATCH($C146,PR!$A$4:$A$203,0)),""))</f>
        <v/>
      </c>
      <c r="H146" s="32"/>
      <c r="I146" s="37" t="str">
        <f aca="false">IF($H146="","",IFERROR(INDEX('Nhà cung cấp'!$B$4:$B$203,MATCH($H146,'Nhà cung cấp'!$A$4:$A$203,0)),""))</f>
        <v/>
      </c>
      <c r="J146" s="34"/>
      <c r="K146" s="34"/>
      <c r="L146" s="38" t="str">
        <f aca="false">IF($A146="","",IFERROR($J146*$K146,""))</f>
        <v/>
      </c>
      <c r="M146" s="38" t="str">
        <f aca="false">IF($C146="","",IFERROR(INDEX(PR!$L$4:$L$203,MATCH($C146,PR!$A$4:$A$203,0)),""))</f>
        <v/>
      </c>
      <c r="N146" s="38" t="str">
        <f aca="false">IF($A146="","",IFERROR($M146-$L146,""))</f>
        <v/>
      </c>
      <c r="O146" s="32"/>
      <c r="P146" s="33"/>
      <c r="Q146" s="33"/>
      <c r="R146" s="33"/>
      <c r="S146" s="37" t="str">
        <f aca="true">IF($A146="","",IF($Q146="","",IF($R146="",IF(TODAY()&gt;$Q146,"Trễ hạn","Chưa đến hạn"),IF($R146&lt;=$Q146,"Đúng hạn","Giao trễ"))))</f>
        <v/>
      </c>
      <c r="T146" s="38" t="str">
        <f aca="true">IF($A146="","",IF($Q146="",0,IF($R146="",IF(TODAY()&gt;$Q146,TODAY()-$Q146,0),MAX(0,$R146-$Q146))))</f>
        <v/>
      </c>
      <c r="U146" s="34"/>
      <c r="V146" s="34"/>
      <c r="W146" s="39" t="str">
        <f aca="false">IF($A146="","",IFERROR($V146/$U146,""))</f>
        <v/>
      </c>
      <c r="X146" s="34"/>
      <c r="Y146" s="37" t="str">
        <f aca="false">IF($A146="","",IF($U146="","",IF($W146&lt;='Tổng quan'!$C$8,"Đạt","Không đạt")))</f>
        <v/>
      </c>
      <c r="Z146" s="38" t="str">
        <f aca="false">IF($H146="","",IFERROR(INDEX('Nhà cung cấp'!$G$4:$G$203,MATCH($H146,'Nhà cung cấp'!$A$4:$A$203,0)),""))</f>
        <v/>
      </c>
      <c r="AA146" s="41" t="str">
        <f aca="false">IF($A146="","",IFERROR($R146+$Z146,""))</f>
        <v/>
      </c>
      <c r="AB146" s="32"/>
    </row>
    <row r="147" customFormat="false" ht="15" hidden="false" customHeight="false" outlineLevel="0" collapsed="false">
      <c r="A147" s="32"/>
      <c r="B147" s="33"/>
      <c r="C147" s="32"/>
      <c r="D147" s="37" t="str">
        <f aca="false">IF($C147="","",IFERROR(INDEX(PR!$D$4:$D$203,MATCH($C147,PR!$A$4:$A$203,0)),""))</f>
        <v/>
      </c>
      <c r="E147" s="37" t="str">
        <f aca="false">IF($C147="","",IFERROR(INDEX(PR!$E$4:$E$203,MATCH($C147,PR!$A$4:$A$203,0)),""))</f>
        <v/>
      </c>
      <c r="F147" s="37" t="str">
        <f aca="false">IF($C147="","",IFERROR(INDEX(PR!$G$4:$G$203,MATCH($C147,PR!$A$4:$A$203,0)),""))</f>
        <v/>
      </c>
      <c r="G147" s="37" t="str">
        <f aca="false">IF($C147="","",IFERROR(INDEX(PR!$F$4:$F$203,MATCH($C147,PR!$A$4:$A$203,0)),""))</f>
        <v/>
      </c>
      <c r="H147" s="32"/>
      <c r="I147" s="37" t="str">
        <f aca="false">IF($H147="","",IFERROR(INDEX('Nhà cung cấp'!$B$4:$B$203,MATCH($H147,'Nhà cung cấp'!$A$4:$A$203,0)),""))</f>
        <v/>
      </c>
      <c r="J147" s="34"/>
      <c r="K147" s="34"/>
      <c r="L147" s="38" t="str">
        <f aca="false">IF($A147="","",IFERROR($J147*$K147,""))</f>
        <v/>
      </c>
      <c r="M147" s="38" t="str">
        <f aca="false">IF($C147="","",IFERROR(INDEX(PR!$L$4:$L$203,MATCH($C147,PR!$A$4:$A$203,0)),""))</f>
        <v/>
      </c>
      <c r="N147" s="38" t="str">
        <f aca="false">IF($A147="","",IFERROR($M147-$L147,""))</f>
        <v/>
      </c>
      <c r="O147" s="32"/>
      <c r="P147" s="33"/>
      <c r="Q147" s="33"/>
      <c r="R147" s="33"/>
      <c r="S147" s="37" t="str">
        <f aca="true">IF($A147="","",IF($Q147="","",IF($R147="",IF(TODAY()&gt;$Q147,"Trễ hạn","Chưa đến hạn"),IF($R147&lt;=$Q147,"Đúng hạn","Giao trễ"))))</f>
        <v/>
      </c>
      <c r="T147" s="38" t="str">
        <f aca="true">IF($A147="","",IF($Q147="",0,IF($R147="",IF(TODAY()&gt;$Q147,TODAY()-$Q147,0),MAX(0,$R147-$Q147))))</f>
        <v/>
      </c>
      <c r="U147" s="34"/>
      <c r="V147" s="34"/>
      <c r="W147" s="39" t="str">
        <f aca="false">IF($A147="","",IFERROR($V147/$U147,""))</f>
        <v/>
      </c>
      <c r="X147" s="34"/>
      <c r="Y147" s="37" t="str">
        <f aca="false">IF($A147="","",IF($U147="","",IF($W147&lt;='Tổng quan'!$C$8,"Đạt","Không đạt")))</f>
        <v/>
      </c>
      <c r="Z147" s="38" t="str">
        <f aca="false">IF($H147="","",IFERROR(INDEX('Nhà cung cấp'!$G$4:$G$203,MATCH($H147,'Nhà cung cấp'!$A$4:$A$203,0)),""))</f>
        <v/>
      </c>
      <c r="AA147" s="41" t="str">
        <f aca="false">IF($A147="","",IFERROR($R147+$Z147,""))</f>
        <v/>
      </c>
      <c r="AB147" s="32"/>
    </row>
    <row r="148" customFormat="false" ht="15" hidden="false" customHeight="false" outlineLevel="0" collapsed="false">
      <c r="A148" s="32"/>
      <c r="B148" s="33"/>
      <c r="C148" s="32"/>
      <c r="D148" s="37" t="str">
        <f aca="false">IF($C148="","",IFERROR(INDEX(PR!$D$4:$D$203,MATCH($C148,PR!$A$4:$A$203,0)),""))</f>
        <v/>
      </c>
      <c r="E148" s="37" t="str">
        <f aca="false">IF($C148="","",IFERROR(INDEX(PR!$E$4:$E$203,MATCH($C148,PR!$A$4:$A$203,0)),""))</f>
        <v/>
      </c>
      <c r="F148" s="37" t="str">
        <f aca="false">IF($C148="","",IFERROR(INDEX(PR!$G$4:$G$203,MATCH($C148,PR!$A$4:$A$203,0)),""))</f>
        <v/>
      </c>
      <c r="G148" s="37" t="str">
        <f aca="false">IF($C148="","",IFERROR(INDEX(PR!$F$4:$F$203,MATCH($C148,PR!$A$4:$A$203,0)),""))</f>
        <v/>
      </c>
      <c r="H148" s="32"/>
      <c r="I148" s="37" t="str">
        <f aca="false">IF($H148="","",IFERROR(INDEX('Nhà cung cấp'!$B$4:$B$203,MATCH($H148,'Nhà cung cấp'!$A$4:$A$203,0)),""))</f>
        <v/>
      </c>
      <c r="J148" s="34"/>
      <c r="K148" s="34"/>
      <c r="L148" s="38" t="str">
        <f aca="false">IF($A148="","",IFERROR($J148*$K148,""))</f>
        <v/>
      </c>
      <c r="M148" s="38" t="str">
        <f aca="false">IF($C148="","",IFERROR(INDEX(PR!$L$4:$L$203,MATCH($C148,PR!$A$4:$A$203,0)),""))</f>
        <v/>
      </c>
      <c r="N148" s="38" t="str">
        <f aca="false">IF($A148="","",IFERROR($M148-$L148,""))</f>
        <v/>
      </c>
      <c r="O148" s="32"/>
      <c r="P148" s="33"/>
      <c r="Q148" s="33"/>
      <c r="R148" s="33"/>
      <c r="S148" s="37" t="str">
        <f aca="true">IF($A148="","",IF($Q148="","",IF($R148="",IF(TODAY()&gt;$Q148,"Trễ hạn","Chưa đến hạn"),IF($R148&lt;=$Q148,"Đúng hạn","Giao trễ"))))</f>
        <v/>
      </c>
      <c r="T148" s="38" t="str">
        <f aca="true">IF($A148="","",IF($Q148="",0,IF($R148="",IF(TODAY()&gt;$Q148,TODAY()-$Q148,0),MAX(0,$R148-$Q148))))</f>
        <v/>
      </c>
      <c r="U148" s="34"/>
      <c r="V148" s="34"/>
      <c r="W148" s="39" t="str">
        <f aca="false">IF($A148="","",IFERROR($V148/$U148,""))</f>
        <v/>
      </c>
      <c r="X148" s="34"/>
      <c r="Y148" s="37" t="str">
        <f aca="false">IF($A148="","",IF($U148="","",IF($W148&lt;='Tổng quan'!$C$8,"Đạt","Không đạt")))</f>
        <v/>
      </c>
      <c r="Z148" s="38" t="str">
        <f aca="false">IF($H148="","",IFERROR(INDEX('Nhà cung cấp'!$G$4:$G$203,MATCH($H148,'Nhà cung cấp'!$A$4:$A$203,0)),""))</f>
        <v/>
      </c>
      <c r="AA148" s="41" t="str">
        <f aca="false">IF($A148="","",IFERROR($R148+$Z148,""))</f>
        <v/>
      </c>
      <c r="AB148" s="32"/>
    </row>
    <row r="149" customFormat="false" ht="15" hidden="false" customHeight="false" outlineLevel="0" collapsed="false">
      <c r="A149" s="32"/>
      <c r="B149" s="33"/>
      <c r="C149" s="32"/>
      <c r="D149" s="37" t="str">
        <f aca="false">IF($C149="","",IFERROR(INDEX(PR!$D$4:$D$203,MATCH($C149,PR!$A$4:$A$203,0)),""))</f>
        <v/>
      </c>
      <c r="E149" s="37" t="str">
        <f aca="false">IF($C149="","",IFERROR(INDEX(PR!$E$4:$E$203,MATCH($C149,PR!$A$4:$A$203,0)),""))</f>
        <v/>
      </c>
      <c r="F149" s="37" t="str">
        <f aca="false">IF($C149="","",IFERROR(INDEX(PR!$G$4:$G$203,MATCH($C149,PR!$A$4:$A$203,0)),""))</f>
        <v/>
      </c>
      <c r="G149" s="37" t="str">
        <f aca="false">IF($C149="","",IFERROR(INDEX(PR!$F$4:$F$203,MATCH($C149,PR!$A$4:$A$203,0)),""))</f>
        <v/>
      </c>
      <c r="H149" s="32"/>
      <c r="I149" s="37" t="str">
        <f aca="false">IF($H149="","",IFERROR(INDEX('Nhà cung cấp'!$B$4:$B$203,MATCH($H149,'Nhà cung cấp'!$A$4:$A$203,0)),""))</f>
        <v/>
      </c>
      <c r="J149" s="34"/>
      <c r="K149" s="34"/>
      <c r="L149" s="38" t="str">
        <f aca="false">IF($A149="","",IFERROR($J149*$K149,""))</f>
        <v/>
      </c>
      <c r="M149" s="38" t="str">
        <f aca="false">IF($C149="","",IFERROR(INDEX(PR!$L$4:$L$203,MATCH($C149,PR!$A$4:$A$203,0)),""))</f>
        <v/>
      </c>
      <c r="N149" s="38" t="str">
        <f aca="false">IF($A149="","",IFERROR($M149-$L149,""))</f>
        <v/>
      </c>
      <c r="O149" s="32"/>
      <c r="P149" s="33"/>
      <c r="Q149" s="33"/>
      <c r="R149" s="33"/>
      <c r="S149" s="37" t="str">
        <f aca="true">IF($A149="","",IF($Q149="","",IF($R149="",IF(TODAY()&gt;$Q149,"Trễ hạn","Chưa đến hạn"),IF($R149&lt;=$Q149,"Đúng hạn","Giao trễ"))))</f>
        <v/>
      </c>
      <c r="T149" s="38" t="str">
        <f aca="true">IF($A149="","",IF($Q149="",0,IF($R149="",IF(TODAY()&gt;$Q149,TODAY()-$Q149,0),MAX(0,$R149-$Q149))))</f>
        <v/>
      </c>
      <c r="U149" s="34"/>
      <c r="V149" s="34"/>
      <c r="W149" s="39" t="str">
        <f aca="false">IF($A149="","",IFERROR($V149/$U149,""))</f>
        <v/>
      </c>
      <c r="X149" s="34"/>
      <c r="Y149" s="37" t="str">
        <f aca="false">IF($A149="","",IF($U149="","",IF($W149&lt;='Tổng quan'!$C$8,"Đạt","Không đạt")))</f>
        <v/>
      </c>
      <c r="Z149" s="38" t="str">
        <f aca="false">IF($H149="","",IFERROR(INDEX('Nhà cung cấp'!$G$4:$G$203,MATCH($H149,'Nhà cung cấp'!$A$4:$A$203,0)),""))</f>
        <v/>
      </c>
      <c r="AA149" s="41" t="str">
        <f aca="false">IF($A149="","",IFERROR($R149+$Z149,""))</f>
        <v/>
      </c>
      <c r="AB149" s="32"/>
    </row>
    <row r="150" customFormat="false" ht="15" hidden="false" customHeight="false" outlineLevel="0" collapsed="false">
      <c r="A150" s="32"/>
      <c r="B150" s="33"/>
      <c r="C150" s="32"/>
      <c r="D150" s="37" t="str">
        <f aca="false">IF($C150="","",IFERROR(INDEX(PR!$D$4:$D$203,MATCH($C150,PR!$A$4:$A$203,0)),""))</f>
        <v/>
      </c>
      <c r="E150" s="37" t="str">
        <f aca="false">IF($C150="","",IFERROR(INDEX(PR!$E$4:$E$203,MATCH($C150,PR!$A$4:$A$203,0)),""))</f>
        <v/>
      </c>
      <c r="F150" s="37" t="str">
        <f aca="false">IF($C150="","",IFERROR(INDEX(PR!$G$4:$G$203,MATCH($C150,PR!$A$4:$A$203,0)),""))</f>
        <v/>
      </c>
      <c r="G150" s="37" t="str">
        <f aca="false">IF($C150="","",IFERROR(INDEX(PR!$F$4:$F$203,MATCH($C150,PR!$A$4:$A$203,0)),""))</f>
        <v/>
      </c>
      <c r="H150" s="32"/>
      <c r="I150" s="37" t="str">
        <f aca="false">IF($H150="","",IFERROR(INDEX('Nhà cung cấp'!$B$4:$B$203,MATCH($H150,'Nhà cung cấp'!$A$4:$A$203,0)),""))</f>
        <v/>
      </c>
      <c r="J150" s="34"/>
      <c r="K150" s="34"/>
      <c r="L150" s="38" t="str">
        <f aca="false">IF($A150="","",IFERROR($J150*$K150,""))</f>
        <v/>
      </c>
      <c r="M150" s="38" t="str">
        <f aca="false">IF($C150="","",IFERROR(INDEX(PR!$L$4:$L$203,MATCH($C150,PR!$A$4:$A$203,0)),""))</f>
        <v/>
      </c>
      <c r="N150" s="38" t="str">
        <f aca="false">IF($A150="","",IFERROR($M150-$L150,""))</f>
        <v/>
      </c>
      <c r="O150" s="32"/>
      <c r="P150" s="33"/>
      <c r="Q150" s="33"/>
      <c r="R150" s="33"/>
      <c r="S150" s="37" t="str">
        <f aca="true">IF($A150="","",IF($Q150="","",IF($R150="",IF(TODAY()&gt;$Q150,"Trễ hạn","Chưa đến hạn"),IF($R150&lt;=$Q150,"Đúng hạn","Giao trễ"))))</f>
        <v/>
      </c>
      <c r="T150" s="38" t="str">
        <f aca="true">IF($A150="","",IF($Q150="",0,IF($R150="",IF(TODAY()&gt;$Q150,TODAY()-$Q150,0),MAX(0,$R150-$Q150))))</f>
        <v/>
      </c>
      <c r="U150" s="34"/>
      <c r="V150" s="34"/>
      <c r="W150" s="39" t="str">
        <f aca="false">IF($A150="","",IFERROR($V150/$U150,""))</f>
        <v/>
      </c>
      <c r="X150" s="34"/>
      <c r="Y150" s="37" t="str">
        <f aca="false">IF($A150="","",IF($U150="","",IF($W150&lt;='Tổng quan'!$C$8,"Đạt","Không đạt")))</f>
        <v/>
      </c>
      <c r="Z150" s="38" t="str">
        <f aca="false">IF($H150="","",IFERROR(INDEX('Nhà cung cấp'!$G$4:$G$203,MATCH($H150,'Nhà cung cấp'!$A$4:$A$203,0)),""))</f>
        <v/>
      </c>
      <c r="AA150" s="41" t="str">
        <f aca="false">IF($A150="","",IFERROR($R150+$Z150,""))</f>
        <v/>
      </c>
      <c r="AB150" s="32"/>
    </row>
    <row r="151" customFormat="false" ht="15" hidden="false" customHeight="false" outlineLevel="0" collapsed="false">
      <c r="A151" s="32"/>
      <c r="B151" s="33"/>
      <c r="C151" s="32"/>
      <c r="D151" s="37" t="str">
        <f aca="false">IF($C151="","",IFERROR(INDEX(PR!$D$4:$D$203,MATCH($C151,PR!$A$4:$A$203,0)),""))</f>
        <v/>
      </c>
      <c r="E151" s="37" t="str">
        <f aca="false">IF($C151="","",IFERROR(INDEX(PR!$E$4:$E$203,MATCH($C151,PR!$A$4:$A$203,0)),""))</f>
        <v/>
      </c>
      <c r="F151" s="37" t="str">
        <f aca="false">IF($C151="","",IFERROR(INDEX(PR!$G$4:$G$203,MATCH($C151,PR!$A$4:$A$203,0)),""))</f>
        <v/>
      </c>
      <c r="G151" s="37" t="str">
        <f aca="false">IF($C151="","",IFERROR(INDEX(PR!$F$4:$F$203,MATCH($C151,PR!$A$4:$A$203,0)),""))</f>
        <v/>
      </c>
      <c r="H151" s="32"/>
      <c r="I151" s="37" t="str">
        <f aca="false">IF($H151="","",IFERROR(INDEX('Nhà cung cấp'!$B$4:$B$203,MATCH($H151,'Nhà cung cấp'!$A$4:$A$203,0)),""))</f>
        <v/>
      </c>
      <c r="J151" s="34"/>
      <c r="K151" s="34"/>
      <c r="L151" s="38" t="str">
        <f aca="false">IF($A151="","",IFERROR($J151*$K151,""))</f>
        <v/>
      </c>
      <c r="M151" s="38" t="str">
        <f aca="false">IF($C151="","",IFERROR(INDEX(PR!$L$4:$L$203,MATCH($C151,PR!$A$4:$A$203,0)),""))</f>
        <v/>
      </c>
      <c r="N151" s="38" t="str">
        <f aca="false">IF($A151="","",IFERROR($M151-$L151,""))</f>
        <v/>
      </c>
      <c r="O151" s="32"/>
      <c r="P151" s="33"/>
      <c r="Q151" s="33"/>
      <c r="R151" s="33"/>
      <c r="S151" s="37" t="str">
        <f aca="true">IF($A151="","",IF($Q151="","",IF($R151="",IF(TODAY()&gt;$Q151,"Trễ hạn","Chưa đến hạn"),IF($R151&lt;=$Q151,"Đúng hạn","Giao trễ"))))</f>
        <v/>
      </c>
      <c r="T151" s="38" t="str">
        <f aca="true">IF($A151="","",IF($Q151="",0,IF($R151="",IF(TODAY()&gt;$Q151,TODAY()-$Q151,0),MAX(0,$R151-$Q151))))</f>
        <v/>
      </c>
      <c r="U151" s="34"/>
      <c r="V151" s="34"/>
      <c r="W151" s="39" t="str">
        <f aca="false">IF($A151="","",IFERROR($V151/$U151,""))</f>
        <v/>
      </c>
      <c r="X151" s="34"/>
      <c r="Y151" s="37" t="str">
        <f aca="false">IF($A151="","",IF($U151="","",IF($W151&lt;='Tổng quan'!$C$8,"Đạt","Không đạt")))</f>
        <v/>
      </c>
      <c r="Z151" s="38" t="str">
        <f aca="false">IF($H151="","",IFERROR(INDEX('Nhà cung cấp'!$G$4:$G$203,MATCH($H151,'Nhà cung cấp'!$A$4:$A$203,0)),""))</f>
        <v/>
      </c>
      <c r="AA151" s="41" t="str">
        <f aca="false">IF($A151="","",IFERROR($R151+$Z151,""))</f>
        <v/>
      </c>
      <c r="AB151" s="32"/>
    </row>
    <row r="152" customFormat="false" ht="15" hidden="false" customHeight="false" outlineLevel="0" collapsed="false">
      <c r="A152" s="32"/>
      <c r="B152" s="33"/>
      <c r="C152" s="32"/>
      <c r="D152" s="37" t="str">
        <f aca="false">IF($C152="","",IFERROR(INDEX(PR!$D$4:$D$203,MATCH($C152,PR!$A$4:$A$203,0)),""))</f>
        <v/>
      </c>
      <c r="E152" s="37" t="str">
        <f aca="false">IF($C152="","",IFERROR(INDEX(PR!$E$4:$E$203,MATCH($C152,PR!$A$4:$A$203,0)),""))</f>
        <v/>
      </c>
      <c r="F152" s="37" t="str">
        <f aca="false">IF($C152="","",IFERROR(INDEX(PR!$G$4:$G$203,MATCH($C152,PR!$A$4:$A$203,0)),""))</f>
        <v/>
      </c>
      <c r="G152" s="37" t="str">
        <f aca="false">IF($C152="","",IFERROR(INDEX(PR!$F$4:$F$203,MATCH($C152,PR!$A$4:$A$203,0)),""))</f>
        <v/>
      </c>
      <c r="H152" s="32"/>
      <c r="I152" s="37" t="str">
        <f aca="false">IF($H152="","",IFERROR(INDEX('Nhà cung cấp'!$B$4:$B$203,MATCH($H152,'Nhà cung cấp'!$A$4:$A$203,0)),""))</f>
        <v/>
      </c>
      <c r="J152" s="34"/>
      <c r="K152" s="34"/>
      <c r="L152" s="38" t="str">
        <f aca="false">IF($A152="","",IFERROR($J152*$K152,""))</f>
        <v/>
      </c>
      <c r="M152" s="38" t="str">
        <f aca="false">IF($C152="","",IFERROR(INDEX(PR!$L$4:$L$203,MATCH($C152,PR!$A$4:$A$203,0)),""))</f>
        <v/>
      </c>
      <c r="N152" s="38" t="str">
        <f aca="false">IF($A152="","",IFERROR($M152-$L152,""))</f>
        <v/>
      </c>
      <c r="O152" s="32"/>
      <c r="P152" s="33"/>
      <c r="Q152" s="33"/>
      <c r="R152" s="33"/>
      <c r="S152" s="37" t="str">
        <f aca="true">IF($A152="","",IF($Q152="","",IF($R152="",IF(TODAY()&gt;$Q152,"Trễ hạn","Chưa đến hạn"),IF($R152&lt;=$Q152,"Đúng hạn","Giao trễ"))))</f>
        <v/>
      </c>
      <c r="T152" s="38" t="str">
        <f aca="true">IF($A152="","",IF($Q152="",0,IF($R152="",IF(TODAY()&gt;$Q152,TODAY()-$Q152,0),MAX(0,$R152-$Q152))))</f>
        <v/>
      </c>
      <c r="U152" s="34"/>
      <c r="V152" s="34"/>
      <c r="W152" s="39" t="str">
        <f aca="false">IF($A152="","",IFERROR($V152/$U152,""))</f>
        <v/>
      </c>
      <c r="X152" s="34"/>
      <c r="Y152" s="37" t="str">
        <f aca="false">IF($A152="","",IF($U152="","",IF($W152&lt;='Tổng quan'!$C$8,"Đạt","Không đạt")))</f>
        <v/>
      </c>
      <c r="Z152" s="38" t="str">
        <f aca="false">IF($H152="","",IFERROR(INDEX('Nhà cung cấp'!$G$4:$G$203,MATCH($H152,'Nhà cung cấp'!$A$4:$A$203,0)),""))</f>
        <v/>
      </c>
      <c r="AA152" s="41" t="str">
        <f aca="false">IF($A152="","",IFERROR($R152+$Z152,""))</f>
        <v/>
      </c>
      <c r="AB152" s="32"/>
    </row>
    <row r="153" customFormat="false" ht="15" hidden="false" customHeight="false" outlineLevel="0" collapsed="false">
      <c r="A153" s="32"/>
      <c r="B153" s="33"/>
      <c r="C153" s="32"/>
      <c r="D153" s="37" t="str">
        <f aca="false">IF($C153="","",IFERROR(INDEX(PR!$D$4:$D$203,MATCH($C153,PR!$A$4:$A$203,0)),""))</f>
        <v/>
      </c>
      <c r="E153" s="37" t="str">
        <f aca="false">IF($C153="","",IFERROR(INDEX(PR!$E$4:$E$203,MATCH($C153,PR!$A$4:$A$203,0)),""))</f>
        <v/>
      </c>
      <c r="F153" s="37" t="str">
        <f aca="false">IF($C153="","",IFERROR(INDEX(PR!$G$4:$G$203,MATCH($C153,PR!$A$4:$A$203,0)),""))</f>
        <v/>
      </c>
      <c r="G153" s="37" t="str">
        <f aca="false">IF($C153="","",IFERROR(INDEX(PR!$F$4:$F$203,MATCH($C153,PR!$A$4:$A$203,0)),""))</f>
        <v/>
      </c>
      <c r="H153" s="32"/>
      <c r="I153" s="37" t="str">
        <f aca="false">IF($H153="","",IFERROR(INDEX('Nhà cung cấp'!$B$4:$B$203,MATCH($H153,'Nhà cung cấp'!$A$4:$A$203,0)),""))</f>
        <v/>
      </c>
      <c r="J153" s="34"/>
      <c r="K153" s="34"/>
      <c r="L153" s="38" t="str">
        <f aca="false">IF($A153="","",IFERROR($J153*$K153,""))</f>
        <v/>
      </c>
      <c r="M153" s="38" t="str">
        <f aca="false">IF($C153="","",IFERROR(INDEX(PR!$L$4:$L$203,MATCH($C153,PR!$A$4:$A$203,0)),""))</f>
        <v/>
      </c>
      <c r="N153" s="38" t="str">
        <f aca="false">IF($A153="","",IFERROR($M153-$L153,""))</f>
        <v/>
      </c>
      <c r="O153" s="32"/>
      <c r="P153" s="33"/>
      <c r="Q153" s="33"/>
      <c r="R153" s="33"/>
      <c r="S153" s="37" t="str">
        <f aca="true">IF($A153="","",IF($Q153="","",IF($R153="",IF(TODAY()&gt;$Q153,"Trễ hạn","Chưa đến hạn"),IF($R153&lt;=$Q153,"Đúng hạn","Giao trễ"))))</f>
        <v/>
      </c>
      <c r="T153" s="38" t="str">
        <f aca="true">IF($A153="","",IF($Q153="",0,IF($R153="",IF(TODAY()&gt;$Q153,TODAY()-$Q153,0),MAX(0,$R153-$Q153))))</f>
        <v/>
      </c>
      <c r="U153" s="34"/>
      <c r="V153" s="34"/>
      <c r="W153" s="39" t="str">
        <f aca="false">IF($A153="","",IFERROR($V153/$U153,""))</f>
        <v/>
      </c>
      <c r="X153" s="34"/>
      <c r="Y153" s="37" t="str">
        <f aca="false">IF($A153="","",IF($U153="","",IF($W153&lt;='Tổng quan'!$C$8,"Đạt","Không đạt")))</f>
        <v/>
      </c>
      <c r="Z153" s="38" t="str">
        <f aca="false">IF($H153="","",IFERROR(INDEX('Nhà cung cấp'!$G$4:$G$203,MATCH($H153,'Nhà cung cấp'!$A$4:$A$203,0)),""))</f>
        <v/>
      </c>
      <c r="AA153" s="41" t="str">
        <f aca="false">IF($A153="","",IFERROR($R153+$Z153,""))</f>
        <v/>
      </c>
      <c r="AB153" s="32"/>
    </row>
    <row r="154" customFormat="false" ht="15" hidden="false" customHeight="false" outlineLevel="0" collapsed="false">
      <c r="A154" s="32"/>
      <c r="B154" s="33"/>
      <c r="C154" s="32"/>
      <c r="D154" s="37" t="str">
        <f aca="false">IF($C154="","",IFERROR(INDEX(PR!$D$4:$D$203,MATCH($C154,PR!$A$4:$A$203,0)),""))</f>
        <v/>
      </c>
      <c r="E154" s="37" t="str">
        <f aca="false">IF($C154="","",IFERROR(INDEX(PR!$E$4:$E$203,MATCH($C154,PR!$A$4:$A$203,0)),""))</f>
        <v/>
      </c>
      <c r="F154" s="37" t="str">
        <f aca="false">IF($C154="","",IFERROR(INDEX(PR!$G$4:$G$203,MATCH($C154,PR!$A$4:$A$203,0)),""))</f>
        <v/>
      </c>
      <c r="G154" s="37" t="str">
        <f aca="false">IF($C154="","",IFERROR(INDEX(PR!$F$4:$F$203,MATCH($C154,PR!$A$4:$A$203,0)),""))</f>
        <v/>
      </c>
      <c r="H154" s="32"/>
      <c r="I154" s="37" t="str">
        <f aca="false">IF($H154="","",IFERROR(INDEX('Nhà cung cấp'!$B$4:$B$203,MATCH($H154,'Nhà cung cấp'!$A$4:$A$203,0)),""))</f>
        <v/>
      </c>
      <c r="J154" s="34"/>
      <c r="K154" s="34"/>
      <c r="L154" s="38" t="str">
        <f aca="false">IF($A154="","",IFERROR($J154*$K154,""))</f>
        <v/>
      </c>
      <c r="M154" s="38" t="str">
        <f aca="false">IF($C154="","",IFERROR(INDEX(PR!$L$4:$L$203,MATCH($C154,PR!$A$4:$A$203,0)),""))</f>
        <v/>
      </c>
      <c r="N154" s="38" t="str">
        <f aca="false">IF($A154="","",IFERROR($M154-$L154,""))</f>
        <v/>
      </c>
      <c r="O154" s="32"/>
      <c r="P154" s="33"/>
      <c r="Q154" s="33"/>
      <c r="R154" s="33"/>
      <c r="S154" s="37" t="str">
        <f aca="true">IF($A154="","",IF($Q154="","",IF($R154="",IF(TODAY()&gt;$Q154,"Trễ hạn","Chưa đến hạn"),IF($R154&lt;=$Q154,"Đúng hạn","Giao trễ"))))</f>
        <v/>
      </c>
      <c r="T154" s="38" t="str">
        <f aca="true">IF($A154="","",IF($Q154="",0,IF($R154="",IF(TODAY()&gt;$Q154,TODAY()-$Q154,0),MAX(0,$R154-$Q154))))</f>
        <v/>
      </c>
      <c r="U154" s="34"/>
      <c r="V154" s="34"/>
      <c r="W154" s="39" t="str">
        <f aca="false">IF($A154="","",IFERROR($V154/$U154,""))</f>
        <v/>
      </c>
      <c r="X154" s="34"/>
      <c r="Y154" s="37" t="str">
        <f aca="false">IF($A154="","",IF($U154="","",IF($W154&lt;='Tổng quan'!$C$8,"Đạt","Không đạt")))</f>
        <v/>
      </c>
      <c r="Z154" s="38" t="str">
        <f aca="false">IF($H154="","",IFERROR(INDEX('Nhà cung cấp'!$G$4:$G$203,MATCH($H154,'Nhà cung cấp'!$A$4:$A$203,0)),""))</f>
        <v/>
      </c>
      <c r="AA154" s="41" t="str">
        <f aca="false">IF($A154="","",IFERROR($R154+$Z154,""))</f>
        <v/>
      </c>
      <c r="AB154" s="32"/>
    </row>
    <row r="155" customFormat="false" ht="15" hidden="false" customHeight="false" outlineLevel="0" collapsed="false">
      <c r="A155" s="32"/>
      <c r="B155" s="33"/>
      <c r="C155" s="32"/>
      <c r="D155" s="37" t="str">
        <f aca="false">IF($C155="","",IFERROR(INDEX(PR!$D$4:$D$203,MATCH($C155,PR!$A$4:$A$203,0)),""))</f>
        <v/>
      </c>
      <c r="E155" s="37" t="str">
        <f aca="false">IF($C155="","",IFERROR(INDEX(PR!$E$4:$E$203,MATCH($C155,PR!$A$4:$A$203,0)),""))</f>
        <v/>
      </c>
      <c r="F155" s="37" t="str">
        <f aca="false">IF($C155="","",IFERROR(INDEX(PR!$G$4:$G$203,MATCH($C155,PR!$A$4:$A$203,0)),""))</f>
        <v/>
      </c>
      <c r="G155" s="37" t="str">
        <f aca="false">IF($C155="","",IFERROR(INDEX(PR!$F$4:$F$203,MATCH($C155,PR!$A$4:$A$203,0)),""))</f>
        <v/>
      </c>
      <c r="H155" s="32"/>
      <c r="I155" s="37" t="str">
        <f aca="false">IF($H155="","",IFERROR(INDEX('Nhà cung cấp'!$B$4:$B$203,MATCH($H155,'Nhà cung cấp'!$A$4:$A$203,0)),""))</f>
        <v/>
      </c>
      <c r="J155" s="34"/>
      <c r="K155" s="34"/>
      <c r="L155" s="38" t="str">
        <f aca="false">IF($A155="","",IFERROR($J155*$K155,""))</f>
        <v/>
      </c>
      <c r="M155" s="38" t="str">
        <f aca="false">IF($C155="","",IFERROR(INDEX(PR!$L$4:$L$203,MATCH($C155,PR!$A$4:$A$203,0)),""))</f>
        <v/>
      </c>
      <c r="N155" s="38" t="str">
        <f aca="false">IF($A155="","",IFERROR($M155-$L155,""))</f>
        <v/>
      </c>
      <c r="O155" s="32"/>
      <c r="P155" s="33"/>
      <c r="Q155" s="33"/>
      <c r="R155" s="33"/>
      <c r="S155" s="37" t="str">
        <f aca="true">IF($A155="","",IF($Q155="","",IF($R155="",IF(TODAY()&gt;$Q155,"Trễ hạn","Chưa đến hạn"),IF($R155&lt;=$Q155,"Đúng hạn","Giao trễ"))))</f>
        <v/>
      </c>
      <c r="T155" s="38" t="str">
        <f aca="true">IF($A155="","",IF($Q155="",0,IF($R155="",IF(TODAY()&gt;$Q155,TODAY()-$Q155,0),MAX(0,$R155-$Q155))))</f>
        <v/>
      </c>
      <c r="U155" s="34"/>
      <c r="V155" s="34"/>
      <c r="W155" s="39" t="str">
        <f aca="false">IF($A155="","",IFERROR($V155/$U155,""))</f>
        <v/>
      </c>
      <c r="X155" s="34"/>
      <c r="Y155" s="37" t="str">
        <f aca="false">IF($A155="","",IF($U155="","",IF($W155&lt;='Tổng quan'!$C$8,"Đạt","Không đạt")))</f>
        <v/>
      </c>
      <c r="Z155" s="38" t="str">
        <f aca="false">IF($H155="","",IFERROR(INDEX('Nhà cung cấp'!$G$4:$G$203,MATCH($H155,'Nhà cung cấp'!$A$4:$A$203,0)),""))</f>
        <v/>
      </c>
      <c r="AA155" s="41" t="str">
        <f aca="false">IF($A155="","",IFERROR($R155+$Z155,""))</f>
        <v/>
      </c>
      <c r="AB155" s="32"/>
    </row>
    <row r="156" customFormat="false" ht="15" hidden="false" customHeight="false" outlineLevel="0" collapsed="false">
      <c r="A156" s="32"/>
      <c r="B156" s="33"/>
      <c r="C156" s="32"/>
      <c r="D156" s="37" t="str">
        <f aca="false">IF($C156="","",IFERROR(INDEX(PR!$D$4:$D$203,MATCH($C156,PR!$A$4:$A$203,0)),""))</f>
        <v/>
      </c>
      <c r="E156" s="37" t="str">
        <f aca="false">IF($C156="","",IFERROR(INDEX(PR!$E$4:$E$203,MATCH($C156,PR!$A$4:$A$203,0)),""))</f>
        <v/>
      </c>
      <c r="F156" s="37" t="str">
        <f aca="false">IF($C156="","",IFERROR(INDEX(PR!$G$4:$G$203,MATCH($C156,PR!$A$4:$A$203,0)),""))</f>
        <v/>
      </c>
      <c r="G156" s="37" t="str">
        <f aca="false">IF($C156="","",IFERROR(INDEX(PR!$F$4:$F$203,MATCH($C156,PR!$A$4:$A$203,0)),""))</f>
        <v/>
      </c>
      <c r="H156" s="32"/>
      <c r="I156" s="37" t="str">
        <f aca="false">IF($H156="","",IFERROR(INDEX('Nhà cung cấp'!$B$4:$B$203,MATCH($H156,'Nhà cung cấp'!$A$4:$A$203,0)),""))</f>
        <v/>
      </c>
      <c r="J156" s="34"/>
      <c r="K156" s="34"/>
      <c r="L156" s="38" t="str">
        <f aca="false">IF($A156="","",IFERROR($J156*$K156,""))</f>
        <v/>
      </c>
      <c r="M156" s="38" t="str">
        <f aca="false">IF($C156="","",IFERROR(INDEX(PR!$L$4:$L$203,MATCH($C156,PR!$A$4:$A$203,0)),""))</f>
        <v/>
      </c>
      <c r="N156" s="38" t="str">
        <f aca="false">IF($A156="","",IFERROR($M156-$L156,""))</f>
        <v/>
      </c>
      <c r="O156" s="32"/>
      <c r="P156" s="33"/>
      <c r="Q156" s="33"/>
      <c r="R156" s="33"/>
      <c r="S156" s="37" t="str">
        <f aca="true">IF($A156="","",IF($Q156="","",IF($R156="",IF(TODAY()&gt;$Q156,"Trễ hạn","Chưa đến hạn"),IF($R156&lt;=$Q156,"Đúng hạn","Giao trễ"))))</f>
        <v/>
      </c>
      <c r="T156" s="38" t="str">
        <f aca="true">IF($A156="","",IF($Q156="",0,IF($R156="",IF(TODAY()&gt;$Q156,TODAY()-$Q156,0),MAX(0,$R156-$Q156))))</f>
        <v/>
      </c>
      <c r="U156" s="34"/>
      <c r="V156" s="34"/>
      <c r="W156" s="39" t="str">
        <f aca="false">IF($A156="","",IFERROR($V156/$U156,""))</f>
        <v/>
      </c>
      <c r="X156" s="34"/>
      <c r="Y156" s="37" t="str">
        <f aca="false">IF($A156="","",IF($U156="","",IF($W156&lt;='Tổng quan'!$C$8,"Đạt","Không đạt")))</f>
        <v/>
      </c>
      <c r="Z156" s="38" t="str">
        <f aca="false">IF($H156="","",IFERROR(INDEX('Nhà cung cấp'!$G$4:$G$203,MATCH($H156,'Nhà cung cấp'!$A$4:$A$203,0)),""))</f>
        <v/>
      </c>
      <c r="AA156" s="41" t="str">
        <f aca="false">IF($A156="","",IFERROR($R156+$Z156,""))</f>
        <v/>
      </c>
      <c r="AB156" s="32"/>
    </row>
    <row r="157" customFormat="false" ht="15" hidden="false" customHeight="false" outlineLevel="0" collapsed="false">
      <c r="A157" s="32"/>
      <c r="B157" s="33"/>
      <c r="C157" s="32"/>
      <c r="D157" s="37" t="str">
        <f aca="false">IF($C157="","",IFERROR(INDEX(PR!$D$4:$D$203,MATCH($C157,PR!$A$4:$A$203,0)),""))</f>
        <v/>
      </c>
      <c r="E157" s="37" t="str">
        <f aca="false">IF($C157="","",IFERROR(INDEX(PR!$E$4:$E$203,MATCH($C157,PR!$A$4:$A$203,0)),""))</f>
        <v/>
      </c>
      <c r="F157" s="37" t="str">
        <f aca="false">IF($C157="","",IFERROR(INDEX(PR!$G$4:$G$203,MATCH($C157,PR!$A$4:$A$203,0)),""))</f>
        <v/>
      </c>
      <c r="G157" s="37" t="str">
        <f aca="false">IF($C157="","",IFERROR(INDEX(PR!$F$4:$F$203,MATCH($C157,PR!$A$4:$A$203,0)),""))</f>
        <v/>
      </c>
      <c r="H157" s="32"/>
      <c r="I157" s="37" t="str">
        <f aca="false">IF($H157="","",IFERROR(INDEX('Nhà cung cấp'!$B$4:$B$203,MATCH($H157,'Nhà cung cấp'!$A$4:$A$203,0)),""))</f>
        <v/>
      </c>
      <c r="J157" s="34"/>
      <c r="K157" s="34"/>
      <c r="L157" s="38" t="str">
        <f aca="false">IF($A157="","",IFERROR($J157*$K157,""))</f>
        <v/>
      </c>
      <c r="M157" s="38" t="str">
        <f aca="false">IF($C157="","",IFERROR(INDEX(PR!$L$4:$L$203,MATCH($C157,PR!$A$4:$A$203,0)),""))</f>
        <v/>
      </c>
      <c r="N157" s="38" t="str">
        <f aca="false">IF($A157="","",IFERROR($M157-$L157,""))</f>
        <v/>
      </c>
      <c r="O157" s="32"/>
      <c r="P157" s="33"/>
      <c r="Q157" s="33"/>
      <c r="R157" s="33"/>
      <c r="S157" s="37" t="str">
        <f aca="true">IF($A157="","",IF($Q157="","",IF($R157="",IF(TODAY()&gt;$Q157,"Trễ hạn","Chưa đến hạn"),IF($R157&lt;=$Q157,"Đúng hạn","Giao trễ"))))</f>
        <v/>
      </c>
      <c r="T157" s="38" t="str">
        <f aca="true">IF($A157="","",IF($Q157="",0,IF($R157="",IF(TODAY()&gt;$Q157,TODAY()-$Q157,0),MAX(0,$R157-$Q157))))</f>
        <v/>
      </c>
      <c r="U157" s="34"/>
      <c r="V157" s="34"/>
      <c r="W157" s="39" t="str">
        <f aca="false">IF($A157="","",IFERROR($V157/$U157,""))</f>
        <v/>
      </c>
      <c r="X157" s="34"/>
      <c r="Y157" s="37" t="str">
        <f aca="false">IF($A157="","",IF($U157="","",IF($W157&lt;='Tổng quan'!$C$8,"Đạt","Không đạt")))</f>
        <v/>
      </c>
      <c r="Z157" s="38" t="str">
        <f aca="false">IF($H157="","",IFERROR(INDEX('Nhà cung cấp'!$G$4:$G$203,MATCH($H157,'Nhà cung cấp'!$A$4:$A$203,0)),""))</f>
        <v/>
      </c>
      <c r="AA157" s="41" t="str">
        <f aca="false">IF($A157="","",IFERROR($R157+$Z157,""))</f>
        <v/>
      </c>
      <c r="AB157" s="32"/>
    </row>
    <row r="158" customFormat="false" ht="15" hidden="false" customHeight="false" outlineLevel="0" collapsed="false">
      <c r="A158" s="32"/>
      <c r="B158" s="33"/>
      <c r="C158" s="32"/>
      <c r="D158" s="37" t="str">
        <f aca="false">IF($C158="","",IFERROR(INDEX(PR!$D$4:$D$203,MATCH($C158,PR!$A$4:$A$203,0)),""))</f>
        <v/>
      </c>
      <c r="E158" s="37" t="str">
        <f aca="false">IF($C158="","",IFERROR(INDEX(PR!$E$4:$E$203,MATCH($C158,PR!$A$4:$A$203,0)),""))</f>
        <v/>
      </c>
      <c r="F158" s="37" t="str">
        <f aca="false">IF($C158="","",IFERROR(INDEX(PR!$G$4:$G$203,MATCH($C158,PR!$A$4:$A$203,0)),""))</f>
        <v/>
      </c>
      <c r="G158" s="37" t="str">
        <f aca="false">IF($C158="","",IFERROR(INDEX(PR!$F$4:$F$203,MATCH($C158,PR!$A$4:$A$203,0)),""))</f>
        <v/>
      </c>
      <c r="H158" s="32"/>
      <c r="I158" s="37" t="str">
        <f aca="false">IF($H158="","",IFERROR(INDEX('Nhà cung cấp'!$B$4:$B$203,MATCH($H158,'Nhà cung cấp'!$A$4:$A$203,0)),""))</f>
        <v/>
      </c>
      <c r="J158" s="34"/>
      <c r="K158" s="34"/>
      <c r="L158" s="38" t="str">
        <f aca="false">IF($A158="","",IFERROR($J158*$K158,""))</f>
        <v/>
      </c>
      <c r="M158" s="38" t="str">
        <f aca="false">IF($C158="","",IFERROR(INDEX(PR!$L$4:$L$203,MATCH($C158,PR!$A$4:$A$203,0)),""))</f>
        <v/>
      </c>
      <c r="N158" s="38" t="str">
        <f aca="false">IF($A158="","",IFERROR($M158-$L158,""))</f>
        <v/>
      </c>
      <c r="O158" s="32"/>
      <c r="P158" s="33"/>
      <c r="Q158" s="33"/>
      <c r="R158" s="33"/>
      <c r="S158" s="37" t="str">
        <f aca="true">IF($A158="","",IF($Q158="","",IF($R158="",IF(TODAY()&gt;$Q158,"Trễ hạn","Chưa đến hạn"),IF($R158&lt;=$Q158,"Đúng hạn","Giao trễ"))))</f>
        <v/>
      </c>
      <c r="T158" s="38" t="str">
        <f aca="true">IF($A158="","",IF($Q158="",0,IF($R158="",IF(TODAY()&gt;$Q158,TODAY()-$Q158,0),MAX(0,$R158-$Q158))))</f>
        <v/>
      </c>
      <c r="U158" s="34"/>
      <c r="V158" s="34"/>
      <c r="W158" s="39" t="str">
        <f aca="false">IF($A158="","",IFERROR($V158/$U158,""))</f>
        <v/>
      </c>
      <c r="X158" s="34"/>
      <c r="Y158" s="37" t="str">
        <f aca="false">IF($A158="","",IF($U158="","",IF($W158&lt;='Tổng quan'!$C$8,"Đạt","Không đạt")))</f>
        <v/>
      </c>
      <c r="Z158" s="38" t="str">
        <f aca="false">IF($H158="","",IFERROR(INDEX('Nhà cung cấp'!$G$4:$G$203,MATCH($H158,'Nhà cung cấp'!$A$4:$A$203,0)),""))</f>
        <v/>
      </c>
      <c r="AA158" s="41" t="str">
        <f aca="false">IF($A158="","",IFERROR($R158+$Z158,""))</f>
        <v/>
      </c>
      <c r="AB158" s="32"/>
    </row>
    <row r="159" customFormat="false" ht="15" hidden="false" customHeight="false" outlineLevel="0" collapsed="false">
      <c r="A159" s="32"/>
      <c r="B159" s="33"/>
      <c r="C159" s="32"/>
      <c r="D159" s="37" t="str">
        <f aca="false">IF($C159="","",IFERROR(INDEX(PR!$D$4:$D$203,MATCH($C159,PR!$A$4:$A$203,0)),""))</f>
        <v/>
      </c>
      <c r="E159" s="37" t="str">
        <f aca="false">IF($C159="","",IFERROR(INDEX(PR!$E$4:$E$203,MATCH($C159,PR!$A$4:$A$203,0)),""))</f>
        <v/>
      </c>
      <c r="F159" s="37" t="str">
        <f aca="false">IF($C159="","",IFERROR(INDEX(PR!$G$4:$G$203,MATCH($C159,PR!$A$4:$A$203,0)),""))</f>
        <v/>
      </c>
      <c r="G159" s="37" t="str">
        <f aca="false">IF($C159="","",IFERROR(INDEX(PR!$F$4:$F$203,MATCH($C159,PR!$A$4:$A$203,0)),""))</f>
        <v/>
      </c>
      <c r="H159" s="32"/>
      <c r="I159" s="37" t="str">
        <f aca="false">IF($H159="","",IFERROR(INDEX('Nhà cung cấp'!$B$4:$B$203,MATCH($H159,'Nhà cung cấp'!$A$4:$A$203,0)),""))</f>
        <v/>
      </c>
      <c r="J159" s="34"/>
      <c r="K159" s="34"/>
      <c r="L159" s="38" t="str">
        <f aca="false">IF($A159="","",IFERROR($J159*$K159,""))</f>
        <v/>
      </c>
      <c r="M159" s="38" t="str">
        <f aca="false">IF($C159="","",IFERROR(INDEX(PR!$L$4:$L$203,MATCH($C159,PR!$A$4:$A$203,0)),""))</f>
        <v/>
      </c>
      <c r="N159" s="38" t="str">
        <f aca="false">IF($A159="","",IFERROR($M159-$L159,""))</f>
        <v/>
      </c>
      <c r="O159" s="32"/>
      <c r="P159" s="33"/>
      <c r="Q159" s="33"/>
      <c r="R159" s="33"/>
      <c r="S159" s="37" t="str">
        <f aca="true">IF($A159="","",IF($Q159="","",IF($R159="",IF(TODAY()&gt;$Q159,"Trễ hạn","Chưa đến hạn"),IF($R159&lt;=$Q159,"Đúng hạn","Giao trễ"))))</f>
        <v/>
      </c>
      <c r="T159" s="38" t="str">
        <f aca="true">IF($A159="","",IF($Q159="",0,IF($R159="",IF(TODAY()&gt;$Q159,TODAY()-$Q159,0),MAX(0,$R159-$Q159))))</f>
        <v/>
      </c>
      <c r="U159" s="34"/>
      <c r="V159" s="34"/>
      <c r="W159" s="39" t="str">
        <f aca="false">IF($A159="","",IFERROR($V159/$U159,""))</f>
        <v/>
      </c>
      <c r="X159" s="34"/>
      <c r="Y159" s="37" t="str">
        <f aca="false">IF($A159="","",IF($U159="","",IF($W159&lt;='Tổng quan'!$C$8,"Đạt","Không đạt")))</f>
        <v/>
      </c>
      <c r="Z159" s="38" t="str">
        <f aca="false">IF($H159="","",IFERROR(INDEX('Nhà cung cấp'!$G$4:$G$203,MATCH($H159,'Nhà cung cấp'!$A$4:$A$203,0)),""))</f>
        <v/>
      </c>
      <c r="AA159" s="41" t="str">
        <f aca="false">IF($A159="","",IFERROR($R159+$Z159,""))</f>
        <v/>
      </c>
      <c r="AB159" s="32"/>
    </row>
    <row r="160" customFormat="false" ht="15" hidden="false" customHeight="false" outlineLevel="0" collapsed="false">
      <c r="A160" s="32"/>
      <c r="B160" s="33"/>
      <c r="C160" s="32"/>
      <c r="D160" s="37" t="str">
        <f aca="false">IF($C160="","",IFERROR(INDEX(PR!$D$4:$D$203,MATCH($C160,PR!$A$4:$A$203,0)),""))</f>
        <v/>
      </c>
      <c r="E160" s="37" t="str">
        <f aca="false">IF($C160="","",IFERROR(INDEX(PR!$E$4:$E$203,MATCH($C160,PR!$A$4:$A$203,0)),""))</f>
        <v/>
      </c>
      <c r="F160" s="37" t="str">
        <f aca="false">IF($C160="","",IFERROR(INDEX(PR!$G$4:$G$203,MATCH($C160,PR!$A$4:$A$203,0)),""))</f>
        <v/>
      </c>
      <c r="G160" s="37" t="str">
        <f aca="false">IF($C160="","",IFERROR(INDEX(PR!$F$4:$F$203,MATCH($C160,PR!$A$4:$A$203,0)),""))</f>
        <v/>
      </c>
      <c r="H160" s="32"/>
      <c r="I160" s="37" t="str">
        <f aca="false">IF($H160="","",IFERROR(INDEX('Nhà cung cấp'!$B$4:$B$203,MATCH($H160,'Nhà cung cấp'!$A$4:$A$203,0)),""))</f>
        <v/>
      </c>
      <c r="J160" s="34"/>
      <c r="K160" s="34"/>
      <c r="L160" s="38" t="str">
        <f aca="false">IF($A160="","",IFERROR($J160*$K160,""))</f>
        <v/>
      </c>
      <c r="M160" s="38" t="str">
        <f aca="false">IF($C160="","",IFERROR(INDEX(PR!$L$4:$L$203,MATCH($C160,PR!$A$4:$A$203,0)),""))</f>
        <v/>
      </c>
      <c r="N160" s="38" t="str">
        <f aca="false">IF($A160="","",IFERROR($M160-$L160,""))</f>
        <v/>
      </c>
      <c r="O160" s="32"/>
      <c r="P160" s="33"/>
      <c r="Q160" s="33"/>
      <c r="R160" s="33"/>
      <c r="S160" s="37" t="str">
        <f aca="true">IF($A160="","",IF($Q160="","",IF($R160="",IF(TODAY()&gt;$Q160,"Trễ hạn","Chưa đến hạn"),IF($R160&lt;=$Q160,"Đúng hạn","Giao trễ"))))</f>
        <v/>
      </c>
      <c r="T160" s="38" t="str">
        <f aca="true">IF($A160="","",IF($Q160="",0,IF($R160="",IF(TODAY()&gt;$Q160,TODAY()-$Q160,0),MAX(0,$R160-$Q160))))</f>
        <v/>
      </c>
      <c r="U160" s="34"/>
      <c r="V160" s="34"/>
      <c r="W160" s="39" t="str">
        <f aca="false">IF($A160="","",IFERROR($V160/$U160,""))</f>
        <v/>
      </c>
      <c r="X160" s="34"/>
      <c r="Y160" s="37" t="str">
        <f aca="false">IF($A160="","",IF($U160="","",IF($W160&lt;='Tổng quan'!$C$8,"Đạt","Không đạt")))</f>
        <v/>
      </c>
      <c r="Z160" s="38" t="str">
        <f aca="false">IF($H160="","",IFERROR(INDEX('Nhà cung cấp'!$G$4:$G$203,MATCH($H160,'Nhà cung cấp'!$A$4:$A$203,0)),""))</f>
        <v/>
      </c>
      <c r="AA160" s="41" t="str">
        <f aca="false">IF($A160="","",IFERROR($R160+$Z160,""))</f>
        <v/>
      </c>
      <c r="AB160" s="32"/>
    </row>
    <row r="161" customFormat="false" ht="15" hidden="false" customHeight="false" outlineLevel="0" collapsed="false">
      <c r="A161" s="32"/>
      <c r="B161" s="33"/>
      <c r="C161" s="32"/>
      <c r="D161" s="37" t="str">
        <f aca="false">IF($C161="","",IFERROR(INDEX(PR!$D$4:$D$203,MATCH($C161,PR!$A$4:$A$203,0)),""))</f>
        <v/>
      </c>
      <c r="E161" s="37" t="str">
        <f aca="false">IF($C161="","",IFERROR(INDEX(PR!$E$4:$E$203,MATCH($C161,PR!$A$4:$A$203,0)),""))</f>
        <v/>
      </c>
      <c r="F161" s="37" t="str">
        <f aca="false">IF($C161="","",IFERROR(INDEX(PR!$G$4:$G$203,MATCH($C161,PR!$A$4:$A$203,0)),""))</f>
        <v/>
      </c>
      <c r="G161" s="37" t="str">
        <f aca="false">IF($C161="","",IFERROR(INDEX(PR!$F$4:$F$203,MATCH($C161,PR!$A$4:$A$203,0)),""))</f>
        <v/>
      </c>
      <c r="H161" s="32"/>
      <c r="I161" s="37" t="str">
        <f aca="false">IF($H161="","",IFERROR(INDEX('Nhà cung cấp'!$B$4:$B$203,MATCH($H161,'Nhà cung cấp'!$A$4:$A$203,0)),""))</f>
        <v/>
      </c>
      <c r="J161" s="34"/>
      <c r="K161" s="34"/>
      <c r="L161" s="38" t="str">
        <f aca="false">IF($A161="","",IFERROR($J161*$K161,""))</f>
        <v/>
      </c>
      <c r="M161" s="38" t="str">
        <f aca="false">IF($C161="","",IFERROR(INDEX(PR!$L$4:$L$203,MATCH($C161,PR!$A$4:$A$203,0)),""))</f>
        <v/>
      </c>
      <c r="N161" s="38" t="str">
        <f aca="false">IF($A161="","",IFERROR($M161-$L161,""))</f>
        <v/>
      </c>
      <c r="O161" s="32"/>
      <c r="P161" s="33"/>
      <c r="Q161" s="33"/>
      <c r="R161" s="33"/>
      <c r="S161" s="37" t="str">
        <f aca="true">IF($A161="","",IF($Q161="","",IF($R161="",IF(TODAY()&gt;$Q161,"Trễ hạn","Chưa đến hạn"),IF($R161&lt;=$Q161,"Đúng hạn","Giao trễ"))))</f>
        <v/>
      </c>
      <c r="T161" s="38" t="str">
        <f aca="true">IF($A161="","",IF($Q161="",0,IF($R161="",IF(TODAY()&gt;$Q161,TODAY()-$Q161,0),MAX(0,$R161-$Q161))))</f>
        <v/>
      </c>
      <c r="U161" s="34"/>
      <c r="V161" s="34"/>
      <c r="W161" s="39" t="str">
        <f aca="false">IF($A161="","",IFERROR($V161/$U161,""))</f>
        <v/>
      </c>
      <c r="X161" s="34"/>
      <c r="Y161" s="37" t="str">
        <f aca="false">IF($A161="","",IF($U161="","",IF($W161&lt;='Tổng quan'!$C$8,"Đạt","Không đạt")))</f>
        <v/>
      </c>
      <c r="Z161" s="38" t="str">
        <f aca="false">IF($H161="","",IFERROR(INDEX('Nhà cung cấp'!$G$4:$G$203,MATCH($H161,'Nhà cung cấp'!$A$4:$A$203,0)),""))</f>
        <v/>
      </c>
      <c r="AA161" s="41" t="str">
        <f aca="false">IF($A161="","",IFERROR($R161+$Z161,""))</f>
        <v/>
      </c>
      <c r="AB161" s="32"/>
    </row>
    <row r="162" customFormat="false" ht="15" hidden="false" customHeight="false" outlineLevel="0" collapsed="false">
      <c r="A162" s="32"/>
      <c r="B162" s="33"/>
      <c r="C162" s="32"/>
      <c r="D162" s="37" t="str">
        <f aca="false">IF($C162="","",IFERROR(INDEX(PR!$D$4:$D$203,MATCH($C162,PR!$A$4:$A$203,0)),""))</f>
        <v/>
      </c>
      <c r="E162" s="37" t="str">
        <f aca="false">IF($C162="","",IFERROR(INDEX(PR!$E$4:$E$203,MATCH($C162,PR!$A$4:$A$203,0)),""))</f>
        <v/>
      </c>
      <c r="F162" s="37" t="str">
        <f aca="false">IF($C162="","",IFERROR(INDEX(PR!$G$4:$G$203,MATCH($C162,PR!$A$4:$A$203,0)),""))</f>
        <v/>
      </c>
      <c r="G162" s="37" t="str">
        <f aca="false">IF($C162="","",IFERROR(INDEX(PR!$F$4:$F$203,MATCH($C162,PR!$A$4:$A$203,0)),""))</f>
        <v/>
      </c>
      <c r="H162" s="32"/>
      <c r="I162" s="37" t="str">
        <f aca="false">IF($H162="","",IFERROR(INDEX('Nhà cung cấp'!$B$4:$B$203,MATCH($H162,'Nhà cung cấp'!$A$4:$A$203,0)),""))</f>
        <v/>
      </c>
      <c r="J162" s="34"/>
      <c r="K162" s="34"/>
      <c r="L162" s="38" t="str">
        <f aca="false">IF($A162="","",IFERROR($J162*$K162,""))</f>
        <v/>
      </c>
      <c r="M162" s="38" t="str">
        <f aca="false">IF($C162="","",IFERROR(INDEX(PR!$L$4:$L$203,MATCH($C162,PR!$A$4:$A$203,0)),""))</f>
        <v/>
      </c>
      <c r="N162" s="38" t="str">
        <f aca="false">IF($A162="","",IFERROR($M162-$L162,""))</f>
        <v/>
      </c>
      <c r="O162" s="32"/>
      <c r="P162" s="33"/>
      <c r="Q162" s="33"/>
      <c r="R162" s="33"/>
      <c r="S162" s="37" t="str">
        <f aca="true">IF($A162="","",IF($Q162="","",IF($R162="",IF(TODAY()&gt;$Q162,"Trễ hạn","Chưa đến hạn"),IF($R162&lt;=$Q162,"Đúng hạn","Giao trễ"))))</f>
        <v/>
      </c>
      <c r="T162" s="38" t="str">
        <f aca="true">IF($A162="","",IF($Q162="",0,IF($R162="",IF(TODAY()&gt;$Q162,TODAY()-$Q162,0),MAX(0,$R162-$Q162))))</f>
        <v/>
      </c>
      <c r="U162" s="34"/>
      <c r="V162" s="34"/>
      <c r="W162" s="39" t="str">
        <f aca="false">IF($A162="","",IFERROR($V162/$U162,""))</f>
        <v/>
      </c>
      <c r="X162" s="34"/>
      <c r="Y162" s="37" t="str">
        <f aca="false">IF($A162="","",IF($U162="","",IF($W162&lt;='Tổng quan'!$C$8,"Đạt","Không đạt")))</f>
        <v/>
      </c>
      <c r="Z162" s="38" t="str">
        <f aca="false">IF($H162="","",IFERROR(INDEX('Nhà cung cấp'!$G$4:$G$203,MATCH($H162,'Nhà cung cấp'!$A$4:$A$203,0)),""))</f>
        <v/>
      </c>
      <c r="AA162" s="41" t="str">
        <f aca="false">IF($A162="","",IFERROR($R162+$Z162,""))</f>
        <v/>
      </c>
      <c r="AB162" s="32"/>
    </row>
    <row r="163" customFormat="false" ht="15" hidden="false" customHeight="false" outlineLevel="0" collapsed="false">
      <c r="A163" s="32"/>
      <c r="B163" s="33"/>
      <c r="C163" s="32"/>
      <c r="D163" s="37" t="str">
        <f aca="false">IF($C163="","",IFERROR(INDEX(PR!$D$4:$D$203,MATCH($C163,PR!$A$4:$A$203,0)),""))</f>
        <v/>
      </c>
      <c r="E163" s="37" t="str">
        <f aca="false">IF($C163="","",IFERROR(INDEX(PR!$E$4:$E$203,MATCH($C163,PR!$A$4:$A$203,0)),""))</f>
        <v/>
      </c>
      <c r="F163" s="37" t="str">
        <f aca="false">IF($C163="","",IFERROR(INDEX(PR!$G$4:$G$203,MATCH($C163,PR!$A$4:$A$203,0)),""))</f>
        <v/>
      </c>
      <c r="G163" s="37" t="str">
        <f aca="false">IF($C163="","",IFERROR(INDEX(PR!$F$4:$F$203,MATCH($C163,PR!$A$4:$A$203,0)),""))</f>
        <v/>
      </c>
      <c r="H163" s="32"/>
      <c r="I163" s="37" t="str">
        <f aca="false">IF($H163="","",IFERROR(INDEX('Nhà cung cấp'!$B$4:$B$203,MATCH($H163,'Nhà cung cấp'!$A$4:$A$203,0)),""))</f>
        <v/>
      </c>
      <c r="J163" s="34"/>
      <c r="K163" s="34"/>
      <c r="L163" s="38" t="str">
        <f aca="false">IF($A163="","",IFERROR($J163*$K163,""))</f>
        <v/>
      </c>
      <c r="M163" s="38" t="str">
        <f aca="false">IF($C163="","",IFERROR(INDEX(PR!$L$4:$L$203,MATCH($C163,PR!$A$4:$A$203,0)),""))</f>
        <v/>
      </c>
      <c r="N163" s="38" t="str">
        <f aca="false">IF($A163="","",IFERROR($M163-$L163,""))</f>
        <v/>
      </c>
      <c r="O163" s="32"/>
      <c r="P163" s="33"/>
      <c r="Q163" s="33"/>
      <c r="R163" s="33"/>
      <c r="S163" s="37" t="str">
        <f aca="true">IF($A163="","",IF($Q163="","",IF($R163="",IF(TODAY()&gt;$Q163,"Trễ hạn","Chưa đến hạn"),IF($R163&lt;=$Q163,"Đúng hạn","Giao trễ"))))</f>
        <v/>
      </c>
      <c r="T163" s="38" t="str">
        <f aca="true">IF($A163="","",IF($Q163="",0,IF($R163="",IF(TODAY()&gt;$Q163,TODAY()-$Q163,0),MAX(0,$R163-$Q163))))</f>
        <v/>
      </c>
      <c r="U163" s="34"/>
      <c r="V163" s="34"/>
      <c r="W163" s="39" t="str">
        <f aca="false">IF($A163="","",IFERROR($V163/$U163,""))</f>
        <v/>
      </c>
      <c r="X163" s="34"/>
      <c r="Y163" s="37" t="str">
        <f aca="false">IF($A163="","",IF($U163="","",IF($W163&lt;='Tổng quan'!$C$8,"Đạt","Không đạt")))</f>
        <v/>
      </c>
      <c r="Z163" s="38" t="str">
        <f aca="false">IF($H163="","",IFERROR(INDEX('Nhà cung cấp'!$G$4:$G$203,MATCH($H163,'Nhà cung cấp'!$A$4:$A$203,0)),""))</f>
        <v/>
      </c>
      <c r="AA163" s="41" t="str">
        <f aca="false">IF($A163="","",IFERROR($R163+$Z163,""))</f>
        <v/>
      </c>
      <c r="AB163" s="32"/>
    </row>
    <row r="164" customFormat="false" ht="15" hidden="false" customHeight="false" outlineLevel="0" collapsed="false">
      <c r="A164" s="32"/>
      <c r="B164" s="33"/>
      <c r="C164" s="32"/>
      <c r="D164" s="37" t="str">
        <f aca="false">IF($C164="","",IFERROR(INDEX(PR!$D$4:$D$203,MATCH($C164,PR!$A$4:$A$203,0)),""))</f>
        <v/>
      </c>
      <c r="E164" s="37" t="str">
        <f aca="false">IF($C164="","",IFERROR(INDEX(PR!$E$4:$E$203,MATCH($C164,PR!$A$4:$A$203,0)),""))</f>
        <v/>
      </c>
      <c r="F164" s="37" t="str">
        <f aca="false">IF($C164="","",IFERROR(INDEX(PR!$G$4:$G$203,MATCH($C164,PR!$A$4:$A$203,0)),""))</f>
        <v/>
      </c>
      <c r="G164" s="37" t="str">
        <f aca="false">IF($C164="","",IFERROR(INDEX(PR!$F$4:$F$203,MATCH($C164,PR!$A$4:$A$203,0)),""))</f>
        <v/>
      </c>
      <c r="H164" s="32"/>
      <c r="I164" s="37" t="str">
        <f aca="false">IF($H164="","",IFERROR(INDEX('Nhà cung cấp'!$B$4:$B$203,MATCH($H164,'Nhà cung cấp'!$A$4:$A$203,0)),""))</f>
        <v/>
      </c>
      <c r="J164" s="34"/>
      <c r="K164" s="34"/>
      <c r="L164" s="38" t="str">
        <f aca="false">IF($A164="","",IFERROR($J164*$K164,""))</f>
        <v/>
      </c>
      <c r="M164" s="38" t="str">
        <f aca="false">IF($C164="","",IFERROR(INDEX(PR!$L$4:$L$203,MATCH($C164,PR!$A$4:$A$203,0)),""))</f>
        <v/>
      </c>
      <c r="N164" s="38" t="str">
        <f aca="false">IF($A164="","",IFERROR($M164-$L164,""))</f>
        <v/>
      </c>
      <c r="O164" s="32"/>
      <c r="P164" s="33"/>
      <c r="Q164" s="33"/>
      <c r="R164" s="33"/>
      <c r="S164" s="37" t="str">
        <f aca="true">IF($A164="","",IF($Q164="","",IF($R164="",IF(TODAY()&gt;$Q164,"Trễ hạn","Chưa đến hạn"),IF($R164&lt;=$Q164,"Đúng hạn","Giao trễ"))))</f>
        <v/>
      </c>
      <c r="T164" s="38" t="str">
        <f aca="true">IF($A164="","",IF($Q164="",0,IF($R164="",IF(TODAY()&gt;$Q164,TODAY()-$Q164,0),MAX(0,$R164-$Q164))))</f>
        <v/>
      </c>
      <c r="U164" s="34"/>
      <c r="V164" s="34"/>
      <c r="W164" s="39" t="str">
        <f aca="false">IF($A164="","",IFERROR($V164/$U164,""))</f>
        <v/>
      </c>
      <c r="X164" s="34"/>
      <c r="Y164" s="37" t="str">
        <f aca="false">IF($A164="","",IF($U164="","",IF($W164&lt;='Tổng quan'!$C$8,"Đạt","Không đạt")))</f>
        <v/>
      </c>
      <c r="Z164" s="38" t="str">
        <f aca="false">IF($H164="","",IFERROR(INDEX('Nhà cung cấp'!$G$4:$G$203,MATCH($H164,'Nhà cung cấp'!$A$4:$A$203,0)),""))</f>
        <v/>
      </c>
      <c r="AA164" s="41" t="str">
        <f aca="false">IF($A164="","",IFERROR($R164+$Z164,""))</f>
        <v/>
      </c>
      <c r="AB164" s="32"/>
    </row>
    <row r="165" customFormat="false" ht="15" hidden="false" customHeight="false" outlineLevel="0" collapsed="false">
      <c r="A165" s="32"/>
      <c r="B165" s="33"/>
      <c r="C165" s="32"/>
      <c r="D165" s="37" t="str">
        <f aca="false">IF($C165="","",IFERROR(INDEX(PR!$D$4:$D$203,MATCH($C165,PR!$A$4:$A$203,0)),""))</f>
        <v/>
      </c>
      <c r="E165" s="37" t="str">
        <f aca="false">IF($C165="","",IFERROR(INDEX(PR!$E$4:$E$203,MATCH($C165,PR!$A$4:$A$203,0)),""))</f>
        <v/>
      </c>
      <c r="F165" s="37" t="str">
        <f aca="false">IF($C165="","",IFERROR(INDEX(PR!$G$4:$G$203,MATCH($C165,PR!$A$4:$A$203,0)),""))</f>
        <v/>
      </c>
      <c r="G165" s="37" t="str">
        <f aca="false">IF($C165="","",IFERROR(INDEX(PR!$F$4:$F$203,MATCH($C165,PR!$A$4:$A$203,0)),""))</f>
        <v/>
      </c>
      <c r="H165" s="32"/>
      <c r="I165" s="37" t="str">
        <f aca="false">IF($H165="","",IFERROR(INDEX('Nhà cung cấp'!$B$4:$B$203,MATCH($H165,'Nhà cung cấp'!$A$4:$A$203,0)),""))</f>
        <v/>
      </c>
      <c r="J165" s="34"/>
      <c r="K165" s="34"/>
      <c r="L165" s="38" t="str">
        <f aca="false">IF($A165="","",IFERROR($J165*$K165,""))</f>
        <v/>
      </c>
      <c r="M165" s="38" t="str">
        <f aca="false">IF($C165="","",IFERROR(INDEX(PR!$L$4:$L$203,MATCH($C165,PR!$A$4:$A$203,0)),""))</f>
        <v/>
      </c>
      <c r="N165" s="38" t="str">
        <f aca="false">IF($A165="","",IFERROR($M165-$L165,""))</f>
        <v/>
      </c>
      <c r="O165" s="32"/>
      <c r="P165" s="33"/>
      <c r="Q165" s="33"/>
      <c r="R165" s="33"/>
      <c r="S165" s="37" t="str">
        <f aca="true">IF($A165="","",IF($Q165="","",IF($R165="",IF(TODAY()&gt;$Q165,"Trễ hạn","Chưa đến hạn"),IF($R165&lt;=$Q165,"Đúng hạn","Giao trễ"))))</f>
        <v/>
      </c>
      <c r="T165" s="38" t="str">
        <f aca="true">IF($A165="","",IF($Q165="",0,IF($R165="",IF(TODAY()&gt;$Q165,TODAY()-$Q165,0),MAX(0,$R165-$Q165))))</f>
        <v/>
      </c>
      <c r="U165" s="34"/>
      <c r="V165" s="34"/>
      <c r="W165" s="39" t="str">
        <f aca="false">IF($A165="","",IFERROR($V165/$U165,""))</f>
        <v/>
      </c>
      <c r="X165" s="34"/>
      <c r="Y165" s="37" t="str">
        <f aca="false">IF($A165="","",IF($U165="","",IF($W165&lt;='Tổng quan'!$C$8,"Đạt","Không đạt")))</f>
        <v/>
      </c>
      <c r="Z165" s="38" t="str">
        <f aca="false">IF($H165="","",IFERROR(INDEX('Nhà cung cấp'!$G$4:$G$203,MATCH($H165,'Nhà cung cấp'!$A$4:$A$203,0)),""))</f>
        <v/>
      </c>
      <c r="AA165" s="41" t="str">
        <f aca="false">IF($A165="","",IFERROR($R165+$Z165,""))</f>
        <v/>
      </c>
      <c r="AB165" s="32"/>
    </row>
    <row r="166" customFormat="false" ht="15" hidden="false" customHeight="false" outlineLevel="0" collapsed="false">
      <c r="A166" s="32"/>
      <c r="B166" s="33"/>
      <c r="C166" s="32"/>
      <c r="D166" s="37" t="str">
        <f aca="false">IF($C166="","",IFERROR(INDEX(PR!$D$4:$D$203,MATCH($C166,PR!$A$4:$A$203,0)),""))</f>
        <v/>
      </c>
      <c r="E166" s="37" t="str">
        <f aca="false">IF($C166="","",IFERROR(INDEX(PR!$E$4:$E$203,MATCH($C166,PR!$A$4:$A$203,0)),""))</f>
        <v/>
      </c>
      <c r="F166" s="37" t="str">
        <f aca="false">IF($C166="","",IFERROR(INDEX(PR!$G$4:$G$203,MATCH($C166,PR!$A$4:$A$203,0)),""))</f>
        <v/>
      </c>
      <c r="G166" s="37" t="str">
        <f aca="false">IF($C166="","",IFERROR(INDEX(PR!$F$4:$F$203,MATCH($C166,PR!$A$4:$A$203,0)),""))</f>
        <v/>
      </c>
      <c r="H166" s="32"/>
      <c r="I166" s="37" t="str">
        <f aca="false">IF($H166="","",IFERROR(INDEX('Nhà cung cấp'!$B$4:$B$203,MATCH($H166,'Nhà cung cấp'!$A$4:$A$203,0)),""))</f>
        <v/>
      </c>
      <c r="J166" s="34"/>
      <c r="K166" s="34"/>
      <c r="L166" s="38" t="str">
        <f aca="false">IF($A166="","",IFERROR($J166*$K166,""))</f>
        <v/>
      </c>
      <c r="M166" s="38" t="str">
        <f aca="false">IF($C166="","",IFERROR(INDEX(PR!$L$4:$L$203,MATCH($C166,PR!$A$4:$A$203,0)),""))</f>
        <v/>
      </c>
      <c r="N166" s="38" t="str">
        <f aca="false">IF($A166="","",IFERROR($M166-$L166,""))</f>
        <v/>
      </c>
      <c r="O166" s="32"/>
      <c r="P166" s="33"/>
      <c r="Q166" s="33"/>
      <c r="R166" s="33"/>
      <c r="S166" s="37" t="str">
        <f aca="true">IF($A166="","",IF($Q166="","",IF($R166="",IF(TODAY()&gt;$Q166,"Trễ hạn","Chưa đến hạn"),IF($R166&lt;=$Q166,"Đúng hạn","Giao trễ"))))</f>
        <v/>
      </c>
      <c r="T166" s="38" t="str">
        <f aca="true">IF($A166="","",IF($Q166="",0,IF($R166="",IF(TODAY()&gt;$Q166,TODAY()-$Q166,0),MAX(0,$R166-$Q166))))</f>
        <v/>
      </c>
      <c r="U166" s="34"/>
      <c r="V166" s="34"/>
      <c r="W166" s="39" t="str">
        <f aca="false">IF($A166="","",IFERROR($V166/$U166,""))</f>
        <v/>
      </c>
      <c r="X166" s="34"/>
      <c r="Y166" s="37" t="str">
        <f aca="false">IF($A166="","",IF($U166="","",IF($W166&lt;='Tổng quan'!$C$8,"Đạt","Không đạt")))</f>
        <v/>
      </c>
      <c r="Z166" s="38" t="str">
        <f aca="false">IF($H166="","",IFERROR(INDEX('Nhà cung cấp'!$G$4:$G$203,MATCH($H166,'Nhà cung cấp'!$A$4:$A$203,0)),""))</f>
        <v/>
      </c>
      <c r="AA166" s="41" t="str">
        <f aca="false">IF($A166="","",IFERROR($R166+$Z166,""))</f>
        <v/>
      </c>
      <c r="AB166" s="32"/>
    </row>
    <row r="167" customFormat="false" ht="15" hidden="false" customHeight="false" outlineLevel="0" collapsed="false">
      <c r="A167" s="32"/>
      <c r="B167" s="33"/>
      <c r="C167" s="32"/>
      <c r="D167" s="37" t="str">
        <f aca="false">IF($C167="","",IFERROR(INDEX(PR!$D$4:$D$203,MATCH($C167,PR!$A$4:$A$203,0)),""))</f>
        <v/>
      </c>
      <c r="E167" s="37" t="str">
        <f aca="false">IF($C167="","",IFERROR(INDEX(PR!$E$4:$E$203,MATCH($C167,PR!$A$4:$A$203,0)),""))</f>
        <v/>
      </c>
      <c r="F167" s="37" t="str">
        <f aca="false">IF($C167="","",IFERROR(INDEX(PR!$G$4:$G$203,MATCH($C167,PR!$A$4:$A$203,0)),""))</f>
        <v/>
      </c>
      <c r="G167" s="37" t="str">
        <f aca="false">IF($C167="","",IFERROR(INDEX(PR!$F$4:$F$203,MATCH($C167,PR!$A$4:$A$203,0)),""))</f>
        <v/>
      </c>
      <c r="H167" s="32"/>
      <c r="I167" s="37" t="str">
        <f aca="false">IF($H167="","",IFERROR(INDEX('Nhà cung cấp'!$B$4:$B$203,MATCH($H167,'Nhà cung cấp'!$A$4:$A$203,0)),""))</f>
        <v/>
      </c>
      <c r="J167" s="34"/>
      <c r="K167" s="34"/>
      <c r="L167" s="38" t="str">
        <f aca="false">IF($A167="","",IFERROR($J167*$K167,""))</f>
        <v/>
      </c>
      <c r="M167" s="38" t="str">
        <f aca="false">IF($C167="","",IFERROR(INDEX(PR!$L$4:$L$203,MATCH($C167,PR!$A$4:$A$203,0)),""))</f>
        <v/>
      </c>
      <c r="N167" s="38" t="str">
        <f aca="false">IF($A167="","",IFERROR($M167-$L167,""))</f>
        <v/>
      </c>
      <c r="O167" s="32"/>
      <c r="P167" s="33"/>
      <c r="Q167" s="33"/>
      <c r="R167" s="33"/>
      <c r="S167" s="37" t="str">
        <f aca="true">IF($A167="","",IF($Q167="","",IF($R167="",IF(TODAY()&gt;$Q167,"Trễ hạn","Chưa đến hạn"),IF($R167&lt;=$Q167,"Đúng hạn","Giao trễ"))))</f>
        <v/>
      </c>
      <c r="T167" s="38" t="str">
        <f aca="true">IF($A167="","",IF($Q167="",0,IF($R167="",IF(TODAY()&gt;$Q167,TODAY()-$Q167,0),MAX(0,$R167-$Q167))))</f>
        <v/>
      </c>
      <c r="U167" s="34"/>
      <c r="V167" s="34"/>
      <c r="W167" s="39" t="str">
        <f aca="false">IF($A167="","",IFERROR($V167/$U167,""))</f>
        <v/>
      </c>
      <c r="X167" s="34"/>
      <c r="Y167" s="37" t="str">
        <f aca="false">IF($A167="","",IF($U167="","",IF($W167&lt;='Tổng quan'!$C$8,"Đạt","Không đạt")))</f>
        <v/>
      </c>
      <c r="Z167" s="38" t="str">
        <f aca="false">IF($H167="","",IFERROR(INDEX('Nhà cung cấp'!$G$4:$G$203,MATCH($H167,'Nhà cung cấp'!$A$4:$A$203,0)),""))</f>
        <v/>
      </c>
      <c r="AA167" s="41" t="str">
        <f aca="false">IF($A167="","",IFERROR($R167+$Z167,""))</f>
        <v/>
      </c>
      <c r="AB167" s="32"/>
    </row>
    <row r="168" customFormat="false" ht="15" hidden="false" customHeight="false" outlineLevel="0" collapsed="false">
      <c r="A168" s="32"/>
      <c r="B168" s="33"/>
      <c r="C168" s="32"/>
      <c r="D168" s="37" t="str">
        <f aca="false">IF($C168="","",IFERROR(INDEX(PR!$D$4:$D$203,MATCH($C168,PR!$A$4:$A$203,0)),""))</f>
        <v/>
      </c>
      <c r="E168" s="37" t="str">
        <f aca="false">IF($C168="","",IFERROR(INDEX(PR!$E$4:$E$203,MATCH($C168,PR!$A$4:$A$203,0)),""))</f>
        <v/>
      </c>
      <c r="F168" s="37" t="str">
        <f aca="false">IF($C168="","",IFERROR(INDEX(PR!$G$4:$G$203,MATCH($C168,PR!$A$4:$A$203,0)),""))</f>
        <v/>
      </c>
      <c r="G168" s="37" t="str">
        <f aca="false">IF($C168="","",IFERROR(INDEX(PR!$F$4:$F$203,MATCH($C168,PR!$A$4:$A$203,0)),""))</f>
        <v/>
      </c>
      <c r="H168" s="32"/>
      <c r="I168" s="37" t="str">
        <f aca="false">IF($H168="","",IFERROR(INDEX('Nhà cung cấp'!$B$4:$B$203,MATCH($H168,'Nhà cung cấp'!$A$4:$A$203,0)),""))</f>
        <v/>
      </c>
      <c r="J168" s="34"/>
      <c r="K168" s="34"/>
      <c r="L168" s="38" t="str">
        <f aca="false">IF($A168="","",IFERROR($J168*$K168,""))</f>
        <v/>
      </c>
      <c r="M168" s="38" t="str">
        <f aca="false">IF($C168="","",IFERROR(INDEX(PR!$L$4:$L$203,MATCH($C168,PR!$A$4:$A$203,0)),""))</f>
        <v/>
      </c>
      <c r="N168" s="38" t="str">
        <f aca="false">IF($A168="","",IFERROR($M168-$L168,""))</f>
        <v/>
      </c>
      <c r="O168" s="32"/>
      <c r="P168" s="33"/>
      <c r="Q168" s="33"/>
      <c r="R168" s="33"/>
      <c r="S168" s="37" t="str">
        <f aca="true">IF($A168="","",IF($Q168="","",IF($R168="",IF(TODAY()&gt;$Q168,"Trễ hạn","Chưa đến hạn"),IF($R168&lt;=$Q168,"Đúng hạn","Giao trễ"))))</f>
        <v/>
      </c>
      <c r="T168" s="38" t="str">
        <f aca="true">IF($A168="","",IF($Q168="",0,IF($R168="",IF(TODAY()&gt;$Q168,TODAY()-$Q168,0),MAX(0,$R168-$Q168))))</f>
        <v/>
      </c>
      <c r="U168" s="34"/>
      <c r="V168" s="34"/>
      <c r="W168" s="39" t="str">
        <f aca="false">IF($A168="","",IFERROR($V168/$U168,""))</f>
        <v/>
      </c>
      <c r="X168" s="34"/>
      <c r="Y168" s="37" t="str">
        <f aca="false">IF($A168="","",IF($U168="","",IF($W168&lt;='Tổng quan'!$C$8,"Đạt","Không đạt")))</f>
        <v/>
      </c>
      <c r="Z168" s="38" t="str">
        <f aca="false">IF($H168="","",IFERROR(INDEX('Nhà cung cấp'!$G$4:$G$203,MATCH($H168,'Nhà cung cấp'!$A$4:$A$203,0)),""))</f>
        <v/>
      </c>
      <c r="AA168" s="41" t="str">
        <f aca="false">IF($A168="","",IFERROR($R168+$Z168,""))</f>
        <v/>
      </c>
      <c r="AB168" s="32"/>
    </row>
    <row r="169" customFormat="false" ht="15" hidden="false" customHeight="false" outlineLevel="0" collapsed="false">
      <c r="A169" s="32"/>
      <c r="B169" s="33"/>
      <c r="C169" s="32"/>
      <c r="D169" s="37" t="str">
        <f aca="false">IF($C169="","",IFERROR(INDEX(PR!$D$4:$D$203,MATCH($C169,PR!$A$4:$A$203,0)),""))</f>
        <v/>
      </c>
      <c r="E169" s="37" t="str">
        <f aca="false">IF($C169="","",IFERROR(INDEX(PR!$E$4:$E$203,MATCH($C169,PR!$A$4:$A$203,0)),""))</f>
        <v/>
      </c>
      <c r="F169" s="37" t="str">
        <f aca="false">IF($C169="","",IFERROR(INDEX(PR!$G$4:$G$203,MATCH($C169,PR!$A$4:$A$203,0)),""))</f>
        <v/>
      </c>
      <c r="G169" s="37" t="str">
        <f aca="false">IF($C169="","",IFERROR(INDEX(PR!$F$4:$F$203,MATCH($C169,PR!$A$4:$A$203,0)),""))</f>
        <v/>
      </c>
      <c r="H169" s="32"/>
      <c r="I169" s="37" t="str">
        <f aca="false">IF($H169="","",IFERROR(INDEX('Nhà cung cấp'!$B$4:$B$203,MATCH($H169,'Nhà cung cấp'!$A$4:$A$203,0)),""))</f>
        <v/>
      </c>
      <c r="J169" s="34"/>
      <c r="K169" s="34"/>
      <c r="L169" s="38" t="str">
        <f aca="false">IF($A169="","",IFERROR($J169*$K169,""))</f>
        <v/>
      </c>
      <c r="M169" s="38" t="str">
        <f aca="false">IF($C169="","",IFERROR(INDEX(PR!$L$4:$L$203,MATCH($C169,PR!$A$4:$A$203,0)),""))</f>
        <v/>
      </c>
      <c r="N169" s="38" t="str">
        <f aca="false">IF($A169="","",IFERROR($M169-$L169,""))</f>
        <v/>
      </c>
      <c r="O169" s="32"/>
      <c r="P169" s="33"/>
      <c r="Q169" s="33"/>
      <c r="R169" s="33"/>
      <c r="S169" s="37" t="str">
        <f aca="true">IF($A169="","",IF($Q169="","",IF($R169="",IF(TODAY()&gt;$Q169,"Trễ hạn","Chưa đến hạn"),IF($R169&lt;=$Q169,"Đúng hạn","Giao trễ"))))</f>
        <v/>
      </c>
      <c r="T169" s="38" t="str">
        <f aca="true">IF($A169="","",IF($Q169="",0,IF($R169="",IF(TODAY()&gt;$Q169,TODAY()-$Q169,0),MAX(0,$R169-$Q169))))</f>
        <v/>
      </c>
      <c r="U169" s="34"/>
      <c r="V169" s="34"/>
      <c r="W169" s="39" t="str">
        <f aca="false">IF($A169="","",IFERROR($V169/$U169,""))</f>
        <v/>
      </c>
      <c r="X169" s="34"/>
      <c r="Y169" s="37" t="str">
        <f aca="false">IF($A169="","",IF($U169="","",IF($W169&lt;='Tổng quan'!$C$8,"Đạt","Không đạt")))</f>
        <v/>
      </c>
      <c r="Z169" s="38" t="str">
        <f aca="false">IF($H169="","",IFERROR(INDEX('Nhà cung cấp'!$G$4:$G$203,MATCH($H169,'Nhà cung cấp'!$A$4:$A$203,0)),""))</f>
        <v/>
      </c>
      <c r="AA169" s="41" t="str">
        <f aca="false">IF($A169="","",IFERROR($R169+$Z169,""))</f>
        <v/>
      </c>
      <c r="AB169" s="32"/>
    </row>
    <row r="170" customFormat="false" ht="15" hidden="false" customHeight="false" outlineLevel="0" collapsed="false">
      <c r="A170" s="32"/>
      <c r="B170" s="33"/>
      <c r="C170" s="32"/>
      <c r="D170" s="37" t="str">
        <f aca="false">IF($C170="","",IFERROR(INDEX(PR!$D$4:$D$203,MATCH($C170,PR!$A$4:$A$203,0)),""))</f>
        <v/>
      </c>
      <c r="E170" s="37" t="str">
        <f aca="false">IF($C170="","",IFERROR(INDEX(PR!$E$4:$E$203,MATCH($C170,PR!$A$4:$A$203,0)),""))</f>
        <v/>
      </c>
      <c r="F170" s="37" t="str">
        <f aca="false">IF($C170="","",IFERROR(INDEX(PR!$G$4:$G$203,MATCH($C170,PR!$A$4:$A$203,0)),""))</f>
        <v/>
      </c>
      <c r="G170" s="37" t="str">
        <f aca="false">IF($C170="","",IFERROR(INDEX(PR!$F$4:$F$203,MATCH($C170,PR!$A$4:$A$203,0)),""))</f>
        <v/>
      </c>
      <c r="H170" s="32"/>
      <c r="I170" s="37" t="str">
        <f aca="false">IF($H170="","",IFERROR(INDEX('Nhà cung cấp'!$B$4:$B$203,MATCH($H170,'Nhà cung cấp'!$A$4:$A$203,0)),""))</f>
        <v/>
      </c>
      <c r="J170" s="34"/>
      <c r="K170" s="34"/>
      <c r="L170" s="38" t="str">
        <f aca="false">IF($A170="","",IFERROR($J170*$K170,""))</f>
        <v/>
      </c>
      <c r="M170" s="38" t="str">
        <f aca="false">IF($C170="","",IFERROR(INDEX(PR!$L$4:$L$203,MATCH($C170,PR!$A$4:$A$203,0)),""))</f>
        <v/>
      </c>
      <c r="N170" s="38" t="str">
        <f aca="false">IF($A170="","",IFERROR($M170-$L170,""))</f>
        <v/>
      </c>
      <c r="O170" s="32"/>
      <c r="P170" s="33"/>
      <c r="Q170" s="33"/>
      <c r="R170" s="33"/>
      <c r="S170" s="37" t="str">
        <f aca="true">IF($A170="","",IF($Q170="","",IF($R170="",IF(TODAY()&gt;$Q170,"Trễ hạn","Chưa đến hạn"),IF($R170&lt;=$Q170,"Đúng hạn","Giao trễ"))))</f>
        <v/>
      </c>
      <c r="T170" s="38" t="str">
        <f aca="true">IF($A170="","",IF($Q170="",0,IF($R170="",IF(TODAY()&gt;$Q170,TODAY()-$Q170,0),MAX(0,$R170-$Q170))))</f>
        <v/>
      </c>
      <c r="U170" s="34"/>
      <c r="V170" s="34"/>
      <c r="W170" s="39" t="str">
        <f aca="false">IF($A170="","",IFERROR($V170/$U170,""))</f>
        <v/>
      </c>
      <c r="X170" s="34"/>
      <c r="Y170" s="37" t="str">
        <f aca="false">IF($A170="","",IF($U170="","",IF($W170&lt;='Tổng quan'!$C$8,"Đạt","Không đạt")))</f>
        <v/>
      </c>
      <c r="Z170" s="38" t="str">
        <f aca="false">IF($H170="","",IFERROR(INDEX('Nhà cung cấp'!$G$4:$G$203,MATCH($H170,'Nhà cung cấp'!$A$4:$A$203,0)),""))</f>
        <v/>
      </c>
      <c r="AA170" s="41" t="str">
        <f aca="false">IF($A170="","",IFERROR($R170+$Z170,""))</f>
        <v/>
      </c>
      <c r="AB170" s="32"/>
    </row>
    <row r="171" customFormat="false" ht="15" hidden="false" customHeight="false" outlineLevel="0" collapsed="false">
      <c r="A171" s="32"/>
      <c r="B171" s="33"/>
      <c r="C171" s="32"/>
      <c r="D171" s="37" t="str">
        <f aca="false">IF($C171="","",IFERROR(INDEX(PR!$D$4:$D$203,MATCH($C171,PR!$A$4:$A$203,0)),""))</f>
        <v/>
      </c>
      <c r="E171" s="37" t="str">
        <f aca="false">IF($C171="","",IFERROR(INDEX(PR!$E$4:$E$203,MATCH($C171,PR!$A$4:$A$203,0)),""))</f>
        <v/>
      </c>
      <c r="F171" s="37" t="str">
        <f aca="false">IF($C171="","",IFERROR(INDEX(PR!$G$4:$G$203,MATCH($C171,PR!$A$4:$A$203,0)),""))</f>
        <v/>
      </c>
      <c r="G171" s="37" t="str">
        <f aca="false">IF($C171="","",IFERROR(INDEX(PR!$F$4:$F$203,MATCH($C171,PR!$A$4:$A$203,0)),""))</f>
        <v/>
      </c>
      <c r="H171" s="32"/>
      <c r="I171" s="37" t="str">
        <f aca="false">IF($H171="","",IFERROR(INDEX('Nhà cung cấp'!$B$4:$B$203,MATCH($H171,'Nhà cung cấp'!$A$4:$A$203,0)),""))</f>
        <v/>
      </c>
      <c r="J171" s="34"/>
      <c r="K171" s="34"/>
      <c r="L171" s="38" t="str">
        <f aca="false">IF($A171="","",IFERROR($J171*$K171,""))</f>
        <v/>
      </c>
      <c r="M171" s="38" t="str">
        <f aca="false">IF($C171="","",IFERROR(INDEX(PR!$L$4:$L$203,MATCH($C171,PR!$A$4:$A$203,0)),""))</f>
        <v/>
      </c>
      <c r="N171" s="38" t="str">
        <f aca="false">IF($A171="","",IFERROR($M171-$L171,""))</f>
        <v/>
      </c>
      <c r="O171" s="32"/>
      <c r="P171" s="33"/>
      <c r="Q171" s="33"/>
      <c r="R171" s="33"/>
      <c r="S171" s="37" t="str">
        <f aca="true">IF($A171="","",IF($Q171="","",IF($R171="",IF(TODAY()&gt;$Q171,"Trễ hạn","Chưa đến hạn"),IF($R171&lt;=$Q171,"Đúng hạn","Giao trễ"))))</f>
        <v/>
      </c>
      <c r="T171" s="38" t="str">
        <f aca="true">IF($A171="","",IF($Q171="",0,IF($R171="",IF(TODAY()&gt;$Q171,TODAY()-$Q171,0),MAX(0,$R171-$Q171))))</f>
        <v/>
      </c>
      <c r="U171" s="34"/>
      <c r="V171" s="34"/>
      <c r="W171" s="39" t="str">
        <f aca="false">IF($A171="","",IFERROR($V171/$U171,""))</f>
        <v/>
      </c>
      <c r="X171" s="34"/>
      <c r="Y171" s="37" t="str">
        <f aca="false">IF($A171="","",IF($U171="","",IF($W171&lt;='Tổng quan'!$C$8,"Đạt","Không đạt")))</f>
        <v/>
      </c>
      <c r="Z171" s="38" t="str">
        <f aca="false">IF($H171="","",IFERROR(INDEX('Nhà cung cấp'!$G$4:$G$203,MATCH($H171,'Nhà cung cấp'!$A$4:$A$203,0)),""))</f>
        <v/>
      </c>
      <c r="AA171" s="41" t="str">
        <f aca="false">IF($A171="","",IFERROR($R171+$Z171,""))</f>
        <v/>
      </c>
      <c r="AB171" s="32"/>
    </row>
    <row r="172" customFormat="false" ht="15" hidden="false" customHeight="false" outlineLevel="0" collapsed="false">
      <c r="A172" s="32"/>
      <c r="B172" s="33"/>
      <c r="C172" s="32"/>
      <c r="D172" s="37" t="str">
        <f aca="false">IF($C172="","",IFERROR(INDEX(PR!$D$4:$D$203,MATCH($C172,PR!$A$4:$A$203,0)),""))</f>
        <v/>
      </c>
      <c r="E172" s="37" t="str">
        <f aca="false">IF($C172="","",IFERROR(INDEX(PR!$E$4:$E$203,MATCH($C172,PR!$A$4:$A$203,0)),""))</f>
        <v/>
      </c>
      <c r="F172" s="37" t="str">
        <f aca="false">IF($C172="","",IFERROR(INDEX(PR!$G$4:$G$203,MATCH($C172,PR!$A$4:$A$203,0)),""))</f>
        <v/>
      </c>
      <c r="G172" s="37" t="str">
        <f aca="false">IF($C172="","",IFERROR(INDEX(PR!$F$4:$F$203,MATCH($C172,PR!$A$4:$A$203,0)),""))</f>
        <v/>
      </c>
      <c r="H172" s="32"/>
      <c r="I172" s="37" t="str">
        <f aca="false">IF($H172="","",IFERROR(INDEX('Nhà cung cấp'!$B$4:$B$203,MATCH($H172,'Nhà cung cấp'!$A$4:$A$203,0)),""))</f>
        <v/>
      </c>
      <c r="J172" s="34"/>
      <c r="K172" s="34"/>
      <c r="L172" s="38" t="str">
        <f aca="false">IF($A172="","",IFERROR($J172*$K172,""))</f>
        <v/>
      </c>
      <c r="M172" s="38" t="str">
        <f aca="false">IF($C172="","",IFERROR(INDEX(PR!$L$4:$L$203,MATCH($C172,PR!$A$4:$A$203,0)),""))</f>
        <v/>
      </c>
      <c r="N172" s="38" t="str">
        <f aca="false">IF($A172="","",IFERROR($M172-$L172,""))</f>
        <v/>
      </c>
      <c r="O172" s="32"/>
      <c r="P172" s="33"/>
      <c r="Q172" s="33"/>
      <c r="R172" s="33"/>
      <c r="S172" s="37" t="str">
        <f aca="true">IF($A172="","",IF($Q172="","",IF($R172="",IF(TODAY()&gt;$Q172,"Trễ hạn","Chưa đến hạn"),IF($R172&lt;=$Q172,"Đúng hạn","Giao trễ"))))</f>
        <v/>
      </c>
      <c r="T172" s="38" t="str">
        <f aca="true">IF($A172="","",IF($Q172="",0,IF($R172="",IF(TODAY()&gt;$Q172,TODAY()-$Q172,0),MAX(0,$R172-$Q172))))</f>
        <v/>
      </c>
      <c r="U172" s="34"/>
      <c r="V172" s="34"/>
      <c r="W172" s="39" t="str">
        <f aca="false">IF($A172="","",IFERROR($V172/$U172,""))</f>
        <v/>
      </c>
      <c r="X172" s="34"/>
      <c r="Y172" s="37" t="str">
        <f aca="false">IF($A172="","",IF($U172="","",IF($W172&lt;='Tổng quan'!$C$8,"Đạt","Không đạt")))</f>
        <v/>
      </c>
      <c r="Z172" s="38" t="str">
        <f aca="false">IF($H172="","",IFERROR(INDEX('Nhà cung cấp'!$G$4:$G$203,MATCH($H172,'Nhà cung cấp'!$A$4:$A$203,0)),""))</f>
        <v/>
      </c>
      <c r="AA172" s="41" t="str">
        <f aca="false">IF($A172="","",IFERROR($R172+$Z172,""))</f>
        <v/>
      </c>
      <c r="AB172" s="32"/>
    </row>
    <row r="173" customFormat="false" ht="15" hidden="false" customHeight="false" outlineLevel="0" collapsed="false">
      <c r="A173" s="32"/>
      <c r="B173" s="33"/>
      <c r="C173" s="32"/>
      <c r="D173" s="37" t="str">
        <f aca="false">IF($C173="","",IFERROR(INDEX(PR!$D$4:$D$203,MATCH($C173,PR!$A$4:$A$203,0)),""))</f>
        <v/>
      </c>
      <c r="E173" s="37" t="str">
        <f aca="false">IF($C173="","",IFERROR(INDEX(PR!$E$4:$E$203,MATCH($C173,PR!$A$4:$A$203,0)),""))</f>
        <v/>
      </c>
      <c r="F173" s="37" t="str">
        <f aca="false">IF($C173="","",IFERROR(INDEX(PR!$G$4:$G$203,MATCH($C173,PR!$A$4:$A$203,0)),""))</f>
        <v/>
      </c>
      <c r="G173" s="37" t="str">
        <f aca="false">IF($C173="","",IFERROR(INDEX(PR!$F$4:$F$203,MATCH($C173,PR!$A$4:$A$203,0)),""))</f>
        <v/>
      </c>
      <c r="H173" s="32"/>
      <c r="I173" s="37" t="str">
        <f aca="false">IF($H173="","",IFERROR(INDEX('Nhà cung cấp'!$B$4:$B$203,MATCH($H173,'Nhà cung cấp'!$A$4:$A$203,0)),""))</f>
        <v/>
      </c>
      <c r="J173" s="34"/>
      <c r="K173" s="34"/>
      <c r="L173" s="38" t="str">
        <f aca="false">IF($A173="","",IFERROR($J173*$K173,""))</f>
        <v/>
      </c>
      <c r="M173" s="38" t="str">
        <f aca="false">IF($C173="","",IFERROR(INDEX(PR!$L$4:$L$203,MATCH($C173,PR!$A$4:$A$203,0)),""))</f>
        <v/>
      </c>
      <c r="N173" s="38" t="str">
        <f aca="false">IF($A173="","",IFERROR($M173-$L173,""))</f>
        <v/>
      </c>
      <c r="O173" s="32"/>
      <c r="P173" s="33"/>
      <c r="Q173" s="33"/>
      <c r="R173" s="33"/>
      <c r="S173" s="37" t="str">
        <f aca="true">IF($A173="","",IF($Q173="","",IF($R173="",IF(TODAY()&gt;$Q173,"Trễ hạn","Chưa đến hạn"),IF($R173&lt;=$Q173,"Đúng hạn","Giao trễ"))))</f>
        <v/>
      </c>
      <c r="T173" s="38" t="str">
        <f aca="true">IF($A173="","",IF($Q173="",0,IF($R173="",IF(TODAY()&gt;$Q173,TODAY()-$Q173,0),MAX(0,$R173-$Q173))))</f>
        <v/>
      </c>
      <c r="U173" s="34"/>
      <c r="V173" s="34"/>
      <c r="W173" s="39" t="str">
        <f aca="false">IF($A173="","",IFERROR($V173/$U173,""))</f>
        <v/>
      </c>
      <c r="X173" s="34"/>
      <c r="Y173" s="37" t="str">
        <f aca="false">IF($A173="","",IF($U173="","",IF($W173&lt;='Tổng quan'!$C$8,"Đạt","Không đạt")))</f>
        <v/>
      </c>
      <c r="Z173" s="38" t="str">
        <f aca="false">IF($H173="","",IFERROR(INDEX('Nhà cung cấp'!$G$4:$G$203,MATCH($H173,'Nhà cung cấp'!$A$4:$A$203,0)),""))</f>
        <v/>
      </c>
      <c r="AA173" s="41" t="str">
        <f aca="false">IF($A173="","",IFERROR($R173+$Z173,""))</f>
        <v/>
      </c>
      <c r="AB173" s="32"/>
    </row>
    <row r="174" customFormat="false" ht="15" hidden="false" customHeight="false" outlineLevel="0" collapsed="false">
      <c r="A174" s="32"/>
      <c r="B174" s="33"/>
      <c r="C174" s="32"/>
      <c r="D174" s="37" t="str">
        <f aca="false">IF($C174="","",IFERROR(INDEX(PR!$D$4:$D$203,MATCH($C174,PR!$A$4:$A$203,0)),""))</f>
        <v/>
      </c>
      <c r="E174" s="37" t="str">
        <f aca="false">IF($C174="","",IFERROR(INDEX(PR!$E$4:$E$203,MATCH($C174,PR!$A$4:$A$203,0)),""))</f>
        <v/>
      </c>
      <c r="F174" s="37" t="str">
        <f aca="false">IF($C174="","",IFERROR(INDEX(PR!$G$4:$G$203,MATCH($C174,PR!$A$4:$A$203,0)),""))</f>
        <v/>
      </c>
      <c r="G174" s="37" t="str">
        <f aca="false">IF($C174="","",IFERROR(INDEX(PR!$F$4:$F$203,MATCH($C174,PR!$A$4:$A$203,0)),""))</f>
        <v/>
      </c>
      <c r="H174" s="32"/>
      <c r="I174" s="37" t="str">
        <f aca="false">IF($H174="","",IFERROR(INDEX('Nhà cung cấp'!$B$4:$B$203,MATCH($H174,'Nhà cung cấp'!$A$4:$A$203,0)),""))</f>
        <v/>
      </c>
      <c r="J174" s="34"/>
      <c r="K174" s="34"/>
      <c r="L174" s="38" t="str">
        <f aca="false">IF($A174="","",IFERROR($J174*$K174,""))</f>
        <v/>
      </c>
      <c r="M174" s="38" t="str">
        <f aca="false">IF($C174="","",IFERROR(INDEX(PR!$L$4:$L$203,MATCH($C174,PR!$A$4:$A$203,0)),""))</f>
        <v/>
      </c>
      <c r="N174" s="38" t="str">
        <f aca="false">IF($A174="","",IFERROR($M174-$L174,""))</f>
        <v/>
      </c>
      <c r="O174" s="32"/>
      <c r="P174" s="33"/>
      <c r="Q174" s="33"/>
      <c r="R174" s="33"/>
      <c r="S174" s="37" t="str">
        <f aca="true">IF($A174="","",IF($Q174="","",IF($R174="",IF(TODAY()&gt;$Q174,"Trễ hạn","Chưa đến hạn"),IF($R174&lt;=$Q174,"Đúng hạn","Giao trễ"))))</f>
        <v/>
      </c>
      <c r="T174" s="38" t="str">
        <f aca="true">IF($A174="","",IF($Q174="",0,IF($R174="",IF(TODAY()&gt;$Q174,TODAY()-$Q174,0),MAX(0,$R174-$Q174))))</f>
        <v/>
      </c>
      <c r="U174" s="34"/>
      <c r="V174" s="34"/>
      <c r="W174" s="39" t="str">
        <f aca="false">IF($A174="","",IFERROR($V174/$U174,""))</f>
        <v/>
      </c>
      <c r="X174" s="34"/>
      <c r="Y174" s="37" t="str">
        <f aca="false">IF($A174="","",IF($U174="","",IF($W174&lt;='Tổng quan'!$C$8,"Đạt","Không đạt")))</f>
        <v/>
      </c>
      <c r="Z174" s="38" t="str">
        <f aca="false">IF($H174="","",IFERROR(INDEX('Nhà cung cấp'!$G$4:$G$203,MATCH($H174,'Nhà cung cấp'!$A$4:$A$203,0)),""))</f>
        <v/>
      </c>
      <c r="AA174" s="41" t="str">
        <f aca="false">IF($A174="","",IFERROR($R174+$Z174,""))</f>
        <v/>
      </c>
      <c r="AB174" s="32"/>
    </row>
    <row r="175" customFormat="false" ht="15" hidden="false" customHeight="false" outlineLevel="0" collapsed="false">
      <c r="A175" s="32"/>
      <c r="B175" s="33"/>
      <c r="C175" s="32"/>
      <c r="D175" s="37" t="str">
        <f aca="false">IF($C175="","",IFERROR(INDEX(PR!$D$4:$D$203,MATCH($C175,PR!$A$4:$A$203,0)),""))</f>
        <v/>
      </c>
      <c r="E175" s="37" t="str">
        <f aca="false">IF($C175="","",IFERROR(INDEX(PR!$E$4:$E$203,MATCH($C175,PR!$A$4:$A$203,0)),""))</f>
        <v/>
      </c>
      <c r="F175" s="37" t="str">
        <f aca="false">IF($C175="","",IFERROR(INDEX(PR!$G$4:$G$203,MATCH($C175,PR!$A$4:$A$203,0)),""))</f>
        <v/>
      </c>
      <c r="G175" s="37" t="str">
        <f aca="false">IF($C175="","",IFERROR(INDEX(PR!$F$4:$F$203,MATCH($C175,PR!$A$4:$A$203,0)),""))</f>
        <v/>
      </c>
      <c r="H175" s="32"/>
      <c r="I175" s="37" t="str">
        <f aca="false">IF($H175="","",IFERROR(INDEX('Nhà cung cấp'!$B$4:$B$203,MATCH($H175,'Nhà cung cấp'!$A$4:$A$203,0)),""))</f>
        <v/>
      </c>
      <c r="J175" s="34"/>
      <c r="K175" s="34"/>
      <c r="L175" s="38" t="str">
        <f aca="false">IF($A175="","",IFERROR($J175*$K175,""))</f>
        <v/>
      </c>
      <c r="M175" s="38" t="str">
        <f aca="false">IF($C175="","",IFERROR(INDEX(PR!$L$4:$L$203,MATCH($C175,PR!$A$4:$A$203,0)),""))</f>
        <v/>
      </c>
      <c r="N175" s="38" t="str">
        <f aca="false">IF($A175="","",IFERROR($M175-$L175,""))</f>
        <v/>
      </c>
      <c r="O175" s="32"/>
      <c r="P175" s="33"/>
      <c r="Q175" s="33"/>
      <c r="R175" s="33"/>
      <c r="S175" s="37" t="str">
        <f aca="true">IF($A175="","",IF($Q175="","",IF($R175="",IF(TODAY()&gt;$Q175,"Trễ hạn","Chưa đến hạn"),IF($R175&lt;=$Q175,"Đúng hạn","Giao trễ"))))</f>
        <v/>
      </c>
      <c r="T175" s="38" t="str">
        <f aca="true">IF($A175="","",IF($Q175="",0,IF($R175="",IF(TODAY()&gt;$Q175,TODAY()-$Q175,0),MAX(0,$R175-$Q175))))</f>
        <v/>
      </c>
      <c r="U175" s="34"/>
      <c r="V175" s="34"/>
      <c r="W175" s="39" t="str">
        <f aca="false">IF($A175="","",IFERROR($V175/$U175,""))</f>
        <v/>
      </c>
      <c r="X175" s="34"/>
      <c r="Y175" s="37" t="str">
        <f aca="false">IF($A175="","",IF($U175="","",IF($W175&lt;='Tổng quan'!$C$8,"Đạt","Không đạt")))</f>
        <v/>
      </c>
      <c r="Z175" s="38" t="str">
        <f aca="false">IF($H175="","",IFERROR(INDEX('Nhà cung cấp'!$G$4:$G$203,MATCH($H175,'Nhà cung cấp'!$A$4:$A$203,0)),""))</f>
        <v/>
      </c>
      <c r="AA175" s="41" t="str">
        <f aca="false">IF($A175="","",IFERROR($R175+$Z175,""))</f>
        <v/>
      </c>
      <c r="AB175" s="32"/>
    </row>
    <row r="176" customFormat="false" ht="15" hidden="false" customHeight="false" outlineLevel="0" collapsed="false">
      <c r="A176" s="32"/>
      <c r="B176" s="33"/>
      <c r="C176" s="32"/>
      <c r="D176" s="37" t="str">
        <f aca="false">IF($C176="","",IFERROR(INDEX(PR!$D$4:$D$203,MATCH($C176,PR!$A$4:$A$203,0)),""))</f>
        <v/>
      </c>
      <c r="E176" s="37" t="str">
        <f aca="false">IF($C176="","",IFERROR(INDEX(PR!$E$4:$E$203,MATCH($C176,PR!$A$4:$A$203,0)),""))</f>
        <v/>
      </c>
      <c r="F176" s="37" t="str">
        <f aca="false">IF($C176="","",IFERROR(INDEX(PR!$G$4:$G$203,MATCH($C176,PR!$A$4:$A$203,0)),""))</f>
        <v/>
      </c>
      <c r="G176" s="37" t="str">
        <f aca="false">IF($C176="","",IFERROR(INDEX(PR!$F$4:$F$203,MATCH($C176,PR!$A$4:$A$203,0)),""))</f>
        <v/>
      </c>
      <c r="H176" s="32"/>
      <c r="I176" s="37" t="str">
        <f aca="false">IF($H176="","",IFERROR(INDEX('Nhà cung cấp'!$B$4:$B$203,MATCH($H176,'Nhà cung cấp'!$A$4:$A$203,0)),""))</f>
        <v/>
      </c>
      <c r="J176" s="34"/>
      <c r="K176" s="34"/>
      <c r="L176" s="38" t="str">
        <f aca="false">IF($A176="","",IFERROR($J176*$K176,""))</f>
        <v/>
      </c>
      <c r="M176" s="38" t="str">
        <f aca="false">IF($C176="","",IFERROR(INDEX(PR!$L$4:$L$203,MATCH($C176,PR!$A$4:$A$203,0)),""))</f>
        <v/>
      </c>
      <c r="N176" s="38" t="str">
        <f aca="false">IF($A176="","",IFERROR($M176-$L176,""))</f>
        <v/>
      </c>
      <c r="O176" s="32"/>
      <c r="P176" s="33"/>
      <c r="Q176" s="33"/>
      <c r="R176" s="33"/>
      <c r="S176" s="37" t="str">
        <f aca="true">IF($A176="","",IF($Q176="","",IF($R176="",IF(TODAY()&gt;$Q176,"Trễ hạn","Chưa đến hạn"),IF($R176&lt;=$Q176,"Đúng hạn","Giao trễ"))))</f>
        <v/>
      </c>
      <c r="T176" s="38" t="str">
        <f aca="true">IF($A176="","",IF($Q176="",0,IF($R176="",IF(TODAY()&gt;$Q176,TODAY()-$Q176,0),MAX(0,$R176-$Q176))))</f>
        <v/>
      </c>
      <c r="U176" s="34"/>
      <c r="V176" s="34"/>
      <c r="W176" s="39" t="str">
        <f aca="false">IF($A176="","",IFERROR($V176/$U176,""))</f>
        <v/>
      </c>
      <c r="X176" s="34"/>
      <c r="Y176" s="37" t="str">
        <f aca="false">IF($A176="","",IF($U176="","",IF($W176&lt;='Tổng quan'!$C$8,"Đạt","Không đạt")))</f>
        <v/>
      </c>
      <c r="Z176" s="38" t="str">
        <f aca="false">IF($H176="","",IFERROR(INDEX('Nhà cung cấp'!$G$4:$G$203,MATCH($H176,'Nhà cung cấp'!$A$4:$A$203,0)),""))</f>
        <v/>
      </c>
      <c r="AA176" s="41" t="str">
        <f aca="false">IF($A176="","",IFERROR($R176+$Z176,""))</f>
        <v/>
      </c>
      <c r="AB176" s="32"/>
    </row>
    <row r="177" customFormat="false" ht="15" hidden="false" customHeight="false" outlineLevel="0" collapsed="false">
      <c r="A177" s="32"/>
      <c r="B177" s="33"/>
      <c r="C177" s="32"/>
      <c r="D177" s="37" t="str">
        <f aca="false">IF($C177="","",IFERROR(INDEX(PR!$D$4:$D$203,MATCH($C177,PR!$A$4:$A$203,0)),""))</f>
        <v/>
      </c>
      <c r="E177" s="37" t="str">
        <f aca="false">IF($C177="","",IFERROR(INDEX(PR!$E$4:$E$203,MATCH($C177,PR!$A$4:$A$203,0)),""))</f>
        <v/>
      </c>
      <c r="F177" s="37" t="str">
        <f aca="false">IF($C177="","",IFERROR(INDEX(PR!$G$4:$G$203,MATCH($C177,PR!$A$4:$A$203,0)),""))</f>
        <v/>
      </c>
      <c r="G177" s="37" t="str">
        <f aca="false">IF($C177="","",IFERROR(INDEX(PR!$F$4:$F$203,MATCH($C177,PR!$A$4:$A$203,0)),""))</f>
        <v/>
      </c>
      <c r="H177" s="32"/>
      <c r="I177" s="37" t="str">
        <f aca="false">IF($H177="","",IFERROR(INDEX('Nhà cung cấp'!$B$4:$B$203,MATCH($H177,'Nhà cung cấp'!$A$4:$A$203,0)),""))</f>
        <v/>
      </c>
      <c r="J177" s="34"/>
      <c r="K177" s="34"/>
      <c r="L177" s="38" t="str">
        <f aca="false">IF($A177="","",IFERROR($J177*$K177,""))</f>
        <v/>
      </c>
      <c r="M177" s="38" t="str">
        <f aca="false">IF($C177="","",IFERROR(INDEX(PR!$L$4:$L$203,MATCH($C177,PR!$A$4:$A$203,0)),""))</f>
        <v/>
      </c>
      <c r="N177" s="38" t="str">
        <f aca="false">IF($A177="","",IFERROR($M177-$L177,""))</f>
        <v/>
      </c>
      <c r="O177" s="32"/>
      <c r="P177" s="33"/>
      <c r="Q177" s="33"/>
      <c r="R177" s="33"/>
      <c r="S177" s="37" t="str">
        <f aca="true">IF($A177="","",IF($Q177="","",IF($R177="",IF(TODAY()&gt;$Q177,"Trễ hạn","Chưa đến hạn"),IF($R177&lt;=$Q177,"Đúng hạn","Giao trễ"))))</f>
        <v/>
      </c>
      <c r="T177" s="38" t="str">
        <f aca="true">IF($A177="","",IF($Q177="",0,IF($R177="",IF(TODAY()&gt;$Q177,TODAY()-$Q177,0),MAX(0,$R177-$Q177))))</f>
        <v/>
      </c>
      <c r="U177" s="34"/>
      <c r="V177" s="34"/>
      <c r="W177" s="39" t="str">
        <f aca="false">IF($A177="","",IFERROR($V177/$U177,""))</f>
        <v/>
      </c>
      <c r="X177" s="34"/>
      <c r="Y177" s="37" t="str">
        <f aca="false">IF($A177="","",IF($U177="","",IF($W177&lt;='Tổng quan'!$C$8,"Đạt","Không đạt")))</f>
        <v/>
      </c>
      <c r="Z177" s="38" t="str">
        <f aca="false">IF($H177="","",IFERROR(INDEX('Nhà cung cấp'!$G$4:$G$203,MATCH($H177,'Nhà cung cấp'!$A$4:$A$203,0)),""))</f>
        <v/>
      </c>
      <c r="AA177" s="41" t="str">
        <f aca="false">IF($A177="","",IFERROR($R177+$Z177,""))</f>
        <v/>
      </c>
      <c r="AB177" s="32"/>
    </row>
    <row r="178" customFormat="false" ht="15" hidden="false" customHeight="false" outlineLevel="0" collapsed="false">
      <c r="A178" s="32"/>
      <c r="B178" s="33"/>
      <c r="C178" s="32"/>
      <c r="D178" s="37" t="str">
        <f aca="false">IF($C178="","",IFERROR(INDEX(PR!$D$4:$D$203,MATCH($C178,PR!$A$4:$A$203,0)),""))</f>
        <v/>
      </c>
      <c r="E178" s="37" t="str">
        <f aca="false">IF($C178="","",IFERROR(INDEX(PR!$E$4:$E$203,MATCH($C178,PR!$A$4:$A$203,0)),""))</f>
        <v/>
      </c>
      <c r="F178" s="37" t="str">
        <f aca="false">IF($C178="","",IFERROR(INDEX(PR!$G$4:$G$203,MATCH($C178,PR!$A$4:$A$203,0)),""))</f>
        <v/>
      </c>
      <c r="G178" s="37" t="str">
        <f aca="false">IF($C178="","",IFERROR(INDEX(PR!$F$4:$F$203,MATCH($C178,PR!$A$4:$A$203,0)),""))</f>
        <v/>
      </c>
      <c r="H178" s="32"/>
      <c r="I178" s="37" t="str">
        <f aca="false">IF($H178="","",IFERROR(INDEX('Nhà cung cấp'!$B$4:$B$203,MATCH($H178,'Nhà cung cấp'!$A$4:$A$203,0)),""))</f>
        <v/>
      </c>
      <c r="J178" s="34"/>
      <c r="K178" s="34"/>
      <c r="L178" s="38" t="str">
        <f aca="false">IF($A178="","",IFERROR($J178*$K178,""))</f>
        <v/>
      </c>
      <c r="M178" s="38" t="str">
        <f aca="false">IF($C178="","",IFERROR(INDEX(PR!$L$4:$L$203,MATCH($C178,PR!$A$4:$A$203,0)),""))</f>
        <v/>
      </c>
      <c r="N178" s="38" t="str">
        <f aca="false">IF($A178="","",IFERROR($M178-$L178,""))</f>
        <v/>
      </c>
      <c r="O178" s="32"/>
      <c r="P178" s="33"/>
      <c r="Q178" s="33"/>
      <c r="R178" s="33"/>
      <c r="S178" s="37" t="str">
        <f aca="true">IF($A178="","",IF($Q178="","",IF($R178="",IF(TODAY()&gt;$Q178,"Trễ hạn","Chưa đến hạn"),IF($R178&lt;=$Q178,"Đúng hạn","Giao trễ"))))</f>
        <v/>
      </c>
      <c r="T178" s="38" t="str">
        <f aca="true">IF($A178="","",IF($Q178="",0,IF($R178="",IF(TODAY()&gt;$Q178,TODAY()-$Q178,0),MAX(0,$R178-$Q178))))</f>
        <v/>
      </c>
      <c r="U178" s="34"/>
      <c r="V178" s="34"/>
      <c r="W178" s="39" t="str">
        <f aca="false">IF($A178="","",IFERROR($V178/$U178,""))</f>
        <v/>
      </c>
      <c r="X178" s="34"/>
      <c r="Y178" s="37" t="str">
        <f aca="false">IF($A178="","",IF($U178="","",IF($W178&lt;='Tổng quan'!$C$8,"Đạt","Không đạt")))</f>
        <v/>
      </c>
      <c r="Z178" s="38" t="str">
        <f aca="false">IF($H178="","",IFERROR(INDEX('Nhà cung cấp'!$G$4:$G$203,MATCH($H178,'Nhà cung cấp'!$A$4:$A$203,0)),""))</f>
        <v/>
      </c>
      <c r="AA178" s="41" t="str">
        <f aca="false">IF($A178="","",IFERROR($R178+$Z178,""))</f>
        <v/>
      </c>
      <c r="AB178" s="32"/>
    </row>
    <row r="179" customFormat="false" ht="15" hidden="false" customHeight="false" outlineLevel="0" collapsed="false">
      <c r="A179" s="32"/>
      <c r="B179" s="33"/>
      <c r="C179" s="32"/>
      <c r="D179" s="37" t="str">
        <f aca="false">IF($C179="","",IFERROR(INDEX(PR!$D$4:$D$203,MATCH($C179,PR!$A$4:$A$203,0)),""))</f>
        <v/>
      </c>
      <c r="E179" s="37" t="str">
        <f aca="false">IF($C179="","",IFERROR(INDEX(PR!$E$4:$E$203,MATCH($C179,PR!$A$4:$A$203,0)),""))</f>
        <v/>
      </c>
      <c r="F179" s="37" t="str">
        <f aca="false">IF($C179="","",IFERROR(INDEX(PR!$G$4:$G$203,MATCH($C179,PR!$A$4:$A$203,0)),""))</f>
        <v/>
      </c>
      <c r="G179" s="37" t="str">
        <f aca="false">IF($C179="","",IFERROR(INDEX(PR!$F$4:$F$203,MATCH($C179,PR!$A$4:$A$203,0)),""))</f>
        <v/>
      </c>
      <c r="H179" s="32"/>
      <c r="I179" s="37" t="str">
        <f aca="false">IF($H179="","",IFERROR(INDEX('Nhà cung cấp'!$B$4:$B$203,MATCH($H179,'Nhà cung cấp'!$A$4:$A$203,0)),""))</f>
        <v/>
      </c>
      <c r="J179" s="34"/>
      <c r="K179" s="34"/>
      <c r="L179" s="38" t="str">
        <f aca="false">IF($A179="","",IFERROR($J179*$K179,""))</f>
        <v/>
      </c>
      <c r="M179" s="38" t="str">
        <f aca="false">IF($C179="","",IFERROR(INDEX(PR!$L$4:$L$203,MATCH($C179,PR!$A$4:$A$203,0)),""))</f>
        <v/>
      </c>
      <c r="N179" s="38" t="str">
        <f aca="false">IF($A179="","",IFERROR($M179-$L179,""))</f>
        <v/>
      </c>
      <c r="O179" s="32"/>
      <c r="P179" s="33"/>
      <c r="Q179" s="33"/>
      <c r="R179" s="33"/>
      <c r="S179" s="37" t="str">
        <f aca="true">IF($A179="","",IF($Q179="","",IF($R179="",IF(TODAY()&gt;$Q179,"Trễ hạn","Chưa đến hạn"),IF($R179&lt;=$Q179,"Đúng hạn","Giao trễ"))))</f>
        <v/>
      </c>
      <c r="T179" s="38" t="str">
        <f aca="true">IF($A179="","",IF($Q179="",0,IF($R179="",IF(TODAY()&gt;$Q179,TODAY()-$Q179,0),MAX(0,$R179-$Q179))))</f>
        <v/>
      </c>
      <c r="U179" s="34"/>
      <c r="V179" s="34"/>
      <c r="W179" s="39" t="str">
        <f aca="false">IF($A179="","",IFERROR($V179/$U179,""))</f>
        <v/>
      </c>
      <c r="X179" s="34"/>
      <c r="Y179" s="37" t="str">
        <f aca="false">IF($A179="","",IF($U179="","",IF($W179&lt;='Tổng quan'!$C$8,"Đạt","Không đạt")))</f>
        <v/>
      </c>
      <c r="Z179" s="38" t="str">
        <f aca="false">IF($H179="","",IFERROR(INDEX('Nhà cung cấp'!$G$4:$G$203,MATCH($H179,'Nhà cung cấp'!$A$4:$A$203,0)),""))</f>
        <v/>
      </c>
      <c r="AA179" s="41" t="str">
        <f aca="false">IF($A179="","",IFERROR($R179+$Z179,""))</f>
        <v/>
      </c>
      <c r="AB179" s="32"/>
    </row>
    <row r="180" customFormat="false" ht="15" hidden="false" customHeight="false" outlineLevel="0" collapsed="false">
      <c r="A180" s="32"/>
      <c r="B180" s="33"/>
      <c r="C180" s="32"/>
      <c r="D180" s="37" t="str">
        <f aca="false">IF($C180="","",IFERROR(INDEX(PR!$D$4:$D$203,MATCH($C180,PR!$A$4:$A$203,0)),""))</f>
        <v/>
      </c>
      <c r="E180" s="37" t="str">
        <f aca="false">IF($C180="","",IFERROR(INDEX(PR!$E$4:$E$203,MATCH($C180,PR!$A$4:$A$203,0)),""))</f>
        <v/>
      </c>
      <c r="F180" s="37" t="str">
        <f aca="false">IF($C180="","",IFERROR(INDEX(PR!$G$4:$G$203,MATCH($C180,PR!$A$4:$A$203,0)),""))</f>
        <v/>
      </c>
      <c r="G180" s="37" t="str">
        <f aca="false">IF($C180="","",IFERROR(INDEX(PR!$F$4:$F$203,MATCH($C180,PR!$A$4:$A$203,0)),""))</f>
        <v/>
      </c>
      <c r="H180" s="32"/>
      <c r="I180" s="37" t="str">
        <f aca="false">IF($H180="","",IFERROR(INDEX('Nhà cung cấp'!$B$4:$B$203,MATCH($H180,'Nhà cung cấp'!$A$4:$A$203,0)),""))</f>
        <v/>
      </c>
      <c r="J180" s="34"/>
      <c r="K180" s="34"/>
      <c r="L180" s="38" t="str">
        <f aca="false">IF($A180="","",IFERROR($J180*$K180,""))</f>
        <v/>
      </c>
      <c r="M180" s="38" t="str">
        <f aca="false">IF($C180="","",IFERROR(INDEX(PR!$L$4:$L$203,MATCH($C180,PR!$A$4:$A$203,0)),""))</f>
        <v/>
      </c>
      <c r="N180" s="38" t="str">
        <f aca="false">IF($A180="","",IFERROR($M180-$L180,""))</f>
        <v/>
      </c>
      <c r="O180" s="32"/>
      <c r="P180" s="33"/>
      <c r="Q180" s="33"/>
      <c r="R180" s="33"/>
      <c r="S180" s="37" t="str">
        <f aca="true">IF($A180="","",IF($Q180="","",IF($R180="",IF(TODAY()&gt;$Q180,"Trễ hạn","Chưa đến hạn"),IF($R180&lt;=$Q180,"Đúng hạn","Giao trễ"))))</f>
        <v/>
      </c>
      <c r="T180" s="38" t="str">
        <f aca="true">IF($A180="","",IF($Q180="",0,IF($R180="",IF(TODAY()&gt;$Q180,TODAY()-$Q180,0),MAX(0,$R180-$Q180))))</f>
        <v/>
      </c>
      <c r="U180" s="34"/>
      <c r="V180" s="34"/>
      <c r="W180" s="39" t="str">
        <f aca="false">IF($A180="","",IFERROR($V180/$U180,""))</f>
        <v/>
      </c>
      <c r="X180" s="34"/>
      <c r="Y180" s="37" t="str">
        <f aca="false">IF($A180="","",IF($U180="","",IF($W180&lt;='Tổng quan'!$C$8,"Đạt","Không đạt")))</f>
        <v/>
      </c>
      <c r="Z180" s="38" t="str">
        <f aca="false">IF($H180="","",IFERROR(INDEX('Nhà cung cấp'!$G$4:$G$203,MATCH($H180,'Nhà cung cấp'!$A$4:$A$203,0)),""))</f>
        <v/>
      </c>
      <c r="AA180" s="41" t="str">
        <f aca="false">IF($A180="","",IFERROR($R180+$Z180,""))</f>
        <v/>
      </c>
      <c r="AB180" s="32"/>
    </row>
    <row r="181" customFormat="false" ht="15" hidden="false" customHeight="false" outlineLevel="0" collapsed="false">
      <c r="A181" s="32"/>
      <c r="B181" s="33"/>
      <c r="C181" s="32"/>
      <c r="D181" s="37" t="str">
        <f aca="false">IF($C181="","",IFERROR(INDEX(PR!$D$4:$D$203,MATCH($C181,PR!$A$4:$A$203,0)),""))</f>
        <v/>
      </c>
      <c r="E181" s="37" t="str">
        <f aca="false">IF($C181="","",IFERROR(INDEX(PR!$E$4:$E$203,MATCH($C181,PR!$A$4:$A$203,0)),""))</f>
        <v/>
      </c>
      <c r="F181" s="37" t="str">
        <f aca="false">IF($C181="","",IFERROR(INDEX(PR!$G$4:$G$203,MATCH($C181,PR!$A$4:$A$203,0)),""))</f>
        <v/>
      </c>
      <c r="G181" s="37" t="str">
        <f aca="false">IF($C181="","",IFERROR(INDEX(PR!$F$4:$F$203,MATCH($C181,PR!$A$4:$A$203,0)),""))</f>
        <v/>
      </c>
      <c r="H181" s="32"/>
      <c r="I181" s="37" t="str">
        <f aca="false">IF($H181="","",IFERROR(INDEX('Nhà cung cấp'!$B$4:$B$203,MATCH($H181,'Nhà cung cấp'!$A$4:$A$203,0)),""))</f>
        <v/>
      </c>
      <c r="J181" s="34"/>
      <c r="K181" s="34"/>
      <c r="L181" s="38" t="str">
        <f aca="false">IF($A181="","",IFERROR($J181*$K181,""))</f>
        <v/>
      </c>
      <c r="M181" s="38" t="str">
        <f aca="false">IF($C181="","",IFERROR(INDEX(PR!$L$4:$L$203,MATCH($C181,PR!$A$4:$A$203,0)),""))</f>
        <v/>
      </c>
      <c r="N181" s="38" t="str">
        <f aca="false">IF($A181="","",IFERROR($M181-$L181,""))</f>
        <v/>
      </c>
      <c r="O181" s="32"/>
      <c r="P181" s="33"/>
      <c r="Q181" s="33"/>
      <c r="R181" s="33"/>
      <c r="S181" s="37" t="str">
        <f aca="true">IF($A181="","",IF($Q181="","",IF($R181="",IF(TODAY()&gt;$Q181,"Trễ hạn","Chưa đến hạn"),IF($R181&lt;=$Q181,"Đúng hạn","Giao trễ"))))</f>
        <v/>
      </c>
      <c r="T181" s="38" t="str">
        <f aca="true">IF($A181="","",IF($Q181="",0,IF($R181="",IF(TODAY()&gt;$Q181,TODAY()-$Q181,0),MAX(0,$R181-$Q181))))</f>
        <v/>
      </c>
      <c r="U181" s="34"/>
      <c r="V181" s="34"/>
      <c r="W181" s="39" t="str">
        <f aca="false">IF($A181="","",IFERROR($V181/$U181,""))</f>
        <v/>
      </c>
      <c r="X181" s="34"/>
      <c r="Y181" s="37" t="str">
        <f aca="false">IF($A181="","",IF($U181="","",IF($W181&lt;='Tổng quan'!$C$8,"Đạt","Không đạt")))</f>
        <v/>
      </c>
      <c r="Z181" s="38" t="str">
        <f aca="false">IF($H181="","",IFERROR(INDEX('Nhà cung cấp'!$G$4:$G$203,MATCH($H181,'Nhà cung cấp'!$A$4:$A$203,0)),""))</f>
        <v/>
      </c>
      <c r="AA181" s="41" t="str">
        <f aca="false">IF($A181="","",IFERROR($R181+$Z181,""))</f>
        <v/>
      </c>
      <c r="AB181" s="32"/>
    </row>
    <row r="182" customFormat="false" ht="15" hidden="false" customHeight="false" outlineLevel="0" collapsed="false">
      <c r="A182" s="32"/>
      <c r="B182" s="33"/>
      <c r="C182" s="32"/>
      <c r="D182" s="37" t="str">
        <f aca="false">IF($C182="","",IFERROR(INDEX(PR!$D$4:$D$203,MATCH($C182,PR!$A$4:$A$203,0)),""))</f>
        <v/>
      </c>
      <c r="E182" s="37" t="str">
        <f aca="false">IF($C182="","",IFERROR(INDEX(PR!$E$4:$E$203,MATCH($C182,PR!$A$4:$A$203,0)),""))</f>
        <v/>
      </c>
      <c r="F182" s="37" t="str">
        <f aca="false">IF($C182="","",IFERROR(INDEX(PR!$G$4:$G$203,MATCH($C182,PR!$A$4:$A$203,0)),""))</f>
        <v/>
      </c>
      <c r="G182" s="37" t="str">
        <f aca="false">IF($C182="","",IFERROR(INDEX(PR!$F$4:$F$203,MATCH($C182,PR!$A$4:$A$203,0)),""))</f>
        <v/>
      </c>
      <c r="H182" s="32"/>
      <c r="I182" s="37" t="str">
        <f aca="false">IF($H182="","",IFERROR(INDEX('Nhà cung cấp'!$B$4:$B$203,MATCH($H182,'Nhà cung cấp'!$A$4:$A$203,0)),""))</f>
        <v/>
      </c>
      <c r="J182" s="34"/>
      <c r="K182" s="34"/>
      <c r="L182" s="38" t="str">
        <f aca="false">IF($A182="","",IFERROR($J182*$K182,""))</f>
        <v/>
      </c>
      <c r="M182" s="38" t="str">
        <f aca="false">IF($C182="","",IFERROR(INDEX(PR!$L$4:$L$203,MATCH($C182,PR!$A$4:$A$203,0)),""))</f>
        <v/>
      </c>
      <c r="N182" s="38" t="str">
        <f aca="false">IF($A182="","",IFERROR($M182-$L182,""))</f>
        <v/>
      </c>
      <c r="O182" s="32"/>
      <c r="P182" s="33"/>
      <c r="Q182" s="33"/>
      <c r="R182" s="33"/>
      <c r="S182" s="37" t="str">
        <f aca="true">IF($A182="","",IF($Q182="","",IF($R182="",IF(TODAY()&gt;$Q182,"Trễ hạn","Chưa đến hạn"),IF($R182&lt;=$Q182,"Đúng hạn","Giao trễ"))))</f>
        <v/>
      </c>
      <c r="T182" s="38" t="str">
        <f aca="true">IF($A182="","",IF($Q182="",0,IF($R182="",IF(TODAY()&gt;$Q182,TODAY()-$Q182,0),MAX(0,$R182-$Q182))))</f>
        <v/>
      </c>
      <c r="U182" s="34"/>
      <c r="V182" s="34"/>
      <c r="W182" s="39" t="str">
        <f aca="false">IF($A182="","",IFERROR($V182/$U182,""))</f>
        <v/>
      </c>
      <c r="X182" s="34"/>
      <c r="Y182" s="37" t="str">
        <f aca="false">IF($A182="","",IF($U182="","",IF($W182&lt;='Tổng quan'!$C$8,"Đạt","Không đạt")))</f>
        <v/>
      </c>
      <c r="Z182" s="38" t="str">
        <f aca="false">IF($H182="","",IFERROR(INDEX('Nhà cung cấp'!$G$4:$G$203,MATCH($H182,'Nhà cung cấp'!$A$4:$A$203,0)),""))</f>
        <v/>
      </c>
      <c r="AA182" s="41" t="str">
        <f aca="false">IF($A182="","",IFERROR($R182+$Z182,""))</f>
        <v/>
      </c>
      <c r="AB182" s="32"/>
    </row>
    <row r="183" customFormat="false" ht="15" hidden="false" customHeight="false" outlineLevel="0" collapsed="false">
      <c r="A183" s="32"/>
      <c r="B183" s="33"/>
      <c r="C183" s="32"/>
      <c r="D183" s="37" t="str">
        <f aca="false">IF($C183="","",IFERROR(INDEX(PR!$D$4:$D$203,MATCH($C183,PR!$A$4:$A$203,0)),""))</f>
        <v/>
      </c>
      <c r="E183" s="37" t="str">
        <f aca="false">IF($C183="","",IFERROR(INDEX(PR!$E$4:$E$203,MATCH($C183,PR!$A$4:$A$203,0)),""))</f>
        <v/>
      </c>
      <c r="F183" s="37" t="str">
        <f aca="false">IF($C183="","",IFERROR(INDEX(PR!$G$4:$G$203,MATCH($C183,PR!$A$4:$A$203,0)),""))</f>
        <v/>
      </c>
      <c r="G183" s="37" t="str">
        <f aca="false">IF($C183="","",IFERROR(INDEX(PR!$F$4:$F$203,MATCH($C183,PR!$A$4:$A$203,0)),""))</f>
        <v/>
      </c>
      <c r="H183" s="32"/>
      <c r="I183" s="37" t="str">
        <f aca="false">IF($H183="","",IFERROR(INDEX('Nhà cung cấp'!$B$4:$B$203,MATCH($H183,'Nhà cung cấp'!$A$4:$A$203,0)),""))</f>
        <v/>
      </c>
      <c r="J183" s="34"/>
      <c r="K183" s="34"/>
      <c r="L183" s="38" t="str">
        <f aca="false">IF($A183="","",IFERROR($J183*$K183,""))</f>
        <v/>
      </c>
      <c r="M183" s="38" t="str">
        <f aca="false">IF($C183="","",IFERROR(INDEX(PR!$L$4:$L$203,MATCH($C183,PR!$A$4:$A$203,0)),""))</f>
        <v/>
      </c>
      <c r="N183" s="38" t="str">
        <f aca="false">IF($A183="","",IFERROR($M183-$L183,""))</f>
        <v/>
      </c>
      <c r="O183" s="32"/>
      <c r="P183" s="33"/>
      <c r="Q183" s="33"/>
      <c r="R183" s="33"/>
      <c r="S183" s="37" t="str">
        <f aca="true">IF($A183="","",IF($Q183="","",IF($R183="",IF(TODAY()&gt;$Q183,"Trễ hạn","Chưa đến hạn"),IF($R183&lt;=$Q183,"Đúng hạn","Giao trễ"))))</f>
        <v/>
      </c>
      <c r="T183" s="38" t="str">
        <f aca="true">IF($A183="","",IF($Q183="",0,IF($R183="",IF(TODAY()&gt;$Q183,TODAY()-$Q183,0),MAX(0,$R183-$Q183))))</f>
        <v/>
      </c>
      <c r="U183" s="34"/>
      <c r="V183" s="34"/>
      <c r="W183" s="39" t="str">
        <f aca="false">IF($A183="","",IFERROR($V183/$U183,""))</f>
        <v/>
      </c>
      <c r="X183" s="34"/>
      <c r="Y183" s="37" t="str">
        <f aca="false">IF($A183="","",IF($U183="","",IF($W183&lt;='Tổng quan'!$C$8,"Đạt","Không đạt")))</f>
        <v/>
      </c>
      <c r="Z183" s="38" t="str">
        <f aca="false">IF($H183="","",IFERROR(INDEX('Nhà cung cấp'!$G$4:$G$203,MATCH($H183,'Nhà cung cấp'!$A$4:$A$203,0)),""))</f>
        <v/>
      </c>
      <c r="AA183" s="41" t="str">
        <f aca="false">IF($A183="","",IFERROR($R183+$Z183,""))</f>
        <v/>
      </c>
      <c r="AB183" s="32"/>
    </row>
    <row r="184" customFormat="false" ht="15" hidden="false" customHeight="false" outlineLevel="0" collapsed="false">
      <c r="A184" s="32"/>
      <c r="B184" s="33"/>
      <c r="C184" s="32"/>
      <c r="D184" s="37" t="str">
        <f aca="false">IF($C184="","",IFERROR(INDEX(PR!$D$4:$D$203,MATCH($C184,PR!$A$4:$A$203,0)),""))</f>
        <v/>
      </c>
      <c r="E184" s="37" t="str">
        <f aca="false">IF($C184="","",IFERROR(INDEX(PR!$E$4:$E$203,MATCH($C184,PR!$A$4:$A$203,0)),""))</f>
        <v/>
      </c>
      <c r="F184" s="37" t="str">
        <f aca="false">IF($C184="","",IFERROR(INDEX(PR!$G$4:$G$203,MATCH($C184,PR!$A$4:$A$203,0)),""))</f>
        <v/>
      </c>
      <c r="G184" s="37" t="str">
        <f aca="false">IF($C184="","",IFERROR(INDEX(PR!$F$4:$F$203,MATCH($C184,PR!$A$4:$A$203,0)),""))</f>
        <v/>
      </c>
      <c r="H184" s="32"/>
      <c r="I184" s="37" t="str">
        <f aca="false">IF($H184="","",IFERROR(INDEX('Nhà cung cấp'!$B$4:$B$203,MATCH($H184,'Nhà cung cấp'!$A$4:$A$203,0)),""))</f>
        <v/>
      </c>
      <c r="J184" s="34"/>
      <c r="K184" s="34"/>
      <c r="L184" s="38" t="str">
        <f aca="false">IF($A184="","",IFERROR($J184*$K184,""))</f>
        <v/>
      </c>
      <c r="M184" s="38" t="str">
        <f aca="false">IF($C184="","",IFERROR(INDEX(PR!$L$4:$L$203,MATCH($C184,PR!$A$4:$A$203,0)),""))</f>
        <v/>
      </c>
      <c r="N184" s="38" t="str">
        <f aca="false">IF($A184="","",IFERROR($M184-$L184,""))</f>
        <v/>
      </c>
      <c r="O184" s="32"/>
      <c r="P184" s="33"/>
      <c r="Q184" s="33"/>
      <c r="R184" s="33"/>
      <c r="S184" s="37" t="str">
        <f aca="true">IF($A184="","",IF($Q184="","",IF($R184="",IF(TODAY()&gt;$Q184,"Trễ hạn","Chưa đến hạn"),IF($R184&lt;=$Q184,"Đúng hạn","Giao trễ"))))</f>
        <v/>
      </c>
      <c r="T184" s="38" t="str">
        <f aca="true">IF($A184="","",IF($Q184="",0,IF($R184="",IF(TODAY()&gt;$Q184,TODAY()-$Q184,0),MAX(0,$R184-$Q184))))</f>
        <v/>
      </c>
      <c r="U184" s="34"/>
      <c r="V184" s="34"/>
      <c r="W184" s="39" t="str">
        <f aca="false">IF($A184="","",IFERROR($V184/$U184,""))</f>
        <v/>
      </c>
      <c r="X184" s="34"/>
      <c r="Y184" s="37" t="str">
        <f aca="false">IF($A184="","",IF($U184="","",IF($W184&lt;='Tổng quan'!$C$8,"Đạt","Không đạt")))</f>
        <v/>
      </c>
      <c r="Z184" s="38" t="str">
        <f aca="false">IF($H184="","",IFERROR(INDEX('Nhà cung cấp'!$G$4:$G$203,MATCH($H184,'Nhà cung cấp'!$A$4:$A$203,0)),""))</f>
        <v/>
      </c>
      <c r="AA184" s="41" t="str">
        <f aca="false">IF($A184="","",IFERROR($R184+$Z184,""))</f>
        <v/>
      </c>
      <c r="AB184" s="32"/>
    </row>
    <row r="185" customFormat="false" ht="15" hidden="false" customHeight="false" outlineLevel="0" collapsed="false">
      <c r="A185" s="32"/>
      <c r="B185" s="33"/>
      <c r="C185" s="32"/>
      <c r="D185" s="37" t="str">
        <f aca="false">IF($C185="","",IFERROR(INDEX(PR!$D$4:$D$203,MATCH($C185,PR!$A$4:$A$203,0)),""))</f>
        <v/>
      </c>
      <c r="E185" s="37" t="str">
        <f aca="false">IF($C185="","",IFERROR(INDEX(PR!$E$4:$E$203,MATCH($C185,PR!$A$4:$A$203,0)),""))</f>
        <v/>
      </c>
      <c r="F185" s="37" t="str">
        <f aca="false">IF($C185="","",IFERROR(INDEX(PR!$G$4:$G$203,MATCH($C185,PR!$A$4:$A$203,0)),""))</f>
        <v/>
      </c>
      <c r="G185" s="37" t="str">
        <f aca="false">IF($C185="","",IFERROR(INDEX(PR!$F$4:$F$203,MATCH($C185,PR!$A$4:$A$203,0)),""))</f>
        <v/>
      </c>
      <c r="H185" s="32"/>
      <c r="I185" s="37" t="str">
        <f aca="false">IF($H185="","",IFERROR(INDEX('Nhà cung cấp'!$B$4:$B$203,MATCH($H185,'Nhà cung cấp'!$A$4:$A$203,0)),""))</f>
        <v/>
      </c>
      <c r="J185" s="34"/>
      <c r="K185" s="34"/>
      <c r="L185" s="38" t="str">
        <f aca="false">IF($A185="","",IFERROR($J185*$K185,""))</f>
        <v/>
      </c>
      <c r="M185" s="38" t="str">
        <f aca="false">IF($C185="","",IFERROR(INDEX(PR!$L$4:$L$203,MATCH($C185,PR!$A$4:$A$203,0)),""))</f>
        <v/>
      </c>
      <c r="N185" s="38" t="str">
        <f aca="false">IF($A185="","",IFERROR($M185-$L185,""))</f>
        <v/>
      </c>
      <c r="O185" s="32"/>
      <c r="P185" s="33"/>
      <c r="Q185" s="33"/>
      <c r="R185" s="33"/>
      <c r="S185" s="37" t="str">
        <f aca="true">IF($A185="","",IF($Q185="","",IF($R185="",IF(TODAY()&gt;$Q185,"Trễ hạn","Chưa đến hạn"),IF($R185&lt;=$Q185,"Đúng hạn","Giao trễ"))))</f>
        <v/>
      </c>
      <c r="T185" s="38" t="str">
        <f aca="true">IF($A185="","",IF($Q185="",0,IF($R185="",IF(TODAY()&gt;$Q185,TODAY()-$Q185,0),MAX(0,$R185-$Q185))))</f>
        <v/>
      </c>
      <c r="U185" s="34"/>
      <c r="V185" s="34"/>
      <c r="W185" s="39" t="str">
        <f aca="false">IF($A185="","",IFERROR($V185/$U185,""))</f>
        <v/>
      </c>
      <c r="X185" s="34"/>
      <c r="Y185" s="37" t="str">
        <f aca="false">IF($A185="","",IF($U185="","",IF($W185&lt;='Tổng quan'!$C$8,"Đạt","Không đạt")))</f>
        <v/>
      </c>
      <c r="Z185" s="38" t="str">
        <f aca="false">IF($H185="","",IFERROR(INDEX('Nhà cung cấp'!$G$4:$G$203,MATCH($H185,'Nhà cung cấp'!$A$4:$A$203,0)),""))</f>
        <v/>
      </c>
      <c r="AA185" s="41" t="str">
        <f aca="false">IF($A185="","",IFERROR($R185+$Z185,""))</f>
        <v/>
      </c>
      <c r="AB185" s="32"/>
    </row>
    <row r="186" customFormat="false" ht="15" hidden="false" customHeight="false" outlineLevel="0" collapsed="false">
      <c r="A186" s="32"/>
      <c r="B186" s="33"/>
      <c r="C186" s="32"/>
      <c r="D186" s="37" t="str">
        <f aca="false">IF($C186="","",IFERROR(INDEX(PR!$D$4:$D$203,MATCH($C186,PR!$A$4:$A$203,0)),""))</f>
        <v/>
      </c>
      <c r="E186" s="37" t="str">
        <f aca="false">IF($C186="","",IFERROR(INDEX(PR!$E$4:$E$203,MATCH($C186,PR!$A$4:$A$203,0)),""))</f>
        <v/>
      </c>
      <c r="F186" s="37" t="str">
        <f aca="false">IF($C186="","",IFERROR(INDEX(PR!$G$4:$G$203,MATCH($C186,PR!$A$4:$A$203,0)),""))</f>
        <v/>
      </c>
      <c r="G186" s="37" t="str">
        <f aca="false">IF($C186="","",IFERROR(INDEX(PR!$F$4:$F$203,MATCH($C186,PR!$A$4:$A$203,0)),""))</f>
        <v/>
      </c>
      <c r="H186" s="32"/>
      <c r="I186" s="37" t="str">
        <f aca="false">IF($H186="","",IFERROR(INDEX('Nhà cung cấp'!$B$4:$B$203,MATCH($H186,'Nhà cung cấp'!$A$4:$A$203,0)),""))</f>
        <v/>
      </c>
      <c r="J186" s="34"/>
      <c r="K186" s="34"/>
      <c r="L186" s="38" t="str">
        <f aca="false">IF($A186="","",IFERROR($J186*$K186,""))</f>
        <v/>
      </c>
      <c r="M186" s="38" t="str">
        <f aca="false">IF($C186="","",IFERROR(INDEX(PR!$L$4:$L$203,MATCH($C186,PR!$A$4:$A$203,0)),""))</f>
        <v/>
      </c>
      <c r="N186" s="38" t="str">
        <f aca="false">IF($A186="","",IFERROR($M186-$L186,""))</f>
        <v/>
      </c>
      <c r="O186" s="32"/>
      <c r="P186" s="33"/>
      <c r="Q186" s="33"/>
      <c r="R186" s="33"/>
      <c r="S186" s="37" t="str">
        <f aca="true">IF($A186="","",IF($Q186="","",IF($R186="",IF(TODAY()&gt;$Q186,"Trễ hạn","Chưa đến hạn"),IF($R186&lt;=$Q186,"Đúng hạn","Giao trễ"))))</f>
        <v/>
      </c>
      <c r="T186" s="38" t="str">
        <f aca="true">IF($A186="","",IF($Q186="",0,IF($R186="",IF(TODAY()&gt;$Q186,TODAY()-$Q186,0),MAX(0,$R186-$Q186))))</f>
        <v/>
      </c>
      <c r="U186" s="34"/>
      <c r="V186" s="34"/>
      <c r="W186" s="39" t="str">
        <f aca="false">IF($A186="","",IFERROR($V186/$U186,""))</f>
        <v/>
      </c>
      <c r="X186" s="34"/>
      <c r="Y186" s="37" t="str">
        <f aca="false">IF($A186="","",IF($U186="","",IF($W186&lt;='Tổng quan'!$C$8,"Đạt","Không đạt")))</f>
        <v/>
      </c>
      <c r="Z186" s="38" t="str">
        <f aca="false">IF($H186="","",IFERROR(INDEX('Nhà cung cấp'!$G$4:$G$203,MATCH($H186,'Nhà cung cấp'!$A$4:$A$203,0)),""))</f>
        <v/>
      </c>
      <c r="AA186" s="41" t="str">
        <f aca="false">IF($A186="","",IFERROR($R186+$Z186,""))</f>
        <v/>
      </c>
      <c r="AB186" s="32"/>
    </row>
    <row r="187" customFormat="false" ht="15" hidden="false" customHeight="false" outlineLevel="0" collapsed="false">
      <c r="A187" s="32"/>
      <c r="B187" s="33"/>
      <c r="C187" s="32"/>
      <c r="D187" s="37" t="str">
        <f aca="false">IF($C187="","",IFERROR(INDEX(PR!$D$4:$D$203,MATCH($C187,PR!$A$4:$A$203,0)),""))</f>
        <v/>
      </c>
      <c r="E187" s="37" t="str">
        <f aca="false">IF($C187="","",IFERROR(INDEX(PR!$E$4:$E$203,MATCH($C187,PR!$A$4:$A$203,0)),""))</f>
        <v/>
      </c>
      <c r="F187" s="37" t="str">
        <f aca="false">IF($C187="","",IFERROR(INDEX(PR!$G$4:$G$203,MATCH($C187,PR!$A$4:$A$203,0)),""))</f>
        <v/>
      </c>
      <c r="G187" s="37" t="str">
        <f aca="false">IF($C187="","",IFERROR(INDEX(PR!$F$4:$F$203,MATCH($C187,PR!$A$4:$A$203,0)),""))</f>
        <v/>
      </c>
      <c r="H187" s="32"/>
      <c r="I187" s="37" t="str">
        <f aca="false">IF($H187="","",IFERROR(INDEX('Nhà cung cấp'!$B$4:$B$203,MATCH($H187,'Nhà cung cấp'!$A$4:$A$203,0)),""))</f>
        <v/>
      </c>
      <c r="J187" s="34"/>
      <c r="K187" s="34"/>
      <c r="L187" s="38" t="str">
        <f aca="false">IF($A187="","",IFERROR($J187*$K187,""))</f>
        <v/>
      </c>
      <c r="M187" s="38" t="str">
        <f aca="false">IF($C187="","",IFERROR(INDEX(PR!$L$4:$L$203,MATCH($C187,PR!$A$4:$A$203,0)),""))</f>
        <v/>
      </c>
      <c r="N187" s="38" t="str">
        <f aca="false">IF($A187="","",IFERROR($M187-$L187,""))</f>
        <v/>
      </c>
      <c r="O187" s="32"/>
      <c r="P187" s="33"/>
      <c r="Q187" s="33"/>
      <c r="R187" s="33"/>
      <c r="S187" s="37" t="str">
        <f aca="true">IF($A187="","",IF($Q187="","",IF($R187="",IF(TODAY()&gt;$Q187,"Trễ hạn","Chưa đến hạn"),IF($R187&lt;=$Q187,"Đúng hạn","Giao trễ"))))</f>
        <v/>
      </c>
      <c r="T187" s="38" t="str">
        <f aca="true">IF($A187="","",IF($Q187="",0,IF($R187="",IF(TODAY()&gt;$Q187,TODAY()-$Q187,0),MAX(0,$R187-$Q187))))</f>
        <v/>
      </c>
      <c r="U187" s="34"/>
      <c r="V187" s="34"/>
      <c r="W187" s="39" t="str">
        <f aca="false">IF($A187="","",IFERROR($V187/$U187,""))</f>
        <v/>
      </c>
      <c r="X187" s="34"/>
      <c r="Y187" s="37" t="str">
        <f aca="false">IF($A187="","",IF($U187="","",IF($W187&lt;='Tổng quan'!$C$8,"Đạt","Không đạt")))</f>
        <v/>
      </c>
      <c r="Z187" s="38" t="str">
        <f aca="false">IF($H187="","",IFERROR(INDEX('Nhà cung cấp'!$G$4:$G$203,MATCH($H187,'Nhà cung cấp'!$A$4:$A$203,0)),""))</f>
        <v/>
      </c>
      <c r="AA187" s="41" t="str">
        <f aca="false">IF($A187="","",IFERROR($R187+$Z187,""))</f>
        <v/>
      </c>
      <c r="AB187" s="32"/>
    </row>
    <row r="188" customFormat="false" ht="15" hidden="false" customHeight="false" outlineLevel="0" collapsed="false">
      <c r="A188" s="32"/>
      <c r="B188" s="33"/>
      <c r="C188" s="32"/>
      <c r="D188" s="37" t="str">
        <f aca="false">IF($C188="","",IFERROR(INDEX(PR!$D$4:$D$203,MATCH($C188,PR!$A$4:$A$203,0)),""))</f>
        <v/>
      </c>
      <c r="E188" s="37" t="str">
        <f aca="false">IF($C188="","",IFERROR(INDEX(PR!$E$4:$E$203,MATCH($C188,PR!$A$4:$A$203,0)),""))</f>
        <v/>
      </c>
      <c r="F188" s="37" t="str">
        <f aca="false">IF($C188="","",IFERROR(INDEX(PR!$G$4:$G$203,MATCH($C188,PR!$A$4:$A$203,0)),""))</f>
        <v/>
      </c>
      <c r="G188" s="37" t="str">
        <f aca="false">IF($C188="","",IFERROR(INDEX(PR!$F$4:$F$203,MATCH($C188,PR!$A$4:$A$203,0)),""))</f>
        <v/>
      </c>
      <c r="H188" s="32"/>
      <c r="I188" s="37" t="str">
        <f aca="false">IF($H188="","",IFERROR(INDEX('Nhà cung cấp'!$B$4:$B$203,MATCH($H188,'Nhà cung cấp'!$A$4:$A$203,0)),""))</f>
        <v/>
      </c>
      <c r="J188" s="34"/>
      <c r="K188" s="34"/>
      <c r="L188" s="38" t="str">
        <f aca="false">IF($A188="","",IFERROR($J188*$K188,""))</f>
        <v/>
      </c>
      <c r="M188" s="38" t="str">
        <f aca="false">IF($C188="","",IFERROR(INDEX(PR!$L$4:$L$203,MATCH($C188,PR!$A$4:$A$203,0)),""))</f>
        <v/>
      </c>
      <c r="N188" s="38" t="str">
        <f aca="false">IF($A188="","",IFERROR($M188-$L188,""))</f>
        <v/>
      </c>
      <c r="O188" s="32"/>
      <c r="P188" s="33"/>
      <c r="Q188" s="33"/>
      <c r="R188" s="33"/>
      <c r="S188" s="37" t="str">
        <f aca="true">IF($A188="","",IF($Q188="","",IF($R188="",IF(TODAY()&gt;$Q188,"Trễ hạn","Chưa đến hạn"),IF($R188&lt;=$Q188,"Đúng hạn","Giao trễ"))))</f>
        <v/>
      </c>
      <c r="T188" s="38" t="str">
        <f aca="true">IF($A188="","",IF($Q188="",0,IF($R188="",IF(TODAY()&gt;$Q188,TODAY()-$Q188,0),MAX(0,$R188-$Q188))))</f>
        <v/>
      </c>
      <c r="U188" s="34"/>
      <c r="V188" s="34"/>
      <c r="W188" s="39" t="str">
        <f aca="false">IF($A188="","",IFERROR($V188/$U188,""))</f>
        <v/>
      </c>
      <c r="X188" s="34"/>
      <c r="Y188" s="37" t="str">
        <f aca="false">IF($A188="","",IF($U188="","",IF($W188&lt;='Tổng quan'!$C$8,"Đạt","Không đạt")))</f>
        <v/>
      </c>
      <c r="Z188" s="38" t="str">
        <f aca="false">IF($H188="","",IFERROR(INDEX('Nhà cung cấp'!$G$4:$G$203,MATCH($H188,'Nhà cung cấp'!$A$4:$A$203,0)),""))</f>
        <v/>
      </c>
      <c r="AA188" s="41" t="str">
        <f aca="false">IF($A188="","",IFERROR($R188+$Z188,""))</f>
        <v/>
      </c>
      <c r="AB188" s="32"/>
    </row>
    <row r="189" customFormat="false" ht="15" hidden="false" customHeight="false" outlineLevel="0" collapsed="false">
      <c r="A189" s="32"/>
      <c r="B189" s="33"/>
      <c r="C189" s="32"/>
      <c r="D189" s="37" t="str">
        <f aca="false">IF($C189="","",IFERROR(INDEX(PR!$D$4:$D$203,MATCH($C189,PR!$A$4:$A$203,0)),""))</f>
        <v/>
      </c>
      <c r="E189" s="37" t="str">
        <f aca="false">IF($C189="","",IFERROR(INDEX(PR!$E$4:$E$203,MATCH($C189,PR!$A$4:$A$203,0)),""))</f>
        <v/>
      </c>
      <c r="F189" s="37" t="str">
        <f aca="false">IF($C189="","",IFERROR(INDEX(PR!$G$4:$G$203,MATCH($C189,PR!$A$4:$A$203,0)),""))</f>
        <v/>
      </c>
      <c r="G189" s="37" t="str">
        <f aca="false">IF($C189="","",IFERROR(INDEX(PR!$F$4:$F$203,MATCH($C189,PR!$A$4:$A$203,0)),""))</f>
        <v/>
      </c>
      <c r="H189" s="32"/>
      <c r="I189" s="37" t="str">
        <f aca="false">IF($H189="","",IFERROR(INDEX('Nhà cung cấp'!$B$4:$B$203,MATCH($H189,'Nhà cung cấp'!$A$4:$A$203,0)),""))</f>
        <v/>
      </c>
      <c r="J189" s="34"/>
      <c r="K189" s="34"/>
      <c r="L189" s="38" t="str">
        <f aca="false">IF($A189="","",IFERROR($J189*$K189,""))</f>
        <v/>
      </c>
      <c r="M189" s="38" t="str">
        <f aca="false">IF($C189="","",IFERROR(INDEX(PR!$L$4:$L$203,MATCH($C189,PR!$A$4:$A$203,0)),""))</f>
        <v/>
      </c>
      <c r="N189" s="38" t="str">
        <f aca="false">IF($A189="","",IFERROR($M189-$L189,""))</f>
        <v/>
      </c>
      <c r="O189" s="32"/>
      <c r="P189" s="33"/>
      <c r="Q189" s="33"/>
      <c r="R189" s="33"/>
      <c r="S189" s="37" t="str">
        <f aca="true">IF($A189="","",IF($Q189="","",IF($R189="",IF(TODAY()&gt;$Q189,"Trễ hạn","Chưa đến hạn"),IF($R189&lt;=$Q189,"Đúng hạn","Giao trễ"))))</f>
        <v/>
      </c>
      <c r="T189" s="38" t="str">
        <f aca="true">IF($A189="","",IF($Q189="",0,IF($R189="",IF(TODAY()&gt;$Q189,TODAY()-$Q189,0),MAX(0,$R189-$Q189))))</f>
        <v/>
      </c>
      <c r="U189" s="34"/>
      <c r="V189" s="34"/>
      <c r="W189" s="39" t="str">
        <f aca="false">IF($A189="","",IFERROR($V189/$U189,""))</f>
        <v/>
      </c>
      <c r="X189" s="34"/>
      <c r="Y189" s="37" t="str">
        <f aca="false">IF($A189="","",IF($U189="","",IF($W189&lt;='Tổng quan'!$C$8,"Đạt","Không đạt")))</f>
        <v/>
      </c>
      <c r="Z189" s="38" t="str">
        <f aca="false">IF($H189="","",IFERROR(INDEX('Nhà cung cấp'!$G$4:$G$203,MATCH($H189,'Nhà cung cấp'!$A$4:$A$203,0)),""))</f>
        <v/>
      </c>
      <c r="AA189" s="41" t="str">
        <f aca="false">IF($A189="","",IFERROR($R189+$Z189,""))</f>
        <v/>
      </c>
      <c r="AB189" s="32"/>
    </row>
    <row r="190" customFormat="false" ht="15" hidden="false" customHeight="false" outlineLevel="0" collapsed="false">
      <c r="A190" s="32"/>
      <c r="B190" s="33"/>
      <c r="C190" s="32"/>
      <c r="D190" s="37" t="str">
        <f aca="false">IF($C190="","",IFERROR(INDEX(PR!$D$4:$D$203,MATCH($C190,PR!$A$4:$A$203,0)),""))</f>
        <v/>
      </c>
      <c r="E190" s="37" t="str">
        <f aca="false">IF($C190="","",IFERROR(INDEX(PR!$E$4:$E$203,MATCH($C190,PR!$A$4:$A$203,0)),""))</f>
        <v/>
      </c>
      <c r="F190" s="37" t="str">
        <f aca="false">IF($C190="","",IFERROR(INDEX(PR!$G$4:$G$203,MATCH($C190,PR!$A$4:$A$203,0)),""))</f>
        <v/>
      </c>
      <c r="G190" s="37" t="str">
        <f aca="false">IF($C190="","",IFERROR(INDEX(PR!$F$4:$F$203,MATCH($C190,PR!$A$4:$A$203,0)),""))</f>
        <v/>
      </c>
      <c r="H190" s="32"/>
      <c r="I190" s="37" t="str">
        <f aca="false">IF($H190="","",IFERROR(INDEX('Nhà cung cấp'!$B$4:$B$203,MATCH($H190,'Nhà cung cấp'!$A$4:$A$203,0)),""))</f>
        <v/>
      </c>
      <c r="J190" s="34"/>
      <c r="K190" s="34"/>
      <c r="L190" s="38" t="str">
        <f aca="false">IF($A190="","",IFERROR($J190*$K190,""))</f>
        <v/>
      </c>
      <c r="M190" s="38" t="str">
        <f aca="false">IF($C190="","",IFERROR(INDEX(PR!$L$4:$L$203,MATCH($C190,PR!$A$4:$A$203,0)),""))</f>
        <v/>
      </c>
      <c r="N190" s="38" t="str">
        <f aca="false">IF($A190="","",IFERROR($M190-$L190,""))</f>
        <v/>
      </c>
      <c r="O190" s="32"/>
      <c r="P190" s="33"/>
      <c r="Q190" s="33"/>
      <c r="R190" s="33"/>
      <c r="S190" s="37" t="str">
        <f aca="true">IF($A190="","",IF($Q190="","",IF($R190="",IF(TODAY()&gt;$Q190,"Trễ hạn","Chưa đến hạn"),IF($R190&lt;=$Q190,"Đúng hạn","Giao trễ"))))</f>
        <v/>
      </c>
      <c r="T190" s="38" t="str">
        <f aca="true">IF($A190="","",IF($Q190="",0,IF($R190="",IF(TODAY()&gt;$Q190,TODAY()-$Q190,0),MAX(0,$R190-$Q190))))</f>
        <v/>
      </c>
      <c r="U190" s="34"/>
      <c r="V190" s="34"/>
      <c r="W190" s="39" t="str">
        <f aca="false">IF($A190="","",IFERROR($V190/$U190,""))</f>
        <v/>
      </c>
      <c r="X190" s="34"/>
      <c r="Y190" s="37" t="str">
        <f aca="false">IF($A190="","",IF($U190="","",IF($W190&lt;='Tổng quan'!$C$8,"Đạt","Không đạt")))</f>
        <v/>
      </c>
      <c r="Z190" s="38" t="str">
        <f aca="false">IF($H190="","",IFERROR(INDEX('Nhà cung cấp'!$G$4:$G$203,MATCH($H190,'Nhà cung cấp'!$A$4:$A$203,0)),""))</f>
        <v/>
      </c>
      <c r="AA190" s="41" t="str">
        <f aca="false">IF($A190="","",IFERROR($R190+$Z190,""))</f>
        <v/>
      </c>
      <c r="AB190" s="32"/>
    </row>
    <row r="191" customFormat="false" ht="15" hidden="false" customHeight="false" outlineLevel="0" collapsed="false">
      <c r="A191" s="32"/>
      <c r="B191" s="33"/>
      <c r="C191" s="32"/>
      <c r="D191" s="37" t="str">
        <f aca="false">IF($C191="","",IFERROR(INDEX(PR!$D$4:$D$203,MATCH($C191,PR!$A$4:$A$203,0)),""))</f>
        <v/>
      </c>
      <c r="E191" s="37" t="str">
        <f aca="false">IF($C191="","",IFERROR(INDEX(PR!$E$4:$E$203,MATCH($C191,PR!$A$4:$A$203,0)),""))</f>
        <v/>
      </c>
      <c r="F191" s="37" t="str">
        <f aca="false">IF($C191="","",IFERROR(INDEX(PR!$G$4:$G$203,MATCH($C191,PR!$A$4:$A$203,0)),""))</f>
        <v/>
      </c>
      <c r="G191" s="37" t="str">
        <f aca="false">IF($C191="","",IFERROR(INDEX(PR!$F$4:$F$203,MATCH($C191,PR!$A$4:$A$203,0)),""))</f>
        <v/>
      </c>
      <c r="H191" s="32"/>
      <c r="I191" s="37" t="str">
        <f aca="false">IF($H191="","",IFERROR(INDEX('Nhà cung cấp'!$B$4:$B$203,MATCH($H191,'Nhà cung cấp'!$A$4:$A$203,0)),""))</f>
        <v/>
      </c>
      <c r="J191" s="34"/>
      <c r="K191" s="34"/>
      <c r="L191" s="38" t="str">
        <f aca="false">IF($A191="","",IFERROR($J191*$K191,""))</f>
        <v/>
      </c>
      <c r="M191" s="38" t="str">
        <f aca="false">IF($C191="","",IFERROR(INDEX(PR!$L$4:$L$203,MATCH($C191,PR!$A$4:$A$203,0)),""))</f>
        <v/>
      </c>
      <c r="N191" s="38" t="str">
        <f aca="false">IF($A191="","",IFERROR($M191-$L191,""))</f>
        <v/>
      </c>
      <c r="O191" s="32"/>
      <c r="P191" s="33"/>
      <c r="Q191" s="33"/>
      <c r="R191" s="33"/>
      <c r="S191" s="37" t="str">
        <f aca="true">IF($A191="","",IF($Q191="","",IF($R191="",IF(TODAY()&gt;$Q191,"Trễ hạn","Chưa đến hạn"),IF($R191&lt;=$Q191,"Đúng hạn","Giao trễ"))))</f>
        <v/>
      </c>
      <c r="T191" s="38" t="str">
        <f aca="true">IF($A191="","",IF($Q191="",0,IF($R191="",IF(TODAY()&gt;$Q191,TODAY()-$Q191,0),MAX(0,$R191-$Q191))))</f>
        <v/>
      </c>
      <c r="U191" s="34"/>
      <c r="V191" s="34"/>
      <c r="W191" s="39" t="str">
        <f aca="false">IF($A191="","",IFERROR($V191/$U191,""))</f>
        <v/>
      </c>
      <c r="X191" s="34"/>
      <c r="Y191" s="37" t="str">
        <f aca="false">IF($A191="","",IF($U191="","",IF($W191&lt;='Tổng quan'!$C$8,"Đạt","Không đạt")))</f>
        <v/>
      </c>
      <c r="Z191" s="38" t="str">
        <f aca="false">IF($H191="","",IFERROR(INDEX('Nhà cung cấp'!$G$4:$G$203,MATCH($H191,'Nhà cung cấp'!$A$4:$A$203,0)),""))</f>
        <v/>
      </c>
      <c r="AA191" s="41" t="str">
        <f aca="false">IF($A191="","",IFERROR($R191+$Z191,""))</f>
        <v/>
      </c>
      <c r="AB191" s="32"/>
    </row>
    <row r="192" customFormat="false" ht="15" hidden="false" customHeight="false" outlineLevel="0" collapsed="false">
      <c r="A192" s="32"/>
      <c r="B192" s="33"/>
      <c r="C192" s="32"/>
      <c r="D192" s="37" t="str">
        <f aca="false">IF($C192="","",IFERROR(INDEX(PR!$D$4:$D$203,MATCH($C192,PR!$A$4:$A$203,0)),""))</f>
        <v/>
      </c>
      <c r="E192" s="37" t="str">
        <f aca="false">IF($C192="","",IFERROR(INDEX(PR!$E$4:$E$203,MATCH($C192,PR!$A$4:$A$203,0)),""))</f>
        <v/>
      </c>
      <c r="F192" s="37" t="str">
        <f aca="false">IF($C192="","",IFERROR(INDEX(PR!$G$4:$G$203,MATCH($C192,PR!$A$4:$A$203,0)),""))</f>
        <v/>
      </c>
      <c r="G192" s="37" t="str">
        <f aca="false">IF($C192="","",IFERROR(INDEX(PR!$F$4:$F$203,MATCH($C192,PR!$A$4:$A$203,0)),""))</f>
        <v/>
      </c>
      <c r="H192" s="32"/>
      <c r="I192" s="37" t="str">
        <f aca="false">IF($H192="","",IFERROR(INDEX('Nhà cung cấp'!$B$4:$B$203,MATCH($H192,'Nhà cung cấp'!$A$4:$A$203,0)),""))</f>
        <v/>
      </c>
      <c r="J192" s="34"/>
      <c r="K192" s="34"/>
      <c r="L192" s="38" t="str">
        <f aca="false">IF($A192="","",IFERROR($J192*$K192,""))</f>
        <v/>
      </c>
      <c r="M192" s="38" t="str">
        <f aca="false">IF($C192="","",IFERROR(INDEX(PR!$L$4:$L$203,MATCH($C192,PR!$A$4:$A$203,0)),""))</f>
        <v/>
      </c>
      <c r="N192" s="38" t="str">
        <f aca="false">IF($A192="","",IFERROR($M192-$L192,""))</f>
        <v/>
      </c>
      <c r="O192" s="32"/>
      <c r="P192" s="33"/>
      <c r="Q192" s="33"/>
      <c r="R192" s="33"/>
      <c r="S192" s="37" t="str">
        <f aca="true">IF($A192="","",IF($Q192="","",IF($R192="",IF(TODAY()&gt;$Q192,"Trễ hạn","Chưa đến hạn"),IF($R192&lt;=$Q192,"Đúng hạn","Giao trễ"))))</f>
        <v/>
      </c>
      <c r="T192" s="38" t="str">
        <f aca="true">IF($A192="","",IF($Q192="",0,IF($R192="",IF(TODAY()&gt;$Q192,TODAY()-$Q192,0),MAX(0,$R192-$Q192))))</f>
        <v/>
      </c>
      <c r="U192" s="34"/>
      <c r="V192" s="34"/>
      <c r="W192" s="39" t="str">
        <f aca="false">IF($A192="","",IFERROR($V192/$U192,""))</f>
        <v/>
      </c>
      <c r="X192" s="34"/>
      <c r="Y192" s="37" t="str">
        <f aca="false">IF($A192="","",IF($U192="","",IF($W192&lt;='Tổng quan'!$C$8,"Đạt","Không đạt")))</f>
        <v/>
      </c>
      <c r="Z192" s="38" t="str">
        <f aca="false">IF($H192="","",IFERROR(INDEX('Nhà cung cấp'!$G$4:$G$203,MATCH($H192,'Nhà cung cấp'!$A$4:$A$203,0)),""))</f>
        <v/>
      </c>
      <c r="AA192" s="41" t="str">
        <f aca="false">IF($A192="","",IFERROR($R192+$Z192,""))</f>
        <v/>
      </c>
      <c r="AB192" s="32"/>
    </row>
    <row r="193" customFormat="false" ht="15" hidden="false" customHeight="false" outlineLevel="0" collapsed="false">
      <c r="A193" s="32"/>
      <c r="B193" s="33"/>
      <c r="C193" s="32"/>
      <c r="D193" s="37" t="str">
        <f aca="false">IF($C193="","",IFERROR(INDEX(PR!$D$4:$D$203,MATCH($C193,PR!$A$4:$A$203,0)),""))</f>
        <v/>
      </c>
      <c r="E193" s="37" t="str">
        <f aca="false">IF($C193="","",IFERROR(INDEX(PR!$E$4:$E$203,MATCH($C193,PR!$A$4:$A$203,0)),""))</f>
        <v/>
      </c>
      <c r="F193" s="37" t="str">
        <f aca="false">IF($C193="","",IFERROR(INDEX(PR!$G$4:$G$203,MATCH($C193,PR!$A$4:$A$203,0)),""))</f>
        <v/>
      </c>
      <c r="G193" s="37" t="str">
        <f aca="false">IF($C193="","",IFERROR(INDEX(PR!$F$4:$F$203,MATCH($C193,PR!$A$4:$A$203,0)),""))</f>
        <v/>
      </c>
      <c r="H193" s="32"/>
      <c r="I193" s="37" t="str">
        <f aca="false">IF($H193="","",IFERROR(INDEX('Nhà cung cấp'!$B$4:$B$203,MATCH($H193,'Nhà cung cấp'!$A$4:$A$203,0)),""))</f>
        <v/>
      </c>
      <c r="J193" s="34"/>
      <c r="K193" s="34"/>
      <c r="L193" s="38" t="str">
        <f aca="false">IF($A193="","",IFERROR($J193*$K193,""))</f>
        <v/>
      </c>
      <c r="M193" s="38" t="str">
        <f aca="false">IF($C193="","",IFERROR(INDEX(PR!$L$4:$L$203,MATCH($C193,PR!$A$4:$A$203,0)),""))</f>
        <v/>
      </c>
      <c r="N193" s="38" t="str">
        <f aca="false">IF($A193="","",IFERROR($M193-$L193,""))</f>
        <v/>
      </c>
      <c r="O193" s="32"/>
      <c r="P193" s="33"/>
      <c r="Q193" s="33"/>
      <c r="R193" s="33"/>
      <c r="S193" s="37" t="str">
        <f aca="true">IF($A193="","",IF($Q193="","",IF($R193="",IF(TODAY()&gt;$Q193,"Trễ hạn","Chưa đến hạn"),IF($R193&lt;=$Q193,"Đúng hạn","Giao trễ"))))</f>
        <v/>
      </c>
      <c r="T193" s="38" t="str">
        <f aca="true">IF($A193="","",IF($Q193="",0,IF($R193="",IF(TODAY()&gt;$Q193,TODAY()-$Q193,0),MAX(0,$R193-$Q193))))</f>
        <v/>
      </c>
      <c r="U193" s="34"/>
      <c r="V193" s="34"/>
      <c r="W193" s="39" t="str">
        <f aca="false">IF($A193="","",IFERROR($V193/$U193,""))</f>
        <v/>
      </c>
      <c r="X193" s="34"/>
      <c r="Y193" s="37" t="str">
        <f aca="false">IF($A193="","",IF($U193="","",IF($W193&lt;='Tổng quan'!$C$8,"Đạt","Không đạt")))</f>
        <v/>
      </c>
      <c r="Z193" s="38" t="str">
        <f aca="false">IF($H193="","",IFERROR(INDEX('Nhà cung cấp'!$G$4:$G$203,MATCH($H193,'Nhà cung cấp'!$A$4:$A$203,0)),""))</f>
        <v/>
      </c>
      <c r="AA193" s="41" t="str">
        <f aca="false">IF($A193="","",IFERROR($R193+$Z193,""))</f>
        <v/>
      </c>
      <c r="AB193" s="32"/>
    </row>
    <row r="194" customFormat="false" ht="15" hidden="false" customHeight="false" outlineLevel="0" collapsed="false">
      <c r="A194" s="32"/>
      <c r="B194" s="33"/>
      <c r="C194" s="32"/>
      <c r="D194" s="37" t="str">
        <f aca="false">IF($C194="","",IFERROR(INDEX(PR!$D$4:$D$203,MATCH($C194,PR!$A$4:$A$203,0)),""))</f>
        <v/>
      </c>
      <c r="E194" s="37" t="str">
        <f aca="false">IF($C194="","",IFERROR(INDEX(PR!$E$4:$E$203,MATCH($C194,PR!$A$4:$A$203,0)),""))</f>
        <v/>
      </c>
      <c r="F194" s="37" t="str">
        <f aca="false">IF($C194="","",IFERROR(INDEX(PR!$G$4:$G$203,MATCH($C194,PR!$A$4:$A$203,0)),""))</f>
        <v/>
      </c>
      <c r="G194" s="37" t="str">
        <f aca="false">IF($C194="","",IFERROR(INDEX(PR!$F$4:$F$203,MATCH($C194,PR!$A$4:$A$203,0)),""))</f>
        <v/>
      </c>
      <c r="H194" s="32"/>
      <c r="I194" s="37" t="str">
        <f aca="false">IF($H194="","",IFERROR(INDEX('Nhà cung cấp'!$B$4:$B$203,MATCH($H194,'Nhà cung cấp'!$A$4:$A$203,0)),""))</f>
        <v/>
      </c>
      <c r="J194" s="34"/>
      <c r="K194" s="34"/>
      <c r="L194" s="38" t="str">
        <f aca="false">IF($A194="","",IFERROR($J194*$K194,""))</f>
        <v/>
      </c>
      <c r="M194" s="38" t="str">
        <f aca="false">IF($C194="","",IFERROR(INDEX(PR!$L$4:$L$203,MATCH($C194,PR!$A$4:$A$203,0)),""))</f>
        <v/>
      </c>
      <c r="N194" s="38" t="str">
        <f aca="false">IF($A194="","",IFERROR($M194-$L194,""))</f>
        <v/>
      </c>
      <c r="O194" s="32"/>
      <c r="P194" s="33"/>
      <c r="Q194" s="33"/>
      <c r="R194" s="33"/>
      <c r="S194" s="37" t="str">
        <f aca="true">IF($A194="","",IF($Q194="","",IF($R194="",IF(TODAY()&gt;$Q194,"Trễ hạn","Chưa đến hạn"),IF($R194&lt;=$Q194,"Đúng hạn","Giao trễ"))))</f>
        <v/>
      </c>
      <c r="T194" s="38" t="str">
        <f aca="true">IF($A194="","",IF($Q194="",0,IF($R194="",IF(TODAY()&gt;$Q194,TODAY()-$Q194,0),MAX(0,$R194-$Q194))))</f>
        <v/>
      </c>
      <c r="U194" s="34"/>
      <c r="V194" s="34"/>
      <c r="W194" s="39" t="str">
        <f aca="false">IF($A194="","",IFERROR($V194/$U194,""))</f>
        <v/>
      </c>
      <c r="X194" s="34"/>
      <c r="Y194" s="37" t="str">
        <f aca="false">IF($A194="","",IF($U194="","",IF($W194&lt;='Tổng quan'!$C$8,"Đạt","Không đạt")))</f>
        <v/>
      </c>
      <c r="Z194" s="38" t="str">
        <f aca="false">IF($H194="","",IFERROR(INDEX('Nhà cung cấp'!$G$4:$G$203,MATCH($H194,'Nhà cung cấp'!$A$4:$A$203,0)),""))</f>
        <v/>
      </c>
      <c r="AA194" s="41" t="str">
        <f aca="false">IF($A194="","",IFERROR($R194+$Z194,""))</f>
        <v/>
      </c>
      <c r="AB194" s="32"/>
    </row>
    <row r="195" customFormat="false" ht="15" hidden="false" customHeight="false" outlineLevel="0" collapsed="false">
      <c r="A195" s="32"/>
      <c r="B195" s="33"/>
      <c r="C195" s="32"/>
      <c r="D195" s="37" t="str">
        <f aca="false">IF($C195="","",IFERROR(INDEX(PR!$D$4:$D$203,MATCH($C195,PR!$A$4:$A$203,0)),""))</f>
        <v/>
      </c>
      <c r="E195" s="37" t="str">
        <f aca="false">IF($C195="","",IFERROR(INDEX(PR!$E$4:$E$203,MATCH($C195,PR!$A$4:$A$203,0)),""))</f>
        <v/>
      </c>
      <c r="F195" s="37" t="str">
        <f aca="false">IF($C195="","",IFERROR(INDEX(PR!$G$4:$G$203,MATCH($C195,PR!$A$4:$A$203,0)),""))</f>
        <v/>
      </c>
      <c r="G195" s="37" t="str">
        <f aca="false">IF($C195="","",IFERROR(INDEX(PR!$F$4:$F$203,MATCH($C195,PR!$A$4:$A$203,0)),""))</f>
        <v/>
      </c>
      <c r="H195" s="32"/>
      <c r="I195" s="37" t="str">
        <f aca="false">IF($H195="","",IFERROR(INDEX('Nhà cung cấp'!$B$4:$B$203,MATCH($H195,'Nhà cung cấp'!$A$4:$A$203,0)),""))</f>
        <v/>
      </c>
      <c r="J195" s="34"/>
      <c r="K195" s="34"/>
      <c r="L195" s="38" t="str">
        <f aca="false">IF($A195="","",IFERROR($J195*$K195,""))</f>
        <v/>
      </c>
      <c r="M195" s="38" t="str">
        <f aca="false">IF($C195="","",IFERROR(INDEX(PR!$L$4:$L$203,MATCH($C195,PR!$A$4:$A$203,0)),""))</f>
        <v/>
      </c>
      <c r="N195" s="38" t="str">
        <f aca="false">IF($A195="","",IFERROR($M195-$L195,""))</f>
        <v/>
      </c>
      <c r="O195" s="32"/>
      <c r="P195" s="33"/>
      <c r="Q195" s="33"/>
      <c r="R195" s="33"/>
      <c r="S195" s="37" t="str">
        <f aca="true">IF($A195="","",IF($Q195="","",IF($R195="",IF(TODAY()&gt;$Q195,"Trễ hạn","Chưa đến hạn"),IF($R195&lt;=$Q195,"Đúng hạn","Giao trễ"))))</f>
        <v/>
      </c>
      <c r="T195" s="38" t="str">
        <f aca="true">IF($A195="","",IF($Q195="",0,IF($R195="",IF(TODAY()&gt;$Q195,TODAY()-$Q195,0),MAX(0,$R195-$Q195))))</f>
        <v/>
      </c>
      <c r="U195" s="34"/>
      <c r="V195" s="34"/>
      <c r="W195" s="39" t="str">
        <f aca="false">IF($A195="","",IFERROR($V195/$U195,""))</f>
        <v/>
      </c>
      <c r="X195" s="34"/>
      <c r="Y195" s="37" t="str">
        <f aca="false">IF($A195="","",IF($U195="","",IF($W195&lt;='Tổng quan'!$C$8,"Đạt","Không đạt")))</f>
        <v/>
      </c>
      <c r="Z195" s="38" t="str">
        <f aca="false">IF($H195="","",IFERROR(INDEX('Nhà cung cấp'!$G$4:$G$203,MATCH($H195,'Nhà cung cấp'!$A$4:$A$203,0)),""))</f>
        <v/>
      </c>
      <c r="AA195" s="41" t="str">
        <f aca="false">IF($A195="","",IFERROR($R195+$Z195,""))</f>
        <v/>
      </c>
      <c r="AB195" s="32"/>
    </row>
    <row r="196" customFormat="false" ht="15" hidden="false" customHeight="false" outlineLevel="0" collapsed="false">
      <c r="A196" s="32"/>
      <c r="B196" s="33"/>
      <c r="C196" s="32"/>
      <c r="D196" s="37" t="str">
        <f aca="false">IF($C196="","",IFERROR(INDEX(PR!$D$4:$D$203,MATCH($C196,PR!$A$4:$A$203,0)),""))</f>
        <v/>
      </c>
      <c r="E196" s="37" t="str">
        <f aca="false">IF($C196="","",IFERROR(INDEX(PR!$E$4:$E$203,MATCH($C196,PR!$A$4:$A$203,0)),""))</f>
        <v/>
      </c>
      <c r="F196" s="37" t="str">
        <f aca="false">IF($C196="","",IFERROR(INDEX(PR!$G$4:$G$203,MATCH($C196,PR!$A$4:$A$203,0)),""))</f>
        <v/>
      </c>
      <c r="G196" s="37" t="str">
        <f aca="false">IF($C196="","",IFERROR(INDEX(PR!$F$4:$F$203,MATCH($C196,PR!$A$4:$A$203,0)),""))</f>
        <v/>
      </c>
      <c r="H196" s="32"/>
      <c r="I196" s="37" t="str">
        <f aca="false">IF($H196="","",IFERROR(INDEX('Nhà cung cấp'!$B$4:$B$203,MATCH($H196,'Nhà cung cấp'!$A$4:$A$203,0)),""))</f>
        <v/>
      </c>
      <c r="J196" s="34"/>
      <c r="K196" s="34"/>
      <c r="L196" s="38" t="str">
        <f aca="false">IF($A196="","",IFERROR($J196*$K196,""))</f>
        <v/>
      </c>
      <c r="M196" s="38" t="str">
        <f aca="false">IF($C196="","",IFERROR(INDEX(PR!$L$4:$L$203,MATCH($C196,PR!$A$4:$A$203,0)),""))</f>
        <v/>
      </c>
      <c r="N196" s="38" t="str">
        <f aca="false">IF($A196="","",IFERROR($M196-$L196,""))</f>
        <v/>
      </c>
      <c r="O196" s="32"/>
      <c r="P196" s="33"/>
      <c r="Q196" s="33"/>
      <c r="R196" s="33"/>
      <c r="S196" s="37" t="str">
        <f aca="true">IF($A196="","",IF($Q196="","",IF($R196="",IF(TODAY()&gt;$Q196,"Trễ hạn","Chưa đến hạn"),IF($R196&lt;=$Q196,"Đúng hạn","Giao trễ"))))</f>
        <v/>
      </c>
      <c r="T196" s="38" t="str">
        <f aca="true">IF($A196="","",IF($Q196="",0,IF($R196="",IF(TODAY()&gt;$Q196,TODAY()-$Q196,0),MAX(0,$R196-$Q196))))</f>
        <v/>
      </c>
      <c r="U196" s="34"/>
      <c r="V196" s="34"/>
      <c r="W196" s="39" t="str">
        <f aca="false">IF($A196="","",IFERROR($V196/$U196,""))</f>
        <v/>
      </c>
      <c r="X196" s="34"/>
      <c r="Y196" s="37" t="str">
        <f aca="false">IF($A196="","",IF($U196="","",IF($W196&lt;='Tổng quan'!$C$8,"Đạt","Không đạt")))</f>
        <v/>
      </c>
      <c r="Z196" s="38" t="str">
        <f aca="false">IF($H196="","",IFERROR(INDEX('Nhà cung cấp'!$G$4:$G$203,MATCH($H196,'Nhà cung cấp'!$A$4:$A$203,0)),""))</f>
        <v/>
      </c>
      <c r="AA196" s="41" t="str">
        <f aca="false">IF($A196="","",IFERROR($R196+$Z196,""))</f>
        <v/>
      </c>
      <c r="AB196" s="32"/>
    </row>
    <row r="197" customFormat="false" ht="15" hidden="false" customHeight="false" outlineLevel="0" collapsed="false">
      <c r="A197" s="32"/>
      <c r="B197" s="33"/>
      <c r="C197" s="32"/>
      <c r="D197" s="37" t="str">
        <f aca="false">IF($C197="","",IFERROR(INDEX(PR!$D$4:$D$203,MATCH($C197,PR!$A$4:$A$203,0)),""))</f>
        <v/>
      </c>
      <c r="E197" s="37" t="str">
        <f aca="false">IF($C197="","",IFERROR(INDEX(PR!$E$4:$E$203,MATCH($C197,PR!$A$4:$A$203,0)),""))</f>
        <v/>
      </c>
      <c r="F197" s="37" t="str">
        <f aca="false">IF($C197="","",IFERROR(INDEX(PR!$G$4:$G$203,MATCH($C197,PR!$A$4:$A$203,0)),""))</f>
        <v/>
      </c>
      <c r="G197" s="37" t="str">
        <f aca="false">IF($C197="","",IFERROR(INDEX(PR!$F$4:$F$203,MATCH($C197,PR!$A$4:$A$203,0)),""))</f>
        <v/>
      </c>
      <c r="H197" s="32"/>
      <c r="I197" s="37" t="str">
        <f aca="false">IF($H197="","",IFERROR(INDEX('Nhà cung cấp'!$B$4:$B$203,MATCH($H197,'Nhà cung cấp'!$A$4:$A$203,0)),""))</f>
        <v/>
      </c>
      <c r="J197" s="34"/>
      <c r="K197" s="34"/>
      <c r="L197" s="38" t="str">
        <f aca="false">IF($A197="","",IFERROR($J197*$K197,""))</f>
        <v/>
      </c>
      <c r="M197" s="38" t="str">
        <f aca="false">IF($C197="","",IFERROR(INDEX(PR!$L$4:$L$203,MATCH($C197,PR!$A$4:$A$203,0)),""))</f>
        <v/>
      </c>
      <c r="N197" s="38" t="str">
        <f aca="false">IF($A197="","",IFERROR($M197-$L197,""))</f>
        <v/>
      </c>
      <c r="O197" s="32"/>
      <c r="P197" s="33"/>
      <c r="Q197" s="33"/>
      <c r="R197" s="33"/>
      <c r="S197" s="37" t="str">
        <f aca="true">IF($A197="","",IF($Q197="","",IF($R197="",IF(TODAY()&gt;$Q197,"Trễ hạn","Chưa đến hạn"),IF($R197&lt;=$Q197,"Đúng hạn","Giao trễ"))))</f>
        <v/>
      </c>
      <c r="T197" s="38" t="str">
        <f aca="true">IF($A197="","",IF($Q197="",0,IF($R197="",IF(TODAY()&gt;$Q197,TODAY()-$Q197,0),MAX(0,$R197-$Q197))))</f>
        <v/>
      </c>
      <c r="U197" s="34"/>
      <c r="V197" s="34"/>
      <c r="W197" s="39" t="str">
        <f aca="false">IF($A197="","",IFERROR($V197/$U197,""))</f>
        <v/>
      </c>
      <c r="X197" s="34"/>
      <c r="Y197" s="37" t="str">
        <f aca="false">IF($A197="","",IF($U197="","",IF($W197&lt;='Tổng quan'!$C$8,"Đạt","Không đạt")))</f>
        <v/>
      </c>
      <c r="Z197" s="38" t="str">
        <f aca="false">IF($H197="","",IFERROR(INDEX('Nhà cung cấp'!$G$4:$G$203,MATCH($H197,'Nhà cung cấp'!$A$4:$A$203,0)),""))</f>
        <v/>
      </c>
      <c r="AA197" s="41" t="str">
        <f aca="false">IF($A197="","",IFERROR($R197+$Z197,""))</f>
        <v/>
      </c>
      <c r="AB197" s="32"/>
    </row>
    <row r="198" customFormat="false" ht="15" hidden="false" customHeight="false" outlineLevel="0" collapsed="false">
      <c r="A198" s="32"/>
      <c r="B198" s="33"/>
      <c r="C198" s="32"/>
      <c r="D198" s="37" t="str">
        <f aca="false">IF($C198="","",IFERROR(INDEX(PR!$D$4:$D$203,MATCH($C198,PR!$A$4:$A$203,0)),""))</f>
        <v/>
      </c>
      <c r="E198" s="37" t="str">
        <f aca="false">IF($C198="","",IFERROR(INDEX(PR!$E$4:$E$203,MATCH($C198,PR!$A$4:$A$203,0)),""))</f>
        <v/>
      </c>
      <c r="F198" s="37" t="str">
        <f aca="false">IF($C198="","",IFERROR(INDEX(PR!$G$4:$G$203,MATCH($C198,PR!$A$4:$A$203,0)),""))</f>
        <v/>
      </c>
      <c r="G198" s="37" t="str">
        <f aca="false">IF($C198="","",IFERROR(INDEX(PR!$F$4:$F$203,MATCH($C198,PR!$A$4:$A$203,0)),""))</f>
        <v/>
      </c>
      <c r="H198" s="32"/>
      <c r="I198" s="37" t="str">
        <f aca="false">IF($H198="","",IFERROR(INDEX('Nhà cung cấp'!$B$4:$B$203,MATCH($H198,'Nhà cung cấp'!$A$4:$A$203,0)),""))</f>
        <v/>
      </c>
      <c r="J198" s="34"/>
      <c r="K198" s="34"/>
      <c r="L198" s="38" t="str">
        <f aca="false">IF($A198="","",IFERROR($J198*$K198,""))</f>
        <v/>
      </c>
      <c r="M198" s="38" t="str">
        <f aca="false">IF($C198="","",IFERROR(INDEX(PR!$L$4:$L$203,MATCH($C198,PR!$A$4:$A$203,0)),""))</f>
        <v/>
      </c>
      <c r="N198" s="38" t="str">
        <f aca="false">IF($A198="","",IFERROR($M198-$L198,""))</f>
        <v/>
      </c>
      <c r="O198" s="32"/>
      <c r="P198" s="33"/>
      <c r="Q198" s="33"/>
      <c r="R198" s="33"/>
      <c r="S198" s="37" t="str">
        <f aca="true">IF($A198="","",IF($Q198="","",IF($R198="",IF(TODAY()&gt;$Q198,"Trễ hạn","Chưa đến hạn"),IF($R198&lt;=$Q198,"Đúng hạn","Giao trễ"))))</f>
        <v/>
      </c>
      <c r="T198" s="38" t="str">
        <f aca="true">IF($A198="","",IF($Q198="",0,IF($R198="",IF(TODAY()&gt;$Q198,TODAY()-$Q198,0),MAX(0,$R198-$Q198))))</f>
        <v/>
      </c>
      <c r="U198" s="34"/>
      <c r="V198" s="34"/>
      <c r="W198" s="39" t="str">
        <f aca="false">IF($A198="","",IFERROR($V198/$U198,""))</f>
        <v/>
      </c>
      <c r="X198" s="34"/>
      <c r="Y198" s="37" t="str">
        <f aca="false">IF($A198="","",IF($U198="","",IF($W198&lt;='Tổng quan'!$C$8,"Đạt","Không đạt")))</f>
        <v/>
      </c>
      <c r="Z198" s="38" t="str">
        <f aca="false">IF($H198="","",IFERROR(INDEX('Nhà cung cấp'!$G$4:$G$203,MATCH($H198,'Nhà cung cấp'!$A$4:$A$203,0)),""))</f>
        <v/>
      </c>
      <c r="AA198" s="41" t="str">
        <f aca="false">IF($A198="","",IFERROR($R198+$Z198,""))</f>
        <v/>
      </c>
      <c r="AB198" s="32"/>
    </row>
    <row r="199" customFormat="false" ht="15" hidden="false" customHeight="false" outlineLevel="0" collapsed="false">
      <c r="A199" s="32"/>
      <c r="B199" s="33"/>
      <c r="C199" s="32"/>
      <c r="D199" s="37" t="str">
        <f aca="false">IF($C199="","",IFERROR(INDEX(PR!$D$4:$D$203,MATCH($C199,PR!$A$4:$A$203,0)),""))</f>
        <v/>
      </c>
      <c r="E199" s="37" t="str">
        <f aca="false">IF($C199="","",IFERROR(INDEX(PR!$E$4:$E$203,MATCH($C199,PR!$A$4:$A$203,0)),""))</f>
        <v/>
      </c>
      <c r="F199" s="37" t="str">
        <f aca="false">IF($C199="","",IFERROR(INDEX(PR!$G$4:$G$203,MATCH($C199,PR!$A$4:$A$203,0)),""))</f>
        <v/>
      </c>
      <c r="G199" s="37" t="str">
        <f aca="false">IF($C199="","",IFERROR(INDEX(PR!$F$4:$F$203,MATCH($C199,PR!$A$4:$A$203,0)),""))</f>
        <v/>
      </c>
      <c r="H199" s="32"/>
      <c r="I199" s="37" t="str">
        <f aca="false">IF($H199="","",IFERROR(INDEX('Nhà cung cấp'!$B$4:$B$203,MATCH($H199,'Nhà cung cấp'!$A$4:$A$203,0)),""))</f>
        <v/>
      </c>
      <c r="J199" s="34"/>
      <c r="K199" s="34"/>
      <c r="L199" s="38" t="str">
        <f aca="false">IF($A199="","",IFERROR($J199*$K199,""))</f>
        <v/>
      </c>
      <c r="M199" s="38" t="str">
        <f aca="false">IF($C199="","",IFERROR(INDEX(PR!$L$4:$L$203,MATCH($C199,PR!$A$4:$A$203,0)),""))</f>
        <v/>
      </c>
      <c r="N199" s="38" t="str">
        <f aca="false">IF($A199="","",IFERROR($M199-$L199,""))</f>
        <v/>
      </c>
      <c r="O199" s="32"/>
      <c r="P199" s="33"/>
      <c r="Q199" s="33"/>
      <c r="R199" s="33"/>
      <c r="S199" s="37" t="str">
        <f aca="true">IF($A199="","",IF($Q199="","",IF($R199="",IF(TODAY()&gt;$Q199,"Trễ hạn","Chưa đến hạn"),IF($R199&lt;=$Q199,"Đúng hạn","Giao trễ"))))</f>
        <v/>
      </c>
      <c r="T199" s="38" t="str">
        <f aca="true">IF($A199="","",IF($Q199="",0,IF($R199="",IF(TODAY()&gt;$Q199,TODAY()-$Q199,0),MAX(0,$R199-$Q199))))</f>
        <v/>
      </c>
      <c r="U199" s="34"/>
      <c r="V199" s="34"/>
      <c r="W199" s="39" t="str">
        <f aca="false">IF($A199="","",IFERROR($V199/$U199,""))</f>
        <v/>
      </c>
      <c r="X199" s="34"/>
      <c r="Y199" s="37" t="str">
        <f aca="false">IF($A199="","",IF($U199="","",IF($W199&lt;='Tổng quan'!$C$8,"Đạt","Không đạt")))</f>
        <v/>
      </c>
      <c r="Z199" s="38" t="str">
        <f aca="false">IF($H199="","",IFERROR(INDEX('Nhà cung cấp'!$G$4:$G$203,MATCH($H199,'Nhà cung cấp'!$A$4:$A$203,0)),""))</f>
        <v/>
      </c>
      <c r="AA199" s="41" t="str">
        <f aca="false">IF($A199="","",IFERROR($R199+$Z199,""))</f>
        <v/>
      </c>
      <c r="AB199" s="32"/>
    </row>
    <row r="200" customFormat="false" ht="15" hidden="false" customHeight="false" outlineLevel="0" collapsed="false">
      <c r="A200" s="32"/>
      <c r="B200" s="33"/>
      <c r="C200" s="32"/>
      <c r="D200" s="37" t="str">
        <f aca="false">IF($C200="","",IFERROR(INDEX(PR!$D$4:$D$203,MATCH($C200,PR!$A$4:$A$203,0)),""))</f>
        <v/>
      </c>
      <c r="E200" s="37" t="str">
        <f aca="false">IF($C200="","",IFERROR(INDEX(PR!$E$4:$E$203,MATCH($C200,PR!$A$4:$A$203,0)),""))</f>
        <v/>
      </c>
      <c r="F200" s="37" t="str">
        <f aca="false">IF($C200="","",IFERROR(INDEX(PR!$G$4:$G$203,MATCH($C200,PR!$A$4:$A$203,0)),""))</f>
        <v/>
      </c>
      <c r="G200" s="37" t="str">
        <f aca="false">IF($C200="","",IFERROR(INDEX(PR!$F$4:$F$203,MATCH($C200,PR!$A$4:$A$203,0)),""))</f>
        <v/>
      </c>
      <c r="H200" s="32"/>
      <c r="I200" s="37" t="str">
        <f aca="false">IF($H200="","",IFERROR(INDEX('Nhà cung cấp'!$B$4:$B$203,MATCH($H200,'Nhà cung cấp'!$A$4:$A$203,0)),""))</f>
        <v/>
      </c>
      <c r="J200" s="34"/>
      <c r="K200" s="34"/>
      <c r="L200" s="38" t="str">
        <f aca="false">IF($A200="","",IFERROR($J200*$K200,""))</f>
        <v/>
      </c>
      <c r="M200" s="38" t="str">
        <f aca="false">IF($C200="","",IFERROR(INDEX(PR!$L$4:$L$203,MATCH($C200,PR!$A$4:$A$203,0)),""))</f>
        <v/>
      </c>
      <c r="N200" s="38" t="str">
        <f aca="false">IF($A200="","",IFERROR($M200-$L200,""))</f>
        <v/>
      </c>
      <c r="O200" s="32"/>
      <c r="P200" s="33"/>
      <c r="Q200" s="33"/>
      <c r="R200" s="33"/>
      <c r="S200" s="37" t="str">
        <f aca="true">IF($A200="","",IF($Q200="","",IF($R200="",IF(TODAY()&gt;$Q200,"Trễ hạn","Chưa đến hạn"),IF($R200&lt;=$Q200,"Đúng hạn","Giao trễ"))))</f>
        <v/>
      </c>
      <c r="T200" s="38" t="str">
        <f aca="true">IF($A200="","",IF($Q200="",0,IF($R200="",IF(TODAY()&gt;$Q200,TODAY()-$Q200,0),MAX(0,$R200-$Q200))))</f>
        <v/>
      </c>
      <c r="U200" s="34"/>
      <c r="V200" s="34"/>
      <c r="W200" s="39" t="str">
        <f aca="false">IF($A200="","",IFERROR($V200/$U200,""))</f>
        <v/>
      </c>
      <c r="X200" s="34"/>
      <c r="Y200" s="37" t="str">
        <f aca="false">IF($A200="","",IF($U200="","",IF($W200&lt;='Tổng quan'!$C$8,"Đạt","Không đạt")))</f>
        <v/>
      </c>
      <c r="Z200" s="38" t="str">
        <f aca="false">IF($H200="","",IFERROR(INDEX('Nhà cung cấp'!$G$4:$G$203,MATCH($H200,'Nhà cung cấp'!$A$4:$A$203,0)),""))</f>
        <v/>
      </c>
      <c r="AA200" s="41" t="str">
        <f aca="false">IF($A200="","",IFERROR($R200+$Z200,""))</f>
        <v/>
      </c>
      <c r="AB200" s="32"/>
    </row>
    <row r="201" customFormat="false" ht="15" hidden="false" customHeight="false" outlineLevel="0" collapsed="false">
      <c r="A201" s="32"/>
      <c r="B201" s="33"/>
      <c r="C201" s="32"/>
      <c r="D201" s="37" t="str">
        <f aca="false">IF($C201="","",IFERROR(INDEX(PR!$D$4:$D$203,MATCH($C201,PR!$A$4:$A$203,0)),""))</f>
        <v/>
      </c>
      <c r="E201" s="37" t="str">
        <f aca="false">IF($C201="","",IFERROR(INDEX(PR!$E$4:$E$203,MATCH($C201,PR!$A$4:$A$203,0)),""))</f>
        <v/>
      </c>
      <c r="F201" s="37" t="str">
        <f aca="false">IF($C201="","",IFERROR(INDEX(PR!$G$4:$G$203,MATCH($C201,PR!$A$4:$A$203,0)),""))</f>
        <v/>
      </c>
      <c r="G201" s="37" t="str">
        <f aca="false">IF($C201="","",IFERROR(INDEX(PR!$F$4:$F$203,MATCH($C201,PR!$A$4:$A$203,0)),""))</f>
        <v/>
      </c>
      <c r="H201" s="32"/>
      <c r="I201" s="37" t="str">
        <f aca="false">IF($H201="","",IFERROR(INDEX('Nhà cung cấp'!$B$4:$B$203,MATCH($H201,'Nhà cung cấp'!$A$4:$A$203,0)),""))</f>
        <v/>
      </c>
      <c r="J201" s="34"/>
      <c r="K201" s="34"/>
      <c r="L201" s="38" t="str">
        <f aca="false">IF($A201="","",IFERROR($J201*$K201,""))</f>
        <v/>
      </c>
      <c r="M201" s="38" t="str">
        <f aca="false">IF($C201="","",IFERROR(INDEX(PR!$L$4:$L$203,MATCH($C201,PR!$A$4:$A$203,0)),""))</f>
        <v/>
      </c>
      <c r="N201" s="38" t="str">
        <f aca="false">IF($A201="","",IFERROR($M201-$L201,""))</f>
        <v/>
      </c>
      <c r="O201" s="32"/>
      <c r="P201" s="33"/>
      <c r="Q201" s="33"/>
      <c r="R201" s="33"/>
      <c r="S201" s="37" t="str">
        <f aca="true">IF($A201="","",IF($Q201="","",IF($R201="",IF(TODAY()&gt;$Q201,"Trễ hạn","Chưa đến hạn"),IF($R201&lt;=$Q201,"Đúng hạn","Giao trễ"))))</f>
        <v/>
      </c>
      <c r="T201" s="38" t="str">
        <f aca="true">IF($A201="","",IF($Q201="",0,IF($R201="",IF(TODAY()&gt;$Q201,TODAY()-$Q201,0),MAX(0,$R201-$Q201))))</f>
        <v/>
      </c>
      <c r="U201" s="34"/>
      <c r="V201" s="34"/>
      <c r="W201" s="39" t="str">
        <f aca="false">IF($A201="","",IFERROR($V201/$U201,""))</f>
        <v/>
      </c>
      <c r="X201" s="34"/>
      <c r="Y201" s="37" t="str">
        <f aca="false">IF($A201="","",IF($U201="","",IF($W201&lt;='Tổng quan'!$C$8,"Đạt","Không đạt")))</f>
        <v/>
      </c>
      <c r="Z201" s="38" t="str">
        <f aca="false">IF($H201="","",IFERROR(INDEX('Nhà cung cấp'!$G$4:$G$203,MATCH($H201,'Nhà cung cấp'!$A$4:$A$203,0)),""))</f>
        <v/>
      </c>
      <c r="AA201" s="41" t="str">
        <f aca="false">IF($A201="","",IFERROR($R201+$Z201,""))</f>
        <v/>
      </c>
      <c r="AB201" s="32"/>
    </row>
    <row r="202" customFormat="false" ht="15" hidden="false" customHeight="false" outlineLevel="0" collapsed="false">
      <c r="A202" s="32"/>
      <c r="B202" s="33"/>
      <c r="C202" s="32"/>
      <c r="D202" s="37" t="str">
        <f aca="false">IF($C202="","",IFERROR(INDEX(PR!$D$4:$D$203,MATCH($C202,PR!$A$4:$A$203,0)),""))</f>
        <v/>
      </c>
      <c r="E202" s="37" t="str">
        <f aca="false">IF($C202="","",IFERROR(INDEX(PR!$E$4:$E$203,MATCH($C202,PR!$A$4:$A$203,0)),""))</f>
        <v/>
      </c>
      <c r="F202" s="37" t="str">
        <f aca="false">IF($C202="","",IFERROR(INDEX(PR!$G$4:$G$203,MATCH($C202,PR!$A$4:$A$203,0)),""))</f>
        <v/>
      </c>
      <c r="G202" s="37" t="str">
        <f aca="false">IF($C202="","",IFERROR(INDEX(PR!$F$4:$F$203,MATCH($C202,PR!$A$4:$A$203,0)),""))</f>
        <v/>
      </c>
      <c r="H202" s="32"/>
      <c r="I202" s="37" t="str">
        <f aca="false">IF($H202="","",IFERROR(INDEX('Nhà cung cấp'!$B$4:$B$203,MATCH($H202,'Nhà cung cấp'!$A$4:$A$203,0)),""))</f>
        <v/>
      </c>
      <c r="J202" s="34"/>
      <c r="K202" s="34"/>
      <c r="L202" s="38" t="str">
        <f aca="false">IF($A202="","",IFERROR($J202*$K202,""))</f>
        <v/>
      </c>
      <c r="M202" s="38" t="str">
        <f aca="false">IF($C202="","",IFERROR(INDEX(PR!$L$4:$L$203,MATCH($C202,PR!$A$4:$A$203,0)),""))</f>
        <v/>
      </c>
      <c r="N202" s="38" t="str">
        <f aca="false">IF($A202="","",IFERROR($M202-$L202,""))</f>
        <v/>
      </c>
      <c r="O202" s="32"/>
      <c r="P202" s="33"/>
      <c r="Q202" s="33"/>
      <c r="R202" s="33"/>
      <c r="S202" s="37" t="str">
        <f aca="true">IF($A202="","",IF($Q202="","",IF($R202="",IF(TODAY()&gt;$Q202,"Trễ hạn","Chưa đến hạn"),IF($R202&lt;=$Q202,"Đúng hạn","Giao trễ"))))</f>
        <v/>
      </c>
      <c r="T202" s="38" t="str">
        <f aca="true">IF($A202="","",IF($Q202="",0,IF($R202="",IF(TODAY()&gt;$Q202,TODAY()-$Q202,0),MAX(0,$R202-$Q202))))</f>
        <v/>
      </c>
      <c r="U202" s="34"/>
      <c r="V202" s="34"/>
      <c r="W202" s="39" t="str">
        <f aca="false">IF($A202="","",IFERROR($V202/$U202,""))</f>
        <v/>
      </c>
      <c r="X202" s="34"/>
      <c r="Y202" s="37" t="str">
        <f aca="false">IF($A202="","",IF($U202="","",IF($W202&lt;='Tổng quan'!$C$8,"Đạt","Không đạt")))</f>
        <v/>
      </c>
      <c r="Z202" s="38" t="str">
        <f aca="false">IF($H202="","",IFERROR(INDEX('Nhà cung cấp'!$G$4:$G$203,MATCH($H202,'Nhà cung cấp'!$A$4:$A$203,0)),""))</f>
        <v/>
      </c>
      <c r="AA202" s="41" t="str">
        <f aca="false">IF($A202="","",IFERROR($R202+$Z202,""))</f>
        <v/>
      </c>
      <c r="AB202" s="32"/>
    </row>
    <row r="203" customFormat="false" ht="15" hidden="false" customHeight="false" outlineLevel="0" collapsed="false">
      <c r="A203" s="32"/>
      <c r="B203" s="33"/>
      <c r="C203" s="32"/>
      <c r="D203" s="37" t="str">
        <f aca="false">IF($C203="","",IFERROR(INDEX(PR!$D$4:$D$203,MATCH($C203,PR!$A$4:$A$203,0)),""))</f>
        <v/>
      </c>
      <c r="E203" s="37" t="str">
        <f aca="false">IF($C203="","",IFERROR(INDEX(PR!$E$4:$E$203,MATCH($C203,PR!$A$4:$A$203,0)),""))</f>
        <v/>
      </c>
      <c r="F203" s="37" t="str">
        <f aca="false">IF($C203="","",IFERROR(INDEX(PR!$G$4:$G$203,MATCH($C203,PR!$A$4:$A$203,0)),""))</f>
        <v/>
      </c>
      <c r="G203" s="37" t="str">
        <f aca="false">IF($C203="","",IFERROR(INDEX(PR!$F$4:$F$203,MATCH($C203,PR!$A$4:$A$203,0)),""))</f>
        <v/>
      </c>
      <c r="H203" s="32"/>
      <c r="I203" s="37" t="str">
        <f aca="false">IF($H203="","",IFERROR(INDEX('Nhà cung cấp'!$B$4:$B$203,MATCH($H203,'Nhà cung cấp'!$A$4:$A$203,0)),""))</f>
        <v/>
      </c>
      <c r="J203" s="34"/>
      <c r="K203" s="34"/>
      <c r="L203" s="38" t="str">
        <f aca="false">IF($A203="","",IFERROR($J203*$K203,""))</f>
        <v/>
      </c>
      <c r="M203" s="38" t="str">
        <f aca="false">IF($C203="","",IFERROR(INDEX(PR!$L$4:$L$203,MATCH($C203,PR!$A$4:$A$203,0)),""))</f>
        <v/>
      </c>
      <c r="N203" s="38" t="str">
        <f aca="false">IF($A203="","",IFERROR($M203-$L203,""))</f>
        <v/>
      </c>
      <c r="O203" s="32"/>
      <c r="P203" s="33"/>
      <c r="Q203" s="33"/>
      <c r="R203" s="33"/>
      <c r="S203" s="37" t="str">
        <f aca="true">IF($A203="","",IF($Q203="","",IF($R203="",IF(TODAY()&gt;$Q203,"Trễ hạn","Chưa đến hạn"),IF($R203&lt;=$Q203,"Đúng hạn","Giao trễ"))))</f>
        <v/>
      </c>
      <c r="T203" s="38" t="str">
        <f aca="true">IF($A203="","",IF($Q203="",0,IF($R203="",IF(TODAY()&gt;$Q203,TODAY()-$Q203,0),MAX(0,$R203-$Q203))))</f>
        <v/>
      </c>
      <c r="U203" s="34"/>
      <c r="V203" s="34"/>
      <c r="W203" s="39" t="str">
        <f aca="false">IF($A203="","",IFERROR($V203/$U203,""))</f>
        <v/>
      </c>
      <c r="X203" s="34"/>
      <c r="Y203" s="37" t="str">
        <f aca="false">IF($A203="","",IF($U203="","",IF($W203&lt;='Tổng quan'!$C$8,"Đạt","Không đạt")))</f>
        <v/>
      </c>
      <c r="Z203" s="38" t="str">
        <f aca="false">IF($H203="","",IFERROR(INDEX('Nhà cung cấp'!$G$4:$G$203,MATCH($H203,'Nhà cung cấp'!$A$4:$A$203,0)),""))</f>
        <v/>
      </c>
      <c r="AA203" s="41" t="str">
        <f aca="false">IF($A203="","",IFERROR($R203+$Z203,""))</f>
        <v/>
      </c>
      <c r="AB203" s="32"/>
    </row>
  </sheetData>
  <autoFilter ref="A3:AB203"/>
  <conditionalFormatting sqref="A4:AB203">
    <cfRule type="expression" priority="2" aboveAverage="0" equalAverage="0" bottom="0" percent="0" rank="0" text="" dxfId="9">
      <formula>OR($S4="Giao trễ",$S4="Trễ hạn")</formula>
    </cfRule>
    <cfRule type="expression" priority="3" aboveAverage="0" equalAverage="0" bottom="0" percent="0" rank="0" text="" dxfId="14">
      <formula>$Y4="Không đạt"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N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5"/>
    <col collapsed="false" customWidth="true" hidden="false" outlineLevel="0" max="4" min="4" style="0" width="13"/>
    <col collapsed="false" customWidth="true" hidden="false" outlineLevel="0" max="5" min="5" style="0" width="12"/>
    <col collapsed="false" customWidth="true" hidden="false" outlineLevel="0" max="6" min="6" style="0" width="30"/>
    <col collapsed="false" customWidth="true" hidden="false" outlineLevel="0" max="8" min="7" style="0" width="16"/>
    <col collapsed="false" customWidth="true" hidden="false" outlineLevel="0" max="9" min="9" style="0" width="11"/>
    <col collapsed="false" customWidth="true" hidden="false" outlineLevel="0" max="11" min="10" style="0" width="16"/>
    <col collapsed="false" customWidth="true" hidden="false" outlineLevel="0" max="12" min="12" style="0" width="15"/>
    <col collapsed="false" customWidth="true" hidden="false" outlineLevel="0" max="13" min="13" style="0" width="16"/>
    <col collapsed="false" customWidth="true" hidden="false" outlineLevel="0" max="14" min="14" style="0" width="34"/>
  </cols>
  <sheetData>
    <row r="1" customFormat="false" ht="17.35" hidden="false" customHeight="false" outlineLevel="0" collapsed="false">
      <c r="A1" s="30" t="s">
        <v>280</v>
      </c>
    </row>
    <row r="2" customFormat="false" ht="15" hidden="false" customHeight="false" outlineLevel="0" collapsed="false">
      <c r="A2" s="8" t="s">
        <v>281</v>
      </c>
    </row>
    <row r="3" customFormat="false" ht="33.75" hidden="false" customHeight="true" outlineLevel="0" collapsed="false">
      <c r="A3" s="42" t="s">
        <v>282</v>
      </c>
      <c r="B3" s="42" t="s">
        <v>283</v>
      </c>
      <c r="C3" s="42" t="s">
        <v>259</v>
      </c>
      <c r="D3" s="42" t="s">
        <v>116</v>
      </c>
      <c r="E3" s="42" t="s">
        <v>156</v>
      </c>
      <c r="F3" s="42" t="s">
        <v>229</v>
      </c>
      <c r="G3" s="42" t="s">
        <v>264</v>
      </c>
      <c r="H3" s="42" t="s">
        <v>284</v>
      </c>
      <c r="I3" s="42" t="s">
        <v>285</v>
      </c>
      <c r="J3" s="42" t="s">
        <v>286</v>
      </c>
      <c r="K3" s="42" t="s">
        <v>287</v>
      </c>
      <c r="L3" s="42" t="s">
        <v>288</v>
      </c>
      <c r="M3" s="42" t="s">
        <v>289</v>
      </c>
      <c r="N3" s="42" t="s">
        <v>290</v>
      </c>
    </row>
    <row r="4" customFormat="false" ht="15" hidden="false" customHeight="false" outlineLevel="0" collapsed="false">
      <c r="A4" s="32" t="s">
        <v>291</v>
      </c>
      <c r="B4" s="33" t="n">
        <v>46073</v>
      </c>
      <c r="C4" s="32" t="s">
        <v>278</v>
      </c>
      <c r="D4" s="37" t="str">
        <f aca="false">IF($C4="","",IFERROR(INDEX(PO!$D$4:$D$203,MATCH($C4,PO!$A$4:$A$203,0)),""))</f>
        <v>DA-2026-01</v>
      </c>
      <c r="E4" s="37" t="str">
        <f aca="false">IF($C4="","",IFERROR(INDEX(PO!$H$4:$H$203,MATCH($C4,PO!$A$4:$A$203,0)),""))</f>
        <v>NCC001</v>
      </c>
      <c r="F4" s="37" t="str">
        <f aca="false">IF($C4="","",IFERROR(INDEX(PO!$I$4:$I$203,MATCH($C4,PO!$A$4:$A$203,0)),""))</f>
        <v>Công ty TNHH Thép Việt An</v>
      </c>
      <c r="G4" s="38" t="n">
        <f aca="false">IF($C4="","",IFERROR(INDEX(PO!$L$4:$L$203,MATCH($C4,PO!$A$4:$A$203,0)),""))</f>
        <v>236000000</v>
      </c>
      <c r="H4" s="34" t="n">
        <v>100000000</v>
      </c>
      <c r="I4" s="34" t="n">
        <v>1</v>
      </c>
      <c r="J4" s="38" t="n">
        <f aca="false">IF($A4="","",SUMIFS($H$4:$H$203,$C$4:$C$203,$C4))</f>
        <v>180000000</v>
      </c>
      <c r="K4" s="38" t="n">
        <f aca="false">IF($A4="","",IFERROR($G4-$J4,""))</f>
        <v>56000000</v>
      </c>
      <c r="L4" s="32" t="s">
        <v>292</v>
      </c>
      <c r="M4" s="32" t="s">
        <v>293</v>
      </c>
      <c r="N4" s="35" t="s">
        <v>294</v>
      </c>
    </row>
    <row r="5" customFormat="false" ht="15" hidden="false" customHeight="false" outlineLevel="0" collapsed="false">
      <c r="A5" s="32" t="s">
        <v>295</v>
      </c>
      <c r="B5" s="33" t="n">
        <v>46096</v>
      </c>
      <c r="C5" s="32" t="s">
        <v>278</v>
      </c>
      <c r="D5" s="37" t="str">
        <f aca="false">IF($C5="","",IFERROR(INDEX(PO!$D$4:$D$203,MATCH($C5,PO!$A$4:$A$203,0)),""))</f>
        <v>DA-2026-01</v>
      </c>
      <c r="E5" s="37" t="str">
        <f aca="false">IF($C5="","",IFERROR(INDEX(PO!$H$4:$H$203,MATCH($C5,PO!$A$4:$A$203,0)),""))</f>
        <v>NCC001</v>
      </c>
      <c r="F5" s="37" t="str">
        <f aca="false">IF($C5="","",IFERROR(INDEX(PO!$I$4:$I$203,MATCH($C5,PO!$A$4:$A$203,0)),""))</f>
        <v>Công ty TNHH Thép Việt An</v>
      </c>
      <c r="G5" s="38" t="n">
        <f aca="false">IF($C5="","",IFERROR(INDEX(PO!$L$4:$L$203,MATCH($C5,PO!$A$4:$A$203,0)),""))</f>
        <v>236000000</v>
      </c>
      <c r="H5" s="34" t="n">
        <v>80000000</v>
      </c>
      <c r="I5" s="34" t="n">
        <v>2</v>
      </c>
      <c r="J5" s="38" t="n">
        <f aca="false">IF($A5="","",SUMIFS($H$4:$H$203,$C$4:$C$203,$C5))</f>
        <v>180000000</v>
      </c>
      <c r="K5" s="38" t="n">
        <f aca="false">IF($A5="","",IFERROR($G5-$J5,""))</f>
        <v>56000000</v>
      </c>
      <c r="L5" s="32" t="s">
        <v>292</v>
      </c>
      <c r="M5" s="32" t="s">
        <v>296</v>
      </c>
      <c r="N5" s="35" t="s">
        <v>297</v>
      </c>
    </row>
    <row r="6" customFormat="false" ht="15" hidden="false" customHeight="false" outlineLevel="0" collapsed="false">
      <c r="A6" s="32"/>
      <c r="B6" s="33"/>
      <c r="C6" s="32"/>
      <c r="D6" s="37" t="str">
        <f aca="false">IF($C6="","",IFERROR(INDEX(PO!$D$4:$D$203,MATCH($C6,PO!$A$4:$A$203,0)),""))</f>
        <v/>
      </c>
      <c r="E6" s="37" t="str">
        <f aca="false">IF($C6="","",IFERROR(INDEX(PO!$H$4:$H$203,MATCH($C6,PO!$A$4:$A$203,0)),""))</f>
        <v/>
      </c>
      <c r="F6" s="37" t="str">
        <f aca="false">IF($C6="","",IFERROR(INDEX(PO!$I$4:$I$203,MATCH($C6,PO!$A$4:$A$203,0)),""))</f>
        <v/>
      </c>
      <c r="G6" s="38" t="str">
        <f aca="false">IF($C6="","",IFERROR(INDEX(PO!$L$4:$L$203,MATCH($C6,PO!$A$4:$A$203,0)),""))</f>
        <v/>
      </c>
      <c r="H6" s="34"/>
      <c r="I6" s="34"/>
      <c r="J6" s="38" t="str">
        <f aca="false">IF($A6="","",SUMIFS($H$4:$H$203,$C$4:$C$203,$C6))</f>
        <v/>
      </c>
      <c r="K6" s="38" t="str">
        <f aca="false">IF($A6="","",IFERROR($G6-$J6,""))</f>
        <v/>
      </c>
      <c r="L6" s="32"/>
      <c r="M6" s="32"/>
      <c r="N6" s="32"/>
    </row>
    <row r="7" customFormat="false" ht="15" hidden="false" customHeight="false" outlineLevel="0" collapsed="false">
      <c r="A7" s="32"/>
      <c r="B7" s="33"/>
      <c r="C7" s="32"/>
      <c r="D7" s="37" t="str">
        <f aca="false">IF($C7="","",IFERROR(INDEX(PO!$D$4:$D$203,MATCH($C7,PO!$A$4:$A$203,0)),""))</f>
        <v/>
      </c>
      <c r="E7" s="37" t="str">
        <f aca="false">IF($C7="","",IFERROR(INDEX(PO!$H$4:$H$203,MATCH($C7,PO!$A$4:$A$203,0)),""))</f>
        <v/>
      </c>
      <c r="F7" s="37" t="str">
        <f aca="false">IF($C7="","",IFERROR(INDEX(PO!$I$4:$I$203,MATCH($C7,PO!$A$4:$A$203,0)),""))</f>
        <v/>
      </c>
      <c r="G7" s="38" t="str">
        <f aca="false">IF($C7="","",IFERROR(INDEX(PO!$L$4:$L$203,MATCH($C7,PO!$A$4:$A$203,0)),""))</f>
        <v/>
      </c>
      <c r="H7" s="34"/>
      <c r="I7" s="34"/>
      <c r="J7" s="38" t="str">
        <f aca="false">IF($A7="","",SUMIFS($H$4:$H$203,$C$4:$C$203,$C7))</f>
        <v/>
      </c>
      <c r="K7" s="38" t="str">
        <f aca="false">IF($A7="","",IFERROR($G7-$J7,""))</f>
        <v/>
      </c>
      <c r="L7" s="32"/>
      <c r="M7" s="32"/>
      <c r="N7" s="32"/>
    </row>
    <row r="8" customFormat="false" ht="15" hidden="false" customHeight="false" outlineLevel="0" collapsed="false">
      <c r="A8" s="32"/>
      <c r="B8" s="33"/>
      <c r="C8" s="32"/>
      <c r="D8" s="37" t="str">
        <f aca="false">IF($C8="","",IFERROR(INDEX(PO!$D$4:$D$203,MATCH($C8,PO!$A$4:$A$203,0)),""))</f>
        <v/>
      </c>
      <c r="E8" s="37" t="str">
        <f aca="false">IF($C8="","",IFERROR(INDEX(PO!$H$4:$H$203,MATCH($C8,PO!$A$4:$A$203,0)),""))</f>
        <v/>
      </c>
      <c r="F8" s="37" t="str">
        <f aca="false">IF($C8="","",IFERROR(INDEX(PO!$I$4:$I$203,MATCH($C8,PO!$A$4:$A$203,0)),""))</f>
        <v/>
      </c>
      <c r="G8" s="38" t="str">
        <f aca="false">IF($C8="","",IFERROR(INDEX(PO!$L$4:$L$203,MATCH($C8,PO!$A$4:$A$203,0)),""))</f>
        <v/>
      </c>
      <c r="H8" s="34"/>
      <c r="I8" s="34"/>
      <c r="J8" s="38" t="str">
        <f aca="false">IF($A8="","",SUMIFS($H$4:$H$203,$C$4:$C$203,$C8))</f>
        <v/>
      </c>
      <c r="K8" s="38" t="str">
        <f aca="false">IF($A8="","",IFERROR($G8-$J8,""))</f>
        <v/>
      </c>
      <c r="L8" s="32"/>
      <c r="M8" s="32"/>
      <c r="N8" s="32"/>
    </row>
    <row r="9" customFormat="false" ht="15" hidden="false" customHeight="false" outlineLevel="0" collapsed="false">
      <c r="A9" s="32"/>
      <c r="B9" s="33"/>
      <c r="C9" s="32"/>
      <c r="D9" s="37" t="str">
        <f aca="false">IF($C9="","",IFERROR(INDEX(PO!$D$4:$D$203,MATCH($C9,PO!$A$4:$A$203,0)),""))</f>
        <v/>
      </c>
      <c r="E9" s="37" t="str">
        <f aca="false">IF($C9="","",IFERROR(INDEX(PO!$H$4:$H$203,MATCH($C9,PO!$A$4:$A$203,0)),""))</f>
        <v/>
      </c>
      <c r="F9" s="37" t="str">
        <f aca="false">IF($C9="","",IFERROR(INDEX(PO!$I$4:$I$203,MATCH($C9,PO!$A$4:$A$203,0)),""))</f>
        <v/>
      </c>
      <c r="G9" s="38" t="str">
        <f aca="false">IF($C9="","",IFERROR(INDEX(PO!$L$4:$L$203,MATCH($C9,PO!$A$4:$A$203,0)),""))</f>
        <v/>
      </c>
      <c r="H9" s="34"/>
      <c r="I9" s="34"/>
      <c r="J9" s="38" t="str">
        <f aca="false">IF($A9="","",SUMIFS($H$4:$H$203,$C$4:$C$203,$C9))</f>
        <v/>
      </c>
      <c r="K9" s="38" t="str">
        <f aca="false">IF($A9="","",IFERROR($G9-$J9,""))</f>
        <v/>
      </c>
      <c r="L9" s="32"/>
      <c r="M9" s="32"/>
      <c r="N9" s="32"/>
    </row>
    <row r="10" customFormat="false" ht="15" hidden="false" customHeight="false" outlineLevel="0" collapsed="false">
      <c r="A10" s="32"/>
      <c r="B10" s="33"/>
      <c r="C10" s="32"/>
      <c r="D10" s="37" t="str">
        <f aca="false">IF($C10="","",IFERROR(INDEX(PO!$D$4:$D$203,MATCH($C10,PO!$A$4:$A$203,0)),""))</f>
        <v/>
      </c>
      <c r="E10" s="37" t="str">
        <f aca="false">IF($C10="","",IFERROR(INDEX(PO!$H$4:$H$203,MATCH($C10,PO!$A$4:$A$203,0)),""))</f>
        <v/>
      </c>
      <c r="F10" s="37" t="str">
        <f aca="false">IF($C10="","",IFERROR(INDEX(PO!$I$4:$I$203,MATCH($C10,PO!$A$4:$A$203,0)),""))</f>
        <v/>
      </c>
      <c r="G10" s="38" t="str">
        <f aca="false">IF($C10="","",IFERROR(INDEX(PO!$L$4:$L$203,MATCH($C10,PO!$A$4:$A$203,0)),""))</f>
        <v/>
      </c>
      <c r="H10" s="34"/>
      <c r="I10" s="34"/>
      <c r="J10" s="38" t="str">
        <f aca="false">IF($A10="","",SUMIFS($H$4:$H$203,$C$4:$C$203,$C10))</f>
        <v/>
      </c>
      <c r="K10" s="38" t="str">
        <f aca="false">IF($A10="","",IFERROR($G10-$J10,""))</f>
        <v/>
      </c>
      <c r="L10" s="32"/>
      <c r="M10" s="32"/>
      <c r="N10" s="32"/>
    </row>
    <row r="11" customFormat="false" ht="15" hidden="false" customHeight="false" outlineLevel="0" collapsed="false">
      <c r="A11" s="32"/>
      <c r="B11" s="33"/>
      <c r="C11" s="32"/>
      <c r="D11" s="37" t="str">
        <f aca="false">IF($C11="","",IFERROR(INDEX(PO!$D$4:$D$203,MATCH($C11,PO!$A$4:$A$203,0)),""))</f>
        <v/>
      </c>
      <c r="E11" s="37" t="str">
        <f aca="false">IF($C11="","",IFERROR(INDEX(PO!$H$4:$H$203,MATCH($C11,PO!$A$4:$A$203,0)),""))</f>
        <v/>
      </c>
      <c r="F11" s="37" t="str">
        <f aca="false">IF($C11="","",IFERROR(INDEX(PO!$I$4:$I$203,MATCH($C11,PO!$A$4:$A$203,0)),""))</f>
        <v/>
      </c>
      <c r="G11" s="38" t="str">
        <f aca="false">IF($C11="","",IFERROR(INDEX(PO!$L$4:$L$203,MATCH($C11,PO!$A$4:$A$203,0)),""))</f>
        <v/>
      </c>
      <c r="H11" s="34"/>
      <c r="I11" s="34"/>
      <c r="J11" s="38" t="str">
        <f aca="false">IF($A11="","",SUMIFS($H$4:$H$203,$C$4:$C$203,$C11))</f>
        <v/>
      </c>
      <c r="K11" s="38" t="str">
        <f aca="false">IF($A11="","",IFERROR($G11-$J11,""))</f>
        <v/>
      </c>
      <c r="L11" s="32"/>
      <c r="M11" s="32"/>
      <c r="N11" s="32"/>
    </row>
    <row r="12" customFormat="false" ht="15" hidden="false" customHeight="false" outlineLevel="0" collapsed="false">
      <c r="A12" s="32"/>
      <c r="B12" s="33"/>
      <c r="C12" s="32"/>
      <c r="D12" s="37" t="str">
        <f aca="false">IF($C12="","",IFERROR(INDEX(PO!$D$4:$D$203,MATCH($C12,PO!$A$4:$A$203,0)),""))</f>
        <v/>
      </c>
      <c r="E12" s="37" t="str">
        <f aca="false">IF($C12="","",IFERROR(INDEX(PO!$H$4:$H$203,MATCH($C12,PO!$A$4:$A$203,0)),""))</f>
        <v/>
      </c>
      <c r="F12" s="37" t="str">
        <f aca="false">IF($C12="","",IFERROR(INDEX(PO!$I$4:$I$203,MATCH($C12,PO!$A$4:$A$203,0)),""))</f>
        <v/>
      </c>
      <c r="G12" s="38" t="str">
        <f aca="false">IF($C12="","",IFERROR(INDEX(PO!$L$4:$L$203,MATCH($C12,PO!$A$4:$A$203,0)),""))</f>
        <v/>
      </c>
      <c r="H12" s="34"/>
      <c r="I12" s="34"/>
      <c r="J12" s="38" t="str">
        <f aca="false">IF($A12="","",SUMIFS($H$4:$H$203,$C$4:$C$203,$C12))</f>
        <v/>
      </c>
      <c r="K12" s="38" t="str">
        <f aca="false">IF($A12="","",IFERROR($G12-$J12,""))</f>
        <v/>
      </c>
      <c r="L12" s="32"/>
      <c r="M12" s="32"/>
      <c r="N12" s="32"/>
    </row>
    <row r="13" customFormat="false" ht="15" hidden="false" customHeight="false" outlineLevel="0" collapsed="false">
      <c r="A13" s="32"/>
      <c r="B13" s="33"/>
      <c r="C13" s="32"/>
      <c r="D13" s="37" t="str">
        <f aca="false">IF($C13="","",IFERROR(INDEX(PO!$D$4:$D$203,MATCH($C13,PO!$A$4:$A$203,0)),""))</f>
        <v/>
      </c>
      <c r="E13" s="37" t="str">
        <f aca="false">IF($C13="","",IFERROR(INDEX(PO!$H$4:$H$203,MATCH($C13,PO!$A$4:$A$203,0)),""))</f>
        <v/>
      </c>
      <c r="F13" s="37" t="str">
        <f aca="false">IF($C13="","",IFERROR(INDEX(PO!$I$4:$I$203,MATCH($C13,PO!$A$4:$A$203,0)),""))</f>
        <v/>
      </c>
      <c r="G13" s="38" t="str">
        <f aca="false">IF($C13="","",IFERROR(INDEX(PO!$L$4:$L$203,MATCH($C13,PO!$A$4:$A$203,0)),""))</f>
        <v/>
      </c>
      <c r="H13" s="34"/>
      <c r="I13" s="34"/>
      <c r="J13" s="38" t="str">
        <f aca="false">IF($A13="","",SUMIFS($H$4:$H$203,$C$4:$C$203,$C13))</f>
        <v/>
      </c>
      <c r="K13" s="38" t="str">
        <f aca="false">IF($A13="","",IFERROR($G13-$J13,""))</f>
        <v/>
      </c>
      <c r="L13" s="32"/>
      <c r="M13" s="32"/>
      <c r="N13" s="32"/>
    </row>
    <row r="14" customFormat="false" ht="15" hidden="false" customHeight="false" outlineLevel="0" collapsed="false">
      <c r="A14" s="32"/>
      <c r="B14" s="33"/>
      <c r="C14" s="32"/>
      <c r="D14" s="37" t="str">
        <f aca="false">IF($C14="","",IFERROR(INDEX(PO!$D$4:$D$203,MATCH($C14,PO!$A$4:$A$203,0)),""))</f>
        <v/>
      </c>
      <c r="E14" s="37" t="str">
        <f aca="false">IF($C14="","",IFERROR(INDEX(PO!$H$4:$H$203,MATCH($C14,PO!$A$4:$A$203,0)),""))</f>
        <v/>
      </c>
      <c r="F14" s="37" t="str">
        <f aca="false">IF($C14="","",IFERROR(INDEX(PO!$I$4:$I$203,MATCH($C14,PO!$A$4:$A$203,0)),""))</f>
        <v/>
      </c>
      <c r="G14" s="38" t="str">
        <f aca="false">IF($C14="","",IFERROR(INDEX(PO!$L$4:$L$203,MATCH($C14,PO!$A$4:$A$203,0)),""))</f>
        <v/>
      </c>
      <c r="H14" s="34"/>
      <c r="I14" s="34"/>
      <c r="J14" s="38" t="str">
        <f aca="false">IF($A14="","",SUMIFS($H$4:$H$203,$C$4:$C$203,$C14))</f>
        <v/>
      </c>
      <c r="K14" s="38" t="str">
        <f aca="false">IF($A14="","",IFERROR($G14-$J14,""))</f>
        <v/>
      </c>
      <c r="L14" s="32"/>
      <c r="M14" s="32"/>
      <c r="N14" s="32"/>
    </row>
    <row r="15" customFormat="false" ht="15" hidden="false" customHeight="false" outlineLevel="0" collapsed="false">
      <c r="A15" s="32"/>
      <c r="B15" s="33"/>
      <c r="C15" s="32"/>
      <c r="D15" s="37" t="str">
        <f aca="false">IF($C15="","",IFERROR(INDEX(PO!$D$4:$D$203,MATCH($C15,PO!$A$4:$A$203,0)),""))</f>
        <v/>
      </c>
      <c r="E15" s="37" t="str">
        <f aca="false">IF($C15="","",IFERROR(INDEX(PO!$H$4:$H$203,MATCH($C15,PO!$A$4:$A$203,0)),""))</f>
        <v/>
      </c>
      <c r="F15" s="37" t="str">
        <f aca="false">IF($C15="","",IFERROR(INDEX(PO!$I$4:$I$203,MATCH($C15,PO!$A$4:$A$203,0)),""))</f>
        <v/>
      </c>
      <c r="G15" s="38" t="str">
        <f aca="false">IF($C15="","",IFERROR(INDEX(PO!$L$4:$L$203,MATCH($C15,PO!$A$4:$A$203,0)),""))</f>
        <v/>
      </c>
      <c r="H15" s="34"/>
      <c r="I15" s="34"/>
      <c r="J15" s="38" t="str">
        <f aca="false">IF($A15="","",SUMIFS($H$4:$H$203,$C$4:$C$203,$C15))</f>
        <v/>
      </c>
      <c r="K15" s="38" t="str">
        <f aca="false">IF($A15="","",IFERROR($G15-$J15,""))</f>
        <v/>
      </c>
      <c r="L15" s="32"/>
      <c r="M15" s="32"/>
      <c r="N15" s="32"/>
    </row>
    <row r="16" customFormat="false" ht="15" hidden="false" customHeight="false" outlineLevel="0" collapsed="false">
      <c r="A16" s="32"/>
      <c r="B16" s="33"/>
      <c r="C16" s="32"/>
      <c r="D16" s="37" t="str">
        <f aca="false">IF($C16="","",IFERROR(INDEX(PO!$D$4:$D$203,MATCH($C16,PO!$A$4:$A$203,0)),""))</f>
        <v/>
      </c>
      <c r="E16" s="37" t="str">
        <f aca="false">IF($C16="","",IFERROR(INDEX(PO!$H$4:$H$203,MATCH($C16,PO!$A$4:$A$203,0)),""))</f>
        <v/>
      </c>
      <c r="F16" s="37" t="str">
        <f aca="false">IF($C16="","",IFERROR(INDEX(PO!$I$4:$I$203,MATCH($C16,PO!$A$4:$A$203,0)),""))</f>
        <v/>
      </c>
      <c r="G16" s="38" t="str">
        <f aca="false">IF($C16="","",IFERROR(INDEX(PO!$L$4:$L$203,MATCH($C16,PO!$A$4:$A$203,0)),""))</f>
        <v/>
      </c>
      <c r="H16" s="34"/>
      <c r="I16" s="34"/>
      <c r="J16" s="38" t="str">
        <f aca="false">IF($A16="","",SUMIFS($H$4:$H$203,$C$4:$C$203,$C16))</f>
        <v/>
      </c>
      <c r="K16" s="38" t="str">
        <f aca="false">IF($A16="","",IFERROR($G16-$J16,""))</f>
        <v/>
      </c>
      <c r="L16" s="32"/>
      <c r="M16" s="32"/>
      <c r="N16" s="32"/>
    </row>
    <row r="17" customFormat="false" ht="15" hidden="false" customHeight="false" outlineLevel="0" collapsed="false">
      <c r="A17" s="32"/>
      <c r="B17" s="33"/>
      <c r="C17" s="32"/>
      <c r="D17" s="37" t="str">
        <f aca="false">IF($C17="","",IFERROR(INDEX(PO!$D$4:$D$203,MATCH($C17,PO!$A$4:$A$203,0)),""))</f>
        <v/>
      </c>
      <c r="E17" s="37" t="str">
        <f aca="false">IF($C17="","",IFERROR(INDEX(PO!$H$4:$H$203,MATCH($C17,PO!$A$4:$A$203,0)),""))</f>
        <v/>
      </c>
      <c r="F17" s="37" t="str">
        <f aca="false">IF($C17="","",IFERROR(INDEX(PO!$I$4:$I$203,MATCH($C17,PO!$A$4:$A$203,0)),""))</f>
        <v/>
      </c>
      <c r="G17" s="38" t="str">
        <f aca="false">IF($C17="","",IFERROR(INDEX(PO!$L$4:$L$203,MATCH($C17,PO!$A$4:$A$203,0)),""))</f>
        <v/>
      </c>
      <c r="H17" s="34"/>
      <c r="I17" s="34"/>
      <c r="J17" s="38" t="str">
        <f aca="false">IF($A17="","",SUMIFS($H$4:$H$203,$C$4:$C$203,$C17))</f>
        <v/>
      </c>
      <c r="K17" s="38" t="str">
        <f aca="false">IF($A17="","",IFERROR($G17-$J17,""))</f>
        <v/>
      </c>
      <c r="L17" s="32"/>
      <c r="M17" s="32"/>
      <c r="N17" s="32"/>
    </row>
    <row r="18" customFormat="false" ht="15" hidden="false" customHeight="false" outlineLevel="0" collapsed="false">
      <c r="A18" s="32"/>
      <c r="B18" s="33"/>
      <c r="C18" s="32"/>
      <c r="D18" s="37" t="str">
        <f aca="false">IF($C18="","",IFERROR(INDEX(PO!$D$4:$D$203,MATCH($C18,PO!$A$4:$A$203,0)),""))</f>
        <v/>
      </c>
      <c r="E18" s="37" t="str">
        <f aca="false">IF($C18="","",IFERROR(INDEX(PO!$H$4:$H$203,MATCH($C18,PO!$A$4:$A$203,0)),""))</f>
        <v/>
      </c>
      <c r="F18" s="37" t="str">
        <f aca="false">IF($C18="","",IFERROR(INDEX(PO!$I$4:$I$203,MATCH($C18,PO!$A$4:$A$203,0)),""))</f>
        <v/>
      </c>
      <c r="G18" s="38" t="str">
        <f aca="false">IF($C18="","",IFERROR(INDEX(PO!$L$4:$L$203,MATCH($C18,PO!$A$4:$A$203,0)),""))</f>
        <v/>
      </c>
      <c r="H18" s="34"/>
      <c r="I18" s="34"/>
      <c r="J18" s="38" t="str">
        <f aca="false">IF($A18="","",SUMIFS($H$4:$H$203,$C$4:$C$203,$C18))</f>
        <v/>
      </c>
      <c r="K18" s="38" t="str">
        <f aca="false">IF($A18="","",IFERROR($G18-$J18,""))</f>
        <v/>
      </c>
      <c r="L18" s="32"/>
      <c r="M18" s="32"/>
      <c r="N18" s="32"/>
    </row>
    <row r="19" customFormat="false" ht="15" hidden="false" customHeight="false" outlineLevel="0" collapsed="false">
      <c r="A19" s="32"/>
      <c r="B19" s="33"/>
      <c r="C19" s="32"/>
      <c r="D19" s="37" t="str">
        <f aca="false">IF($C19="","",IFERROR(INDEX(PO!$D$4:$D$203,MATCH($C19,PO!$A$4:$A$203,0)),""))</f>
        <v/>
      </c>
      <c r="E19" s="37" t="str">
        <f aca="false">IF($C19="","",IFERROR(INDEX(PO!$H$4:$H$203,MATCH($C19,PO!$A$4:$A$203,0)),""))</f>
        <v/>
      </c>
      <c r="F19" s="37" t="str">
        <f aca="false">IF($C19="","",IFERROR(INDEX(PO!$I$4:$I$203,MATCH($C19,PO!$A$4:$A$203,0)),""))</f>
        <v/>
      </c>
      <c r="G19" s="38" t="str">
        <f aca="false">IF($C19="","",IFERROR(INDEX(PO!$L$4:$L$203,MATCH($C19,PO!$A$4:$A$203,0)),""))</f>
        <v/>
      </c>
      <c r="H19" s="34"/>
      <c r="I19" s="34"/>
      <c r="J19" s="38" t="str">
        <f aca="false">IF($A19="","",SUMIFS($H$4:$H$203,$C$4:$C$203,$C19))</f>
        <v/>
      </c>
      <c r="K19" s="38" t="str">
        <f aca="false">IF($A19="","",IFERROR($G19-$J19,""))</f>
        <v/>
      </c>
      <c r="L19" s="32"/>
      <c r="M19" s="32"/>
      <c r="N19" s="32"/>
    </row>
    <row r="20" customFormat="false" ht="15" hidden="false" customHeight="false" outlineLevel="0" collapsed="false">
      <c r="A20" s="32"/>
      <c r="B20" s="33"/>
      <c r="C20" s="32"/>
      <c r="D20" s="37" t="str">
        <f aca="false">IF($C20="","",IFERROR(INDEX(PO!$D$4:$D$203,MATCH($C20,PO!$A$4:$A$203,0)),""))</f>
        <v/>
      </c>
      <c r="E20" s="37" t="str">
        <f aca="false">IF($C20="","",IFERROR(INDEX(PO!$H$4:$H$203,MATCH($C20,PO!$A$4:$A$203,0)),""))</f>
        <v/>
      </c>
      <c r="F20" s="37" t="str">
        <f aca="false">IF($C20="","",IFERROR(INDEX(PO!$I$4:$I$203,MATCH($C20,PO!$A$4:$A$203,0)),""))</f>
        <v/>
      </c>
      <c r="G20" s="38" t="str">
        <f aca="false">IF($C20="","",IFERROR(INDEX(PO!$L$4:$L$203,MATCH($C20,PO!$A$4:$A$203,0)),""))</f>
        <v/>
      </c>
      <c r="H20" s="34"/>
      <c r="I20" s="34"/>
      <c r="J20" s="38" t="str">
        <f aca="false">IF($A20="","",SUMIFS($H$4:$H$203,$C$4:$C$203,$C20))</f>
        <v/>
      </c>
      <c r="K20" s="38" t="str">
        <f aca="false">IF($A20="","",IFERROR($G20-$J20,""))</f>
        <v/>
      </c>
      <c r="L20" s="32"/>
      <c r="M20" s="32"/>
      <c r="N20" s="32"/>
    </row>
    <row r="21" customFormat="false" ht="15" hidden="false" customHeight="false" outlineLevel="0" collapsed="false">
      <c r="A21" s="32"/>
      <c r="B21" s="33"/>
      <c r="C21" s="32"/>
      <c r="D21" s="37" t="str">
        <f aca="false">IF($C21="","",IFERROR(INDEX(PO!$D$4:$D$203,MATCH($C21,PO!$A$4:$A$203,0)),""))</f>
        <v/>
      </c>
      <c r="E21" s="37" t="str">
        <f aca="false">IF($C21="","",IFERROR(INDEX(PO!$H$4:$H$203,MATCH($C21,PO!$A$4:$A$203,0)),""))</f>
        <v/>
      </c>
      <c r="F21" s="37" t="str">
        <f aca="false">IF($C21="","",IFERROR(INDEX(PO!$I$4:$I$203,MATCH($C21,PO!$A$4:$A$203,0)),""))</f>
        <v/>
      </c>
      <c r="G21" s="38" t="str">
        <f aca="false">IF($C21="","",IFERROR(INDEX(PO!$L$4:$L$203,MATCH($C21,PO!$A$4:$A$203,0)),""))</f>
        <v/>
      </c>
      <c r="H21" s="34"/>
      <c r="I21" s="34"/>
      <c r="J21" s="38" t="str">
        <f aca="false">IF($A21="","",SUMIFS($H$4:$H$203,$C$4:$C$203,$C21))</f>
        <v/>
      </c>
      <c r="K21" s="38" t="str">
        <f aca="false">IF($A21="","",IFERROR($G21-$J21,""))</f>
        <v/>
      </c>
      <c r="L21" s="32"/>
      <c r="M21" s="32"/>
      <c r="N21" s="32"/>
    </row>
    <row r="22" customFormat="false" ht="15" hidden="false" customHeight="false" outlineLevel="0" collapsed="false">
      <c r="A22" s="32"/>
      <c r="B22" s="33"/>
      <c r="C22" s="32"/>
      <c r="D22" s="37" t="str">
        <f aca="false">IF($C22="","",IFERROR(INDEX(PO!$D$4:$D$203,MATCH($C22,PO!$A$4:$A$203,0)),""))</f>
        <v/>
      </c>
      <c r="E22" s="37" t="str">
        <f aca="false">IF($C22="","",IFERROR(INDEX(PO!$H$4:$H$203,MATCH($C22,PO!$A$4:$A$203,0)),""))</f>
        <v/>
      </c>
      <c r="F22" s="37" t="str">
        <f aca="false">IF($C22="","",IFERROR(INDEX(PO!$I$4:$I$203,MATCH($C22,PO!$A$4:$A$203,0)),""))</f>
        <v/>
      </c>
      <c r="G22" s="38" t="str">
        <f aca="false">IF($C22="","",IFERROR(INDEX(PO!$L$4:$L$203,MATCH($C22,PO!$A$4:$A$203,0)),""))</f>
        <v/>
      </c>
      <c r="H22" s="34"/>
      <c r="I22" s="34"/>
      <c r="J22" s="38" t="str">
        <f aca="false">IF($A22="","",SUMIFS($H$4:$H$203,$C$4:$C$203,$C22))</f>
        <v/>
      </c>
      <c r="K22" s="38" t="str">
        <f aca="false">IF($A22="","",IFERROR($G22-$J22,""))</f>
        <v/>
      </c>
      <c r="L22" s="32"/>
      <c r="M22" s="32"/>
      <c r="N22" s="32"/>
    </row>
    <row r="23" customFormat="false" ht="15" hidden="false" customHeight="false" outlineLevel="0" collapsed="false">
      <c r="A23" s="32"/>
      <c r="B23" s="33"/>
      <c r="C23" s="32"/>
      <c r="D23" s="37" t="str">
        <f aca="false">IF($C23="","",IFERROR(INDEX(PO!$D$4:$D$203,MATCH($C23,PO!$A$4:$A$203,0)),""))</f>
        <v/>
      </c>
      <c r="E23" s="37" t="str">
        <f aca="false">IF($C23="","",IFERROR(INDEX(PO!$H$4:$H$203,MATCH($C23,PO!$A$4:$A$203,0)),""))</f>
        <v/>
      </c>
      <c r="F23" s="37" t="str">
        <f aca="false">IF($C23="","",IFERROR(INDEX(PO!$I$4:$I$203,MATCH($C23,PO!$A$4:$A$203,0)),""))</f>
        <v/>
      </c>
      <c r="G23" s="38" t="str">
        <f aca="false">IF($C23="","",IFERROR(INDEX(PO!$L$4:$L$203,MATCH($C23,PO!$A$4:$A$203,0)),""))</f>
        <v/>
      </c>
      <c r="H23" s="34"/>
      <c r="I23" s="34"/>
      <c r="J23" s="38" t="str">
        <f aca="false">IF($A23="","",SUMIFS($H$4:$H$203,$C$4:$C$203,$C23))</f>
        <v/>
      </c>
      <c r="K23" s="38" t="str">
        <f aca="false">IF($A23="","",IFERROR($G23-$J23,""))</f>
        <v/>
      </c>
      <c r="L23" s="32"/>
      <c r="M23" s="32"/>
      <c r="N23" s="32"/>
    </row>
    <row r="24" customFormat="false" ht="15" hidden="false" customHeight="false" outlineLevel="0" collapsed="false">
      <c r="A24" s="32"/>
      <c r="B24" s="33"/>
      <c r="C24" s="32"/>
      <c r="D24" s="37" t="str">
        <f aca="false">IF($C24="","",IFERROR(INDEX(PO!$D$4:$D$203,MATCH($C24,PO!$A$4:$A$203,0)),""))</f>
        <v/>
      </c>
      <c r="E24" s="37" t="str">
        <f aca="false">IF($C24="","",IFERROR(INDEX(PO!$H$4:$H$203,MATCH($C24,PO!$A$4:$A$203,0)),""))</f>
        <v/>
      </c>
      <c r="F24" s="37" t="str">
        <f aca="false">IF($C24="","",IFERROR(INDEX(PO!$I$4:$I$203,MATCH($C24,PO!$A$4:$A$203,0)),""))</f>
        <v/>
      </c>
      <c r="G24" s="38" t="str">
        <f aca="false">IF($C24="","",IFERROR(INDEX(PO!$L$4:$L$203,MATCH($C24,PO!$A$4:$A$203,0)),""))</f>
        <v/>
      </c>
      <c r="H24" s="34"/>
      <c r="I24" s="34"/>
      <c r="J24" s="38" t="str">
        <f aca="false">IF($A24="","",SUMIFS($H$4:$H$203,$C$4:$C$203,$C24))</f>
        <v/>
      </c>
      <c r="K24" s="38" t="str">
        <f aca="false">IF($A24="","",IFERROR($G24-$J24,""))</f>
        <v/>
      </c>
      <c r="L24" s="32"/>
      <c r="M24" s="32"/>
      <c r="N24" s="32"/>
    </row>
    <row r="25" customFormat="false" ht="15" hidden="false" customHeight="false" outlineLevel="0" collapsed="false">
      <c r="A25" s="32"/>
      <c r="B25" s="33"/>
      <c r="C25" s="32"/>
      <c r="D25" s="37" t="str">
        <f aca="false">IF($C25="","",IFERROR(INDEX(PO!$D$4:$D$203,MATCH($C25,PO!$A$4:$A$203,0)),""))</f>
        <v/>
      </c>
      <c r="E25" s="37" t="str">
        <f aca="false">IF($C25="","",IFERROR(INDEX(PO!$H$4:$H$203,MATCH($C25,PO!$A$4:$A$203,0)),""))</f>
        <v/>
      </c>
      <c r="F25" s="37" t="str">
        <f aca="false">IF($C25="","",IFERROR(INDEX(PO!$I$4:$I$203,MATCH($C25,PO!$A$4:$A$203,0)),""))</f>
        <v/>
      </c>
      <c r="G25" s="38" t="str">
        <f aca="false">IF($C25="","",IFERROR(INDEX(PO!$L$4:$L$203,MATCH($C25,PO!$A$4:$A$203,0)),""))</f>
        <v/>
      </c>
      <c r="H25" s="34"/>
      <c r="I25" s="34"/>
      <c r="J25" s="38" t="str">
        <f aca="false">IF($A25="","",SUMIFS($H$4:$H$203,$C$4:$C$203,$C25))</f>
        <v/>
      </c>
      <c r="K25" s="38" t="str">
        <f aca="false">IF($A25="","",IFERROR($G25-$J25,""))</f>
        <v/>
      </c>
      <c r="L25" s="32"/>
      <c r="M25" s="32"/>
      <c r="N25" s="32"/>
    </row>
    <row r="26" customFormat="false" ht="15" hidden="false" customHeight="false" outlineLevel="0" collapsed="false">
      <c r="A26" s="32"/>
      <c r="B26" s="33"/>
      <c r="C26" s="32"/>
      <c r="D26" s="37" t="str">
        <f aca="false">IF($C26="","",IFERROR(INDEX(PO!$D$4:$D$203,MATCH($C26,PO!$A$4:$A$203,0)),""))</f>
        <v/>
      </c>
      <c r="E26" s="37" t="str">
        <f aca="false">IF($C26="","",IFERROR(INDEX(PO!$H$4:$H$203,MATCH($C26,PO!$A$4:$A$203,0)),""))</f>
        <v/>
      </c>
      <c r="F26" s="37" t="str">
        <f aca="false">IF($C26="","",IFERROR(INDEX(PO!$I$4:$I$203,MATCH($C26,PO!$A$4:$A$203,0)),""))</f>
        <v/>
      </c>
      <c r="G26" s="38" t="str">
        <f aca="false">IF($C26="","",IFERROR(INDEX(PO!$L$4:$L$203,MATCH($C26,PO!$A$4:$A$203,0)),""))</f>
        <v/>
      </c>
      <c r="H26" s="34"/>
      <c r="I26" s="34"/>
      <c r="J26" s="38" t="str">
        <f aca="false">IF($A26="","",SUMIFS($H$4:$H$203,$C$4:$C$203,$C26))</f>
        <v/>
      </c>
      <c r="K26" s="38" t="str">
        <f aca="false">IF($A26="","",IFERROR($G26-$J26,""))</f>
        <v/>
      </c>
      <c r="L26" s="32"/>
      <c r="M26" s="32"/>
      <c r="N26" s="32"/>
    </row>
    <row r="27" customFormat="false" ht="15" hidden="false" customHeight="false" outlineLevel="0" collapsed="false">
      <c r="A27" s="32"/>
      <c r="B27" s="33"/>
      <c r="C27" s="32"/>
      <c r="D27" s="37" t="str">
        <f aca="false">IF($C27="","",IFERROR(INDEX(PO!$D$4:$D$203,MATCH($C27,PO!$A$4:$A$203,0)),""))</f>
        <v/>
      </c>
      <c r="E27" s="37" t="str">
        <f aca="false">IF($C27="","",IFERROR(INDEX(PO!$H$4:$H$203,MATCH($C27,PO!$A$4:$A$203,0)),""))</f>
        <v/>
      </c>
      <c r="F27" s="37" t="str">
        <f aca="false">IF($C27="","",IFERROR(INDEX(PO!$I$4:$I$203,MATCH($C27,PO!$A$4:$A$203,0)),""))</f>
        <v/>
      </c>
      <c r="G27" s="38" t="str">
        <f aca="false">IF($C27="","",IFERROR(INDEX(PO!$L$4:$L$203,MATCH($C27,PO!$A$4:$A$203,0)),""))</f>
        <v/>
      </c>
      <c r="H27" s="34"/>
      <c r="I27" s="34"/>
      <c r="J27" s="38" t="str">
        <f aca="false">IF($A27="","",SUMIFS($H$4:$H$203,$C$4:$C$203,$C27))</f>
        <v/>
      </c>
      <c r="K27" s="38" t="str">
        <f aca="false">IF($A27="","",IFERROR($G27-$J27,""))</f>
        <v/>
      </c>
      <c r="L27" s="32"/>
      <c r="M27" s="32"/>
      <c r="N27" s="32"/>
    </row>
    <row r="28" customFormat="false" ht="15" hidden="false" customHeight="false" outlineLevel="0" collapsed="false">
      <c r="A28" s="32"/>
      <c r="B28" s="33"/>
      <c r="C28" s="32"/>
      <c r="D28" s="37" t="str">
        <f aca="false">IF($C28="","",IFERROR(INDEX(PO!$D$4:$D$203,MATCH($C28,PO!$A$4:$A$203,0)),""))</f>
        <v/>
      </c>
      <c r="E28" s="37" t="str">
        <f aca="false">IF($C28="","",IFERROR(INDEX(PO!$H$4:$H$203,MATCH($C28,PO!$A$4:$A$203,0)),""))</f>
        <v/>
      </c>
      <c r="F28" s="37" t="str">
        <f aca="false">IF($C28="","",IFERROR(INDEX(PO!$I$4:$I$203,MATCH($C28,PO!$A$4:$A$203,0)),""))</f>
        <v/>
      </c>
      <c r="G28" s="38" t="str">
        <f aca="false">IF($C28="","",IFERROR(INDEX(PO!$L$4:$L$203,MATCH($C28,PO!$A$4:$A$203,0)),""))</f>
        <v/>
      </c>
      <c r="H28" s="34"/>
      <c r="I28" s="34"/>
      <c r="J28" s="38" t="str">
        <f aca="false">IF($A28="","",SUMIFS($H$4:$H$203,$C$4:$C$203,$C28))</f>
        <v/>
      </c>
      <c r="K28" s="38" t="str">
        <f aca="false">IF($A28="","",IFERROR($G28-$J28,""))</f>
        <v/>
      </c>
      <c r="L28" s="32"/>
      <c r="M28" s="32"/>
      <c r="N28" s="32"/>
    </row>
    <row r="29" customFormat="false" ht="15" hidden="false" customHeight="false" outlineLevel="0" collapsed="false">
      <c r="A29" s="32"/>
      <c r="B29" s="33"/>
      <c r="C29" s="32"/>
      <c r="D29" s="37" t="str">
        <f aca="false">IF($C29="","",IFERROR(INDEX(PO!$D$4:$D$203,MATCH($C29,PO!$A$4:$A$203,0)),""))</f>
        <v/>
      </c>
      <c r="E29" s="37" t="str">
        <f aca="false">IF($C29="","",IFERROR(INDEX(PO!$H$4:$H$203,MATCH($C29,PO!$A$4:$A$203,0)),""))</f>
        <v/>
      </c>
      <c r="F29" s="37" t="str">
        <f aca="false">IF($C29="","",IFERROR(INDEX(PO!$I$4:$I$203,MATCH($C29,PO!$A$4:$A$203,0)),""))</f>
        <v/>
      </c>
      <c r="G29" s="38" t="str">
        <f aca="false">IF($C29="","",IFERROR(INDEX(PO!$L$4:$L$203,MATCH($C29,PO!$A$4:$A$203,0)),""))</f>
        <v/>
      </c>
      <c r="H29" s="34"/>
      <c r="I29" s="34"/>
      <c r="J29" s="38" t="str">
        <f aca="false">IF($A29="","",SUMIFS($H$4:$H$203,$C$4:$C$203,$C29))</f>
        <v/>
      </c>
      <c r="K29" s="38" t="str">
        <f aca="false">IF($A29="","",IFERROR($G29-$J29,""))</f>
        <v/>
      </c>
      <c r="L29" s="32"/>
      <c r="M29" s="32"/>
      <c r="N29" s="32"/>
    </row>
    <row r="30" customFormat="false" ht="15" hidden="false" customHeight="false" outlineLevel="0" collapsed="false">
      <c r="A30" s="32"/>
      <c r="B30" s="33"/>
      <c r="C30" s="32"/>
      <c r="D30" s="37" t="str">
        <f aca="false">IF($C30="","",IFERROR(INDEX(PO!$D$4:$D$203,MATCH($C30,PO!$A$4:$A$203,0)),""))</f>
        <v/>
      </c>
      <c r="E30" s="37" t="str">
        <f aca="false">IF($C30="","",IFERROR(INDEX(PO!$H$4:$H$203,MATCH($C30,PO!$A$4:$A$203,0)),""))</f>
        <v/>
      </c>
      <c r="F30" s="37" t="str">
        <f aca="false">IF($C30="","",IFERROR(INDEX(PO!$I$4:$I$203,MATCH($C30,PO!$A$4:$A$203,0)),""))</f>
        <v/>
      </c>
      <c r="G30" s="38" t="str">
        <f aca="false">IF($C30="","",IFERROR(INDEX(PO!$L$4:$L$203,MATCH($C30,PO!$A$4:$A$203,0)),""))</f>
        <v/>
      </c>
      <c r="H30" s="34"/>
      <c r="I30" s="34"/>
      <c r="J30" s="38" t="str">
        <f aca="false">IF($A30="","",SUMIFS($H$4:$H$203,$C$4:$C$203,$C30))</f>
        <v/>
      </c>
      <c r="K30" s="38" t="str">
        <f aca="false">IF($A30="","",IFERROR($G30-$J30,""))</f>
        <v/>
      </c>
      <c r="L30" s="32"/>
      <c r="M30" s="32"/>
      <c r="N30" s="32"/>
    </row>
    <row r="31" customFormat="false" ht="15" hidden="false" customHeight="false" outlineLevel="0" collapsed="false">
      <c r="A31" s="32"/>
      <c r="B31" s="33"/>
      <c r="C31" s="32"/>
      <c r="D31" s="37" t="str">
        <f aca="false">IF($C31="","",IFERROR(INDEX(PO!$D$4:$D$203,MATCH($C31,PO!$A$4:$A$203,0)),""))</f>
        <v/>
      </c>
      <c r="E31" s="37" t="str">
        <f aca="false">IF($C31="","",IFERROR(INDEX(PO!$H$4:$H$203,MATCH($C31,PO!$A$4:$A$203,0)),""))</f>
        <v/>
      </c>
      <c r="F31" s="37" t="str">
        <f aca="false">IF($C31="","",IFERROR(INDEX(PO!$I$4:$I$203,MATCH($C31,PO!$A$4:$A$203,0)),""))</f>
        <v/>
      </c>
      <c r="G31" s="38" t="str">
        <f aca="false">IF($C31="","",IFERROR(INDEX(PO!$L$4:$L$203,MATCH($C31,PO!$A$4:$A$203,0)),""))</f>
        <v/>
      </c>
      <c r="H31" s="34"/>
      <c r="I31" s="34"/>
      <c r="J31" s="38" t="str">
        <f aca="false">IF($A31="","",SUMIFS($H$4:$H$203,$C$4:$C$203,$C31))</f>
        <v/>
      </c>
      <c r="K31" s="38" t="str">
        <f aca="false">IF($A31="","",IFERROR($G31-$J31,""))</f>
        <v/>
      </c>
      <c r="L31" s="32"/>
      <c r="M31" s="32"/>
      <c r="N31" s="32"/>
    </row>
    <row r="32" customFormat="false" ht="15" hidden="false" customHeight="false" outlineLevel="0" collapsed="false">
      <c r="A32" s="32"/>
      <c r="B32" s="33"/>
      <c r="C32" s="32"/>
      <c r="D32" s="37" t="str">
        <f aca="false">IF($C32="","",IFERROR(INDEX(PO!$D$4:$D$203,MATCH($C32,PO!$A$4:$A$203,0)),""))</f>
        <v/>
      </c>
      <c r="E32" s="37" t="str">
        <f aca="false">IF($C32="","",IFERROR(INDEX(PO!$H$4:$H$203,MATCH($C32,PO!$A$4:$A$203,0)),""))</f>
        <v/>
      </c>
      <c r="F32" s="37" t="str">
        <f aca="false">IF($C32="","",IFERROR(INDEX(PO!$I$4:$I$203,MATCH($C32,PO!$A$4:$A$203,0)),""))</f>
        <v/>
      </c>
      <c r="G32" s="38" t="str">
        <f aca="false">IF($C32="","",IFERROR(INDEX(PO!$L$4:$L$203,MATCH($C32,PO!$A$4:$A$203,0)),""))</f>
        <v/>
      </c>
      <c r="H32" s="34"/>
      <c r="I32" s="34"/>
      <c r="J32" s="38" t="str">
        <f aca="false">IF($A32="","",SUMIFS($H$4:$H$203,$C$4:$C$203,$C32))</f>
        <v/>
      </c>
      <c r="K32" s="38" t="str">
        <f aca="false">IF($A32="","",IFERROR($G32-$J32,""))</f>
        <v/>
      </c>
      <c r="L32" s="32"/>
      <c r="M32" s="32"/>
      <c r="N32" s="32"/>
    </row>
    <row r="33" customFormat="false" ht="15" hidden="false" customHeight="false" outlineLevel="0" collapsed="false">
      <c r="A33" s="32"/>
      <c r="B33" s="33"/>
      <c r="C33" s="32"/>
      <c r="D33" s="37" t="str">
        <f aca="false">IF($C33="","",IFERROR(INDEX(PO!$D$4:$D$203,MATCH($C33,PO!$A$4:$A$203,0)),""))</f>
        <v/>
      </c>
      <c r="E33" s="37" t="str">
        <f aca="false">IF($C33="","",IFERROR(INDEX(PO!$H$4:$H$203,MATCH($C33,PO!$A$4:$A$203,0)),""))</f>
        <v/>
      </c>
      <c r="F33" s="37" t="str">
        <f aca="false">IF($C33="","",IFERROR(INDEX(PO!$I$4:$I$203,MATCH($C33,PO!$A$4:$A$203,0)),""))</f>
        <v/>
      </c>
      <c r="G33" s="38" t="str">
        <f aca="false">IF($C33="","",IFERROR(INDEX(PO!$L$4:$L$203,MATCH($C33,PO!$A$4:$A$203,0)),""))</f>
        <v/>
      </c>
      <c r="H33" s="34"/>
      <c r="I33" s="34"/>
      <c r="J33" s="38" t="str">
        <f aca="false">IF($A33="","",SUMIFS($H$4:$H$203,$C$4:$C$203,$C33))</f>
        <v/>
      </c>
      <c r="K33" s="38" t="str">
        <f aca="false">IF($A33="","",IFERROR($G33-$J33,""))</f>
        <v/>
      </c>
      <c r="L33" s="32"/>
      <c r="M33" s="32"/>
      <c r="N33" s="32"/>
    </row>
    <row r="34" customFormat="false" ht="15" hidden="false" customHeight="false" outlineLevel="0" collapsed="false">
      <c r="A34" s="32"/>
      <c r="B34" s="33"/>
      <c r="C34" s="32"/>
      <c r="D34" s="37" t="str">
        <f aca="false">IF($C34="","",IFERROR(INDEX(PO!$D$4:$D$203,MATCH($C34,PO!$A$4:$A$203,0)),""))</f>
        <v/>
      </c>
      <c r="E34" s="37" t="str">
        <f aca="false">IF($C34="","",IFERROR(INDEX(PO!$H$4:$H$203,MATCH($C34,PO!$A$4:$A$203,0)),""))</f>
        <v/>
      </c>
      <c r="F34" s="37" t="str">
        <f aca="false">IF($C34="","",IFERROR(INDEX(PO!$I$4:$I$203,MATCH($C34,PO!$A$4:$A$203,0)),""))</f>
        <v/>
      </c>
      <c r="G34" s="38" t="str">
        <f aca="false">IF($C34="","",IFERROR(INDEX(PO!$L$4:$L$203,MATCH($C34,PO!$A$4:$A$203,0)),""))</f>
        <v/>
      </c>
      <c r="H34" s="34"/>
      <c r="I34" s="34"/>
      <c r="J34" s="38" t="str">
        <f aca="false">IF($A34="","",SUMIFS($H$4:$H$203,$C$4:$C$203,$C34))</f>
        <v/>
      </c>
      <c r="K34" s="38" t="str">
        <f aca="false">IF($A34="","",IFERROR($G34-$J34,""))</f>
        <v/>
      </c>
      <c r="L34" s="32"/>
      <c r="M34" s="32"/>
      <c r="N34" s="32"/>
    </row>
    <row r="35" customFormat="false" ht="15" hidden="false" customHeight="false" outlineLevel="0" collapsed="false">
      <c r="A35" s="32"/>
      <c r="B35" s="33"/>
      <c r="C35" s="32"/>
      <c r="D35" s="37" t="str">
        <f aca="false">IF($C35="","",IFERROR(INDEX(PO!$D$4:$D$203,MATCH($C35,PO!$A$4:$A$203,0)),""))</f>
        <v/>
      </c>
      <c r="E35" s="37" t="str">
        <f aca="false">IF($C35="","",IFERROR(INDEX(PO!$H$4:$H$203,MATCH($C35,PO!$A$4:$A$203,0)),""))</f>
        <v/>
      </c>
      <c r="F35" s="37" t="str">
        <f aca="false">IF($C35="","",IFERROR(INDEX(PO!$I$4:$I$203,MATCH($C35,PO!$A$4:$A$203,0)),""))</f>
        <v/>
      </c>
      <c r="G35" s="38" t="str">
        <f aca="false">IF($C35="","",IFERROR(INDEX(PO!$L$4:$L$203,MATCH($C35,PO!$A$4:$A$203,0)),""))</f>
        <v/>
      </c>
      <c r="H35" s="34"/>
      <c r="I35" s="34"/>
      <c r="J35" s="38" t="str">
        <f aca="false">IF($A35="","",SUMIFS($H$4:$H$203,$C$4:$C$203,$C35))</f>
        <v/>
      </c>
      <c r="K35" s="38" t="str">
        <f aca="false">IF($A35="","",IFERROR($G35-$J35,""))</f>
        <v/>
      </c>
      <c r="L35" s="32"/>
      <c r="M35" s="32"/>
      <c r="N35" s="32"/>
    </row>
    <row r="36" customFormat="false" ht="15" hidden="false" customHeight="false" outlineLevel="0" collapsed="false">
      <c r="A36" s="32"/>
      <c r="B36" s="33"/>
      <c r="C36" s="32"/>
      <c r="D36" s="37" t="str">
        <f aca="false">IF($C36="","",IFERROR(INDEX(PO!$D$4:$D$203,MATCH($C36,PO!$A$4:$A$203,0)),""))</f>
        <v/>
      </c>
      <c r="E36" s="37" t="str">
        <f aca="false">IF($C36="","",IFERROR(INDEX(PO!$H$4:$H$203,MATCH($C36,PO!$A$4:$A$203,0)),""))</f>
        <v/>
      </c>
      <c r="F36" s="37" t="str">
        <f aca="false">IF($C36="","",IFERROR(INDEX(PO!$I$4:$I$203,MATCH($C36,PO!$A$4:$A$203,0)),""))</f>
        <v/>
      </c>
      <c r="G36" s="38" t="str">
        <f aca="false">IF($C36="","",IFERROR(INDEX(PO!$L$4:$L$203,MATCH($C36,PO!$A$4:$A$203,0)),""))</f>
        <v/>
      </c>
      <c r="H36" s="34"/>
      <c r="I36" s="34"/>
      <c r="J36" s="38" t="str">
        <f aca="false">IF($A36="","",SUMIFS($H$4:$H$203,$C$4:$C$203,$C36))</f>
        <v/>
      </c>
      <c r="K36" s="38" t="str">
        <f aca="false">IF($A36="","",IFERROR($G36-$J36,""))</f>
        <v/>
      </c>
      <c r="L36" s="32"/>
      <c r="M36" s="32"/>
      <c r="N36" s="32"/>
    </row>
    <row r="37" customFormat="false" ht="15" hidden="false" customHeight="false" outlineLevel="0" collapsed="false">
      <c r="A37" s="32"/>
      <c r="B37" s="33"/>
      <c r="C37" s="32"/>
      <c r="D37" s="37" t="str">
        <f aca="false">IF($C37="","",IFERROR(INDEX(PO!$D$4:$D$203,MATCH($C37,PO!$A$4:$A$203,0)),""))</f>
        <v/>
      </c>
      <c r="E37" s="37" t="str">
        <f aca="false">IF($C37="","",IFERROR(INDEX(PO!$H$4:$H$203,MATCH($C37,PO!$A$4:$A$203,0)),""))</f>
        <v/>
      </c>
      <c r="F37" s="37" t="str">
        <f aca="false">IF($C37="","",IFERROR(INDEX(PO!$I$4:$I$203,MATCH($C37,PO!$A$4:$A$203,0)),""))</f>
        <v/>
      </c>
      <c r="G37" s="38" t="str">
        <f aca="false">IF($C37="","",IFERROR(INDEX(PO!$L$4:$L$203,MATCH($C37,PO!$A$4:$A$203,0)),""))</f>
        <v/>
      </c>
      <c r="H37" s="34"/>
      <c r="I37" s="34"/>
      <c r="J37" s="38" t="str">
        <f aca="false">IF($A37="","",SUMIFS($H$4:$H$203,$C$4:$C$203,$C37))</f>
        <v/>
      </c>
      <c r="K37" s="38" t="str">
        <f aca="false">IF($A37="","",IFERROR($G37-$J37,""))</f>
        <v/>
      </c>
      <c r="L37" s="32"/>
      <c r="M37" s="32"/>
      <c r="N37" s="32"/>
    </row>
    <row r="38" customFormat="false" ht="15" hidden="false" customHeight="false" outlineLevel="0" collapsed="false">
      <c r="A38" s="32"/>
      <c r="B38" s="33"/>
      <c r="C38" s="32"/>
      <c r="D38" s="37" t="str">
        <f aca="false">IF($C38="","",IFERROR(INDEX(PO!$D$4:$D$203,MATCH($C38,PO!$A$4:$A$203,0)),""))</f>
        <v/>
      </c>
      <c r="E38" s="37" t="str">
        <f aca="false">IF($C38="","",IFERROR(INDEX(PO!$H$4:$H$203,MATCH($C38,PO!$A$4:$A$203,0)),""))</f>
        <v/>
      </c>
      <c r="F38" s="37" t="str">
        <f aca="false">IF($C38="","",IFERROR(INDEX(PO!$I$4:$I$203,MATCH($C38,PO!$A$4:$A$203,0)),""))</f>
        <v/>
      </c>
      <c r="G38" s="38" t="str">
        <f aca="false">IF($C38="","",IFERROR(INDEX(PO!$L$4:$L$203,MATCH($C38,PO!$A$4:$A$203,0)),""))</f>
        <v/>
      </c>
      <c r="H38" s="34"/>
      <c r="I38" s="34"/>
      <c r="J38" s="38" t="str">
        <f aca="false">IF($A38="","",SUMIFS($H$4:$H$203,$C$4:$C$203,$C38))</f>
        <v/>
      </c>
      <c r="K38" s="38" t="str">
        <f aca="false">IF($A38="","",IFERROR($G38-$J38,""))</f>
        <v/>
      </c>
      <c r="L38" s="32"/>
      <c r="M38" s="32"/>
      <c r="N38" s="32"/>
    </row>
    <row r="39" customFormat="false" ht="15" hidden="false" customHeight="false" outlineLevel="0" collapsed="false">
      <c r="A39" s="32"/>
      <c r="B39" s="33"/>
      <c r="C39" s="32"/>
      <c r="D39" s="37" t="str">
        <f aca="false">IF($C39="","",IFERROR(INDEX(PO!$D$4:$D$203,MATCH($C39,PO!$A$4:$A$203,0)),""))</f>
        <v/>
      </c>
      <c r="E39" s="37" t="str">
        <f aca="false">IF($C39="","",IFERROR(INDEX(PO!$H$4:$H$203,MATCH($C39,PO!$A$4:$A$203,0)),""))</f>
        <v/>
      </c>
      <c r="F39" s="37" t="str">
        <f aca="false">IF($C39="","",IFERROR(INDEX(PO!$I$4:$I$203,MATCH($C39,PO!$A$4:$A$203,0)),""))</f>
        <v/>
      </c>
      <c r="G39" s="38" t="str">
        <f aca="false">IF($C39="","",IFERROR(INDEX(PO!$L$4:$L$203,MATCH($C39,PO!$A$4:$A$203,0)),""))</f>
        <v/>
      </c>
      <c r="H39" s="34"/>
      <c r="I39" s="34"/>
      <c r="J39" s="38" t="str">
        <f aca="false">IF($A39="","",SUMIFS($H$4:$H$203,$C$4:$C$203,$C39))</f>
        <v/>
      </c>
      <c r="K39" s="38" t="str">
        <f aca="false">IF($A39="","",IFERROR($G39-$J39,""))</f>
        <v/>
      </c>
      <c r="L39" s="32"/>
      <c r="M39" s="32"/>
      <c r="N39" s="32"/>
    </row>
    <row r="40" customFormat="false" ht="15" hidden="false" customHeight="false" outlineLevel="0" collapsed="false">
      <c r="A40" s="32"/>
      <c r="B40" s="33"/>
      <c r="C40" s="32"/>
      <c r="D40" s="37" t="str">
        <f aca="false">IF($C40="","",IFERROR(INDEX(PO!$D$4:$D$203,MATCH($C40,PO!$A$4:$A$203,0)),""))</f>
        <v/>
      </c>
      <c r="E40" s="37" t="str">
        <f aca="false">IF($C40="","",IFERROR(INDEX(PO!$H$4:$H$203,MATCH($C40,PO!$A$4:$A$203,0)),""))</f>
        <v/>
      </c>
      <c r="F40" s="37" t="str">
        <f aca="false">IF($C40="","",IFERROR(INDEX(PO!$I$4:$I$203,MATCH($C40,PO!$A$4:$A$203,0)),""))</f>
        <v/>
      </c>
      <c r="G40" s="38" t="str">
        <f aca="false">IF($C40="","",IFERROR(INDEX(PO!$L$4:$L$203,MATCH($C40,PO!$A$4:$A$203,0)),""))</f>
        <v/>
      </c>
      <c r="H40" s="34"/>
      <c r="I40" s="34"/>
      <c r="J40" s="38" t="str">
        <f aca="false">IF($A40="","",SUMIFS($H$4:$H$203,$C$4:$C$203,$C40))</f>
        <v/>
      </c>
      <c r="K40" s="38" t="str">
        <f aca="false">IF($A40="","",IFERROR($G40-$J40,""))</f>
        <v/>
      </c>
      <c r="L40" s="32"/>
      <c r="M40" s="32"/>
      <c r="N40" s="32"/>
    </row>
    <row r="41" customFormat="false" ht="15" hidden="false" customHeight="false" outlineLevel="0" collapsed="false">
      <c r="A41" s="32"/>
      <c r="B41" s="33"/>
      <c r="C41" s="32"/>
      <c r="D41" s="37" t="str">
        <f aca="false">IF($C41="","",IFERROR(INDEX(PO!$D$4:$D$203,MATCH($C41,PO!$A$4:$A$203,0)),""))</f>
        <v/>
      </c>
      <c r="E41" s="37" t="str">
        <f aca="false">IF($C41="","",IFERROR(INDEX(PO!$H$4:$H$203,MATCH($C41,PO!$A$4:$A$203,0)),""))</f>
        <v/>
      </c>
      <c r="F41" s="37" t="str">
        <f aca="false">IF($C41="","",IFERROR(INDEX(PO!$I$4:$I$203,MATCH($C41,PO!$A$4:$A$203,0)),""))</f>
        <v/>
      </c>
      <c r="G41" s="38" t="str">
        <f aca="false">IF($C41="","",IFERROR(INDEX(PO!$L$4:$L$203,MATCH($C41,PO!$A$4:$A$203,0)),""))</f>
        <v/>
      </c>
      <c r="H41" s="34"/>
      <c r="I41" s="34"/>
      <c r="J41" s="38" t="str">
        <f aca="false">IF($A41="","",SUMIFS($H$4:$H$203,$C$4:$C$203,$C41))</f>
        <v/>
      </c>
      <c r="K41" s="38" t="str">
        <f aca="false">IF($A41="","",IFERROR($G41-$J41,""))</f>
        <v/>
      </c>
      <c r="L41" s="32"/>
      <c r="M41" s="32"/>
      <c r="N41" s="32"/>
    </row>
    <row r="42" customFormat="false" ht="15" hidden="false" customHeight="false" outlineLevel="0" collapsed="false">
      <c r="A42" s="32"/>
      <c r="B42" s="33"/>
      <c r="C42" s="32"/>
      <c r="D42" s="37" t="str">
        <f aca="false">IF($C42="","",IFERROR(INDEX(PO!$D$4:$D$203,MATCH($C42,PO!$A$4:$A$203,0)),""))</f>
        <v/>
      </c>
      <c r="E42" s="37" t="str">
        <f aca="false">IF($C42="","",IFERROR(INDEX(PO!$H$4:$H$203,MATCH($C42,PO!$A$4:$A$203,0)),""))</f>
        <v/>
      </c>
      <c r="F42" s="37" t="str">
        <f aca="false">IF($C42="","",IFERROR(INDEX(PO!$I$4:$I$203,MATCH($C42,PO!$A$4:$A$203,0)),""))</f>
        <v/>
      </c>
      <c r="G42" s="38" t="str">
        <f aca="false">IF($C42="","",IFERROR(INDEX(PO!$L$4:$L$203,MATCH($C42,PO!$A$4:$A$203,0)),""))</f>
        <v/>
      </c>
      <c r="H42" s="34"/>
      <c r="I42" s="34"/>
      <c r="J42" s="38" t="str">
        <f aca="false">IF($A42="","",SUMIFS($H$4:$H$203,$C$4:$C$203,$C42))</f>
        <v/>
      </c>
      <c r="K42" s="38" t="str">
        <f aca="false">IF($A42="","",IFERROR($G42-$J42,""))</f>
        <v/>
      </c>
      <c r="L42" s="32"/>
      <c r="M42" s="32"/>
      <c r="N42" s="32"/>
    </row>
    <row r="43" customFormat="false" ht="15" hidden="false" customHeight="false" outlineLevel="0" collapsed="false">
      <c r="A43" s="32"/>
      <c r="B43" s="33"/>
      <c r="C43" s="32"/>
      <c r="D43" s="37" t="str">
        <f aca="false">IF($C43="","",IFERROR(INDEX(PO!$D$4:$D$203,MATCH($C43,PO!$A$4:$A$203,0)),""))</f>
        <v/>
      </c>
      <c r="E43" s="37" t="str">
        <f aca="false">IF($C43="","",IFERROR(INDEX(PO!$H$4:$H$203,MATCH($C43,PO!$A$4:$A$203,0)),""))</f>
        <v/>
      </c>
      <c r="F43" s="37" t="str">
        <f aca="false">IF($C43="","",IFERROR(INDEX(PO!$I$4:$I$203,MATCH($C43,PO!$A$4:$A$203,0)),""))</f>
        <v/>
      </c>
      <c r="G43" s="38" t="str">
        <f aca="false">IF($C43="","",IFERROR(INDEX(PO!$L$4:$L$203,MATCH($C43,PO!$A$4:$A$203,0)),""))</f>
        <v/>
      </c>
      <c r="H43" s="34"/>
      <c r="I43" s="34"/>
      <c r="J43" s="38" t="str">
        <f aca="false">IF($A43="","",SUMIFS($H$4:$H$203,$C$4:$C$203,$C43))</f>
        <v/>
      </c>
      <c r="K43" s="38" t="str">
        <f aca="false">IF($A43="","",IFERROR($G43-$J43,""))</f>
        <v/>
      </c>
      <c r="L43" s="32"/>
      <c r="M43" s="32"/>
      <c r="N43" s="32"/>
    </row>
    <row r="44" customFormat="false" ht="15" hidden="false" customHeight="false" outlineLevel="0" collapsed="false">
      <c r="A44" s="32"/>
      <c r="B44" s="33"/>
      <c r="C44" s="32"/>
      <c r="D44" s="37" t="str">
        <f aca="false">IF($C44="","",IFERROR(INDEX(PO!$D$4:$D$203,MATCH($C44,PO!$A$4:$A$203,0)),""))</f>
        <v/>
      </c>
      <c r="E44" s="37" t="str">
        <f aca="false">IF($C44="","",IFERROR(INDEX(PO!$H$4:$H$203,MATCH($C44,PO!$A$4:$A$203,0)),""))</f>
        <v/>
      </c>
      <c r="F44" s="37" t="str">
        <f aca="false">IF($C44="","",IFERROR(INDEX(PO!$I$4:$I$203,MATCH($C44,PO!$A$4:$A$203,0)),""))</f>
        <v/>
      </c>
      <c r="G44" s="38" t="str">
        <f aca="false">IF($C44="","",IFERROR(INDEX(PO!$L$4:$L$203,MATCH($C44,PO!$A$4:$A$203,0)),""))</f>
        <v/>
      </c>
      <c r="H44" s="34"/>
      <c r="I44" s="34"/>
      <c r="J44" s="38" t="str">
        <f aca="false">IF($A44="","",SUMIFS($H$4:$H$203,$C$4:$C$203,$C44))</f>
        <v/>
      </c>
      <c r="K44" s="38" t="str">
        <f aca="false">IF($A44="","",IFERROR($G44-$J44,""))</f>
        <v/>
      </c>
      <c r="L44" s="32"/>
      <c r="M44" s="32"/>
      <c r="N44" s="32"/>
    </row>
    <row r="45" customFormat="false" ht="15" hidden="false" customHeight="false" outlineLevel="0" collapsed="false">
      <c r="A45" s="32"/>
      <c r="B45" s="33"/>
      <c r="C45" s="32"/>
      <c r="D45" s="37" t="str">
        <f aca="false">IF($C45="","",IFERROR(INDEX(PO!$D$4:$D$203,MATCH($C45,PO!$A$4:$A$203,0)),""))</f>
        <v/>
      </c>
      <c r="E45" s="37" t="str">
        <f aca="false">IF($C45="","",IFERROR(INDEX(PO!$H$4:$H$203,MATCH($C45,PO!$A$4:$A$203,0)),""))</f>
        <v/>
      </c>
      <c r="F45" s="37" t="str">
        <f aca="false">IF($C45="","",IFERROR(INDEX(PO!$I$4:$I$203,MATCH($C45,PO!$A$4:$A$203,0)),""))</f>
        <v/>
      </c>
      <c r="G45" s="38" t="str">
        <f aca="false">IF($C45="","",IFERROR(INDEX(PO!$L$4:$L$203,MATCH($C45,PO!$A$4:$A$203,0)),""))</f>
        <v/>
      </c>
      <c r="H45" s="34"/>
      <c r="I45" s="34"/>
      <c r="J45" s="38" t="str">
        <f aca="false">IF($A45="","",SUMIFS($H$4:$H$203,$C$4:$C$203,$C45))</f>
        <v/>
      </c>
      <c r="K45" s="38" t="str">
        <f aca="false">IF($A45="","",IFERROR($G45-$J45,""))</f>
        <v/>
      </c>
      <c r="L45" s="32"/>
      <c r="M45" s="32"/>
      <c r="N45" s="32"/>
    </row>
    <row r="46" customFormat="false" ht="15" hidden="false" customHeight="false" outlineLevel="0" collapsed="false">
      <c r="A46" s="32"/>
      <c r="B46" s="33"/>
      <c r="C46" s="32"/>
      <c r="D46" s="37" t="str">
        <f aca="false">IF($C46="","",IFERROR(INDEX(PO!$D$4:$D$203,MATCH($C46,PO!$A$4:$A$203,0)),""))</f>
        <v/>
      </c>
      <c r="E46" s="37" t="str">
        <f aca="false">IF($C46="","",IFERROR(INDEX(PO!$H$4:$H$203,MATCH($C46,PO!$A$4:$A$203,0)),""))</f>
        <v/>
      </c>
      <c r="F46" s="37" t="str">
        <f aca="false">IF($C46="","",IFERROR(INDEX(PO!$I$4:$I$203,MATCH($C46,PO!$A$4:$A$203,0)),""))</f>
        <v/>
      </c>
      <c r="G46" s="38" t="str">
        <f aca="false">IF($C46="","",IFERROR(INDEX(PO!$L$4:$L$203,MATCH($C46,PO!$A$4:$A$203,0)),""))</f>
        <v/>
      </c>
      <c r="H46" s="34"/>
      <c r="I46" s="34"/>
      <c r="J46" s="38" t="str">
        <f aca="false">IF($A46="","",SUMIFS($H$4:$H$203,$C$4:$C$203,$C46))</f>
        <v/>
      </c>
      <c r="K46" s="38" t="str">
        <f aca="false">IF($A46="","",IFERROR($G46-$J46,""))</f>
        <v/>
      </c>
      <c r="L46" s="32"/>
      <c r="M46" s="32"/>
      <c r="N46" s="32"/>
    </row>
    <row r="47" customFormat="false" ht="15" hidden="false" customHeight="false" outlineLevel="0" collapsed="false">
      <c r="A47" s="32"/>
      <c r="B47" s="33"/>
      <c r="C47" s="32"/>
      <c r="D47" s="37" t="str">
        <f aca="false">IF($C47="","",IFERROR(INDEX(PO!$D$4:$D$203,MATCH($C47,PO!$A$4:$A$203,0)),""))</f>
        <v/>
      </c>
      <c r="E47" s="37" t="str">
        <f aca="false">IF($C47="","",IFERROR(INDEX(PO!$H$4:$H$203,MATCH($C47,PO!$A$4:$A$203,0)),""))</f>
        <v/>
      </c>
      <c r="F47" s="37" t="str">
        <f aca="false">IF($C47="","",IFERROR(INDEX(PO!$I$4:$I$203,MATCH($C47,PO!$A$4:$A$203,0)),""))</f>
        <v/>
      </c>
      <c r="G47" s="38" t="str">
        <f aca="false">IF($C47="","",IFERROR(INDEX(PO!$L$4:$L$203,MATCH($C47,PO!$A$4:$A$203,0)),""))</f>
        <v/>
      </c>
      <c r="H47" s="34"/>
      <c r="I47" s="34"/>
      <c r="J47" s="38" t="str">
        <f aca="false">IF($A47="","",SUMIFS($H$4:$H$203,$C$4:$C$203,$C47))</f>
        <v/>
      </c>
      <c r="K47" s="38" t="str">
        <f aca="false">IF($A47="","",IFERROR($G47-$J47,""))</f>
        <v/>
      </c>
      <c r="L47" s="32"/>
      <c r="M47" s="32"/>
      <c r="N47" s="32"/>
    </row>
    <row r="48" customFormat="false" ht="15" hidden="false" customHeight="false" outlineLevel="0" collapsed="false">
      <c r="A48" s="32"/>
      <c r="B48" s="33"/>
      <c r="C48" s="32"/>
      <c r="D48" s="37" t="str">
        <f aca="false">IF($C48="","",IFERROR(INDEX(PO!$D$4:$D$203,MATCH($C48,PO!$A$4:$A$203,0)),""))</f>
        <v/>
      </c>
      <c r="E48" s="37" t="str">
        <f aca="false">IF($C48="","",IFERROR(INDEX(PO!$H$4:$H$203,MATCH($C48,PO!$A$4:$A$203,0)),""))</f>
        <v/>
      </c>
      <c r="F48" s="37" t="str">
        <f aca="false">IF($C48="","",IFERROR(INDEX(PO!$I$4:$I$203,MATCH($C48,PO!$A$4:$A$203,0)),""))</f>
        <v/>
      </c>
      <c r="G48" s="38" t="str">
        <f aca="false">IF($C48="","",IFERROR(INDEX(PO!$L$4:$L$203,MATCH($C48,PO!$A$4:$A$203,0)),""))</f>
        <v/>
      </c>
      <c r="H48" s="34"/>
      <c r="I48" s="34"/>
      <c r="J48" s="38" t="str">
        <f aca="false">IF($A48="","",SUMIFS($H$4:$H$203,$C$4:$C$203,$C48))</f>
        <v/>
      </c>
      <c r="K48" s="38" t="str">
        <f aca="false">IF($A48="","",IFERROR($G48-$J48,""))</f>
        <v/>
      </c>
      <c r="L48" s="32"/>
      <c r="M48" s="32"/>
      <c r="N48" s="32"/>
    </row>
    <row r="49" customFormat="false" ht="15" hidden="false" customHeight="false" outlineLevel="0" collapsed="false">
      <c r="A49" s="32"/>
      <c r="B49" s="33"/>
      <c r="C49" s="32"/>
      <c r="D49" s="37" t="str">
        <f aca="false">IF($C49="","",IFERROR(INDEX(PO!$D$4:$D$203,MATCH($C49,PO!$A$4:$A$203,0)),""))</f>
        <v/>
      </c>
      <c r="E49" s="37" t="str">
        <f aca="false">IF($C49="","",IFERROR(INDEX(PO!$H$4:$H$203,MATCH($C49,PO!$A$4:$A$203,0)),""))</f>
        <v/>
      </c>
      <c r="F49" s="37" t="str">
        <f aca="false">IF($C49="","",IFERROR(INDEX(PO!$I$4:$I$203,MATCH($C49,PO!$A$4:$A$203,0)),""))</f>
        <v/>
      </c>
      <c r="G49" s="38" t="str">
        <f aca="false">IF($C49="","",IFERROR(INDEX(PO!$L$4:$L$203,MATCH($C49,PO!$A$4:$A$203,0)),""))</f>
        <v/>
      </c>
      <c r="H49" s="34"/>
      <c r="I49" s="34"/>
      <c r="J49" s="38" t="str">
        <f aca="false">IF($A49="","",SUMIFS($H$4:$H$203,$C$4:$C$203,$C49))</f>
        <v/>
      </c>
      <c r="K49" s="38" t="str">
        <f aca="false">IF($A49="","",IFERROR($G49-$J49,""))</f>
        <v/>
      </c>
      <c r="L49" s="32"/>
      <c r="M49" s="32"/>
      <c r="N49" s="32"/>
    </row>
    <row r="50" customFormat="false" ht="15" hidden="false" customHeight="false" outlineLevel="0" collapsed="false">
      <c r="A50" s="32"/>
      <c r="B50" s="33"/>
      <c r="C50" s="32"/>
      <c r="D50" s="37" t="str">
        <f aca="false">IF($C50="","",IFERROR(INDEX(PO!$D$4:$D$203,MATCH($C50,PO!$A$4:$A$203,0)),""))</f>
        <v/>
      </c>
      <c r="E50" s="37" t="str">
        <f aca="false">IF($C50="","",IFERROR(INDEX(PO!$H$4:$H$203,MATCH($C50,PO!$A$4:$A$203,0)),""))</f>
        <v/>
      </c>
      <c r="F50" s="37" t="str">
        <f aca="false">IF($C50="","",IFERROR(INDEX(PO!$I$4:$I$203,MATCH($C50,PO!$A$4:$A$203,0)),""))</f>
        <v/>
      </c>
      <c r="G50" s="38" t="str">
        <f aca="false">IF($C50="","",IFERROR(INDEX(PO!$L$4:$L$203,MATCH($C50,PO!$A$4:$A$203,0)),""))</f>
        <v/>
      </c>
      <c r="H50" s="34"/>
      <c r="I50" s="34"/>
      <c r="J50" s="38" t="str">
        <f aca="false">IF($A50="","",SUMIFS($H$4:$H$203,$C$4:$C$203,$C50))</f>
        <v/>
      </c>
      <c r="K50" s="38" t="str">
        <f aca="false">IF($A50="","",IFERROR($G50-$J50,""))</f>
        <v/>
      </c>
      <c r="L50" s="32"/>
      <c r="M50" s="32"/>
      <c r="N50" s="32"/>
    </row>
    <row r="51" customFormat="false" ht="15" hidden="false" customHeight="false" outlineLevel="0" collapsed="false">
      <c r="A51" s="32"/>
      <c r="B51" s="33"/>
      <c r="C51" s="32"/>
      <c r="D51" s="37" t="str">
        <f aca="false">IF($C51="","",IFERROR(INDEX(PO!$D$4:$D$203,MATCH($C51,PO!$A$4:$A$203,0)),""))</f>
        <v/>
      </c>
      <c r="E51" s="37" t="str">
        <f aca="false">IF($C51="","",IFERROR(INDEX(PO!$H$4:$H$203,MATCH($C51,PO!$A$4:$A$203,0)),""))</f>
        <v/>
      </c>
      <c r="F51" s="37" t="str">
        <f aca="false">IF($C51="","",IFERROR(INDEX(PO!$I$4:$I$203,MATCH($C51,PO!$A$4:$A$203,0)),""))</f>
        <v/>
      </c>
      <c r="G51" s="38" t="str">
        <f aca="false">IF($C51="","",IFERROR(INDEX(PO!$L$4:$L$203,MATCH($C51,PO!$A$4:$A$203,0)),""))</f>
        <v/>
      </c>
      <c r="H51" s="34"/>
      <c r="I51" s="34"/>
      <c r="J51" s="38" t="str">
        <f aca="false">IF($A51="","",SUMIFS($H$4:$H$203,$C$4:$C$203,$C51))</f>
        <v/>
      </c>
      <c r="K51" s="38" t="str">
        <f aca="false">IF($A51="","",IFERROR($G51-$J51,""))</f>
        <v/>
      </c>
      <c r="L51" s="32"/>
      <c r="M51" s="32"/>
      <c r="N51" s="32"/>
    </row>
    <row r="52" customFormat="false" ht="15" hidden="false" customHeight="false" outlineLevel="0" collapsed="false">
      <c r="A52" s="32"/>
      <c r="B52" s="33"/>
      <c r="C52" s="32"/>
      <c r="D52" s="37" t="str">
        <f aca="false">IF($C52="","",IFERROR(INDEX(PO!$D$4:$D$203,MATCH($C52,PO!$A$4:$A$203,0)),""))</f>
        <v/>
      </c>
      <c r="E52" s="37" t="str">
        <f aca="false">IF($C52="","",IFERROR(INDEX(PO!$H$4:$H$203,MATCH($C52,PO!$A$4:$A$203,0)),""))</f>
        <v/>
      </c>
      <c r="F52" s="37" t="str">
        <f aca="false">IF($C52="","",IFERROR(INDEX(PO!$I$4:$I$203,MATCH($C52,PO!$A$4:$A$203,0)),""))</f>
        <v/>
      </c>
      <c r="G52" s="38" t="str">
        <f aca="false">IF($C52="","",IFERROR(INDEX(PO!$L$4:$L$203,MATCH($C52,PO!$A$4:$A$203,0)),""))</f>
        <v/>
      </c>
      <c r="H52" s="34"/>
      <c r="I52" s="34"/>
      <c r="J52" s="38" t="str">
        <f aca="false">IF($A52="","",SUMIFS($H$4:$H$203,$C$4:$C$203,$C52))</f>
        <v/>
      </c>
      <c r="K52" s="38" t="str">
        <f aca="false">IF($A52="","",IFERROR($G52-$J52,""))</f>
        <v/>
      </c>
      <c r="L52" s="32"/>
      <c r="M52" s="32"/>
      <c r="N52" s="32"/>
    </row>
    <row r="53" customFormat="false" ht="15" hidden="false" customHeight="false" outlineLevel="0" collapsed="false">
      <c r="A53" s="32"/>
      <c r="B53" s="33"/>
      <c r="C53" s="32"/>
      <c r="D53" s="37" t="str">
        <f aca="false">IF($C53="","",IFERROR(INDEX(PO!$D$4:$D$203,MATCH($C53,PO!$A$4:$A$203,0)),""))</f>
        <v/>
      </c>
      <c r="E53" s="37" t="str">
        <f aca="false">IF($C53="","",IFERROR(INDEX(PO!$H$4:$H$203,MATCH($C53,PO!$A$4:$A$203,0)),""))</f>
        <v/>
      </c>
      <c r="F53" s="37" t="str">
        <f aca="false">IF($C53="","",IFERROR(INDEX(PO!$I$4:$I$203,MATCH($C53,PO!$A$4:$A$203,0)),""))</f>
        <v/>
      </c>
      <c r="G53" s="38" t="str">
        <f aca="false">IF($C53="","",IFERROR(INDEX(PO!$L$4:$L$203,MATCH($C53,PO!$A$4:$A$203,0)),""))</f>
        <v/>
      </c>
      <c r="H53" s="34"/>
      <c r="I53" s="34"/>
      <c r="J53" s="38" t="str">
        <f aca="false">IF($A53="","",SUMIFS($H$4:$H$203,$C$4:$C$203,$C53))</f>
        <v/>
      </c>
      <c r="K53" s="38" t="str">
        <f aca="false">IF($A53="","",IFERROR($G53-$J53,""))</f>
        <v/>
      </c>
      <c r="L53" s="32"/>
      <c r="M53" s="32"/>
      <c r="N53" s="32"/>
    </row>
    <row r="54" customFormat="false" ht="15" hidden="false" customHeight="false" outlineLevel="0" collapsed="false">
      <c r="A54" s="32"/>
      <c r="B54" s="33"/>
      <c r="C54" s="32"/>
      <c r="D54" s="37" t="str">
        <f aca="false">IF($C54="","",IFERROR(INDEX(PO!$D$4:$D$203,MATCH($C54,PO!$A$4:$A$203,0)),""))</f>
        <v/>
      </c>
      <c r="E54" s="37" t="str">
        <f aca="false">IF($C54="","",IFERROR(INDEX(PO!$H$4:$H$203,MATCH($C54,PO!$A$4:$A$203,0)),""))</f>
        <v/>
      </c>
      <c r="F54" s="37" t="str">
        <f aca="false">IF($C54="","",IFERROR(INDEX(PO!$I$4:$I$203,MATCH($C54,PO!$A$4:$A$203,0)),""))</f>
        <v/>
      </c>
      <c r="G54" s="38" t="str">
        <f aca="false">IF($C54="","",IFERROR(INDEX(PO!$L$4:$L$203,MATCH($C54,PO!$A$4:$A$203,0)),""))</f>
        <v/>
      </c>
      <c r="H54" s="34"/>
      <c r="I54" s="34"/>
      <c r="J54" s="38" t="str">
        <f aca="false">IF($A54="","",SUMIFS($H$4:$H$203,$C$4:$C$203,$C54))</f>
        <v/>
      </c>
      <c r="K54" s="38" t="str">
        <f aca="false">IF($A54="","",IFERROR($G54-$J54,""))</f>
        <v/>
      </c>
      <c r="L54" s="32"/>
      <c r="M54" s="32"/>
      <c r="N54" s="32"/>
    </row>
    <row r="55" customFormat="false" ht="15" hidden="false" customHeight="false" outlineLevel="0" collapsed="false">
      <c r="A55" s="32"/>
      <c r="B55" s="33"/>
      <c r="C55" s="32"/>
      <c r="D55" s="37" t="str">
        <f aca="false">IF($C55="","",IFERROR(INDEX(PO!$D$4:$D$203,MATCH($C55,PO!$A$4:$A$203,0)),""))</f>
        <v/>
      </c>
      <c r="E55" s="37" t="str">
        <f aca="false">IF($C55="","",IFERROR(INDEX(PO!$H$4:$H$203,MATCH($C55,PO!$A$4:$A$203,0)),""))</f>
        <v/>
      </c>
      <c r="F55" s="37" t="str">
        <f aca="false">IF($C55="","",IFERROR(INDEX(PO!$I$4:$I$203,MATCH($C55,PO!$A$4:$A$203,0)),""))</f>
        <v/>
      </c>
      <c r="G55" s="38" t="str">
        <f aca="false">IF($C55="","",IFERROR(INDEX(PO!$L$4:$L$203,MATCH($C55,PO!$A$4:$A$203,0)),""))</f>
        <v/>
      </c>
      <c r="H55" s="34"/>
      <c r="I55" s="34"/>
      <c r="J55" s="38" t="str">
        <f aca="false">IF($A55="","",SUMIFS($H$4:$H$203,$C$4:$C$203,$C55))</f>
        <v/>
      </c>
      <c r="K55" s="38" t="str">
        <f aca="false">IF($A55="","",IFERROR($G55-$J55,""))</f>
        <v/>
      </c>
      <c r="L55" s="32"/>
      <c r="M55" s="32"/>
      <c r="N55" s="32"/>
    </row>
    <row r="56" customFormat="false" ht="15" hidden="false" customHeight="false" outlineLevel="0" collapsed="false">
      <c r="A56" s="32"/>
      <c r="B56" s="33"/>
      <c r="C56" s="32"/>
      <c r="D56" s="37" t="str">
        <f aca="false">IF($C56="","",IFERROR(INDEX(PO!$D$4:$D$203,MATCH($C56,PO!$A$4:$A$203,0)),""))</f>
        <v/>
      </c>
      <c r="E56" s="37" t="str">
        <f aca="false">IF($C56="","",IFERROR(INDEX(PO!$H$4:$H$203,MATCH($C56,PO!$A$4:$A$203,0)),""))</f>
        <v/>
      </c>
      <c r="F56" s="37" t="str">
        <f aca="false">IF($C56="","",IFERROR(INDEX(PO!$I$4:$I$203,MATCH($C56,PO!$A$4:$A$203,0)),""))</f>
        <v/>
      </c>
      <c r="G56" s="38" t="str">
        <f aca="false">IF($C56="","",IFERROR(INDEX(PO!$L$4:$L$203,MATCH($C56,PO!$A$4:$A$203,0)),""))</f>
        <v/>
      </c>
      <c r="H56" s="34"/>
      <c r="I56" s="34"/>
      <c r="J56" s="38" t="str">
        <f aca="false">IF($A56="","",SUMIFS($H$4:$H$203,$C$4:$C$203,$C56))</f>
        <v/>
      </c>
      <c r="K56" s="38" t="str">
        <f aca="false">IF($A56="","",IFERROR($G56-$J56,""))</f>
        <v/>
      </c>
      <c r="L56" s="32"/>
      <c r="M56" s="32"/>
      <c r="N56" s="32"/>
    </row>
    <row r="57" customFormat="false" ht="15" hidden="false" customHeight="false" outlineLevel="0" collapsed="false">
      <c r="A57" s="32"/>
      <c r="B57" s="33"/>
      <c r="C57" s="32"/>
      <c r="D57" s="37" t="str">
        <f aca="false">IF($C57="","",IFERROR(INDEX(PO!$D$4:$D$203,MATCH($C57,PO!$A$4:$A$203,0)),""))</f>
        <v/>
      </c>
      <c r="E57" s="37" t="str">
        <f aca="false">IF($C57="","",IFERROR(INDEX(PO!$H$4:$H$203,MATCH($C57,PO!$A$4:$A$203,0)),""))</f>
        <v/>
      </c>
      <c r="F57" s="37" t="str">
        <f aca="false">IF($C57="","",IFERROR(INDEX(PO!$I$4:$I$203,MATCH($C57,PO!$A$4:$A$203,0)),""))</f>
        <v/>
      </c>
      <c r="G57" s="38" t="str">
        <f aca="false">IF($C57="","",IFERROR(INDEX(PO!$L$4:$L$203,MATCH($C57,PO!$A$4:$A$203,0)),""))</f>
        <v/>
      </c>
      <c r="H57" s="34"/>
      <c r="I57" s="34"/>
      <c r="J57" s="38" t="str">
        <f aca="false">IF($A57="","",SUMIFS($H$4:$H$203,$C$4:$C$203,$C57))</f>
        <v/>
      </c>
      <c r="K57" s="38" t="str">
        <f aca="false">IF($A57="","",IFERROR($G57-$J57,""))</f>
        <v/>
      </c>
      <c r="L57" s="32"/>
      <c r="M57" s="32"/>
      <c r="N57" s="32"/>
    </row>
    <row r="58" customFormat="false" ht="15" hidden="false" customHeight="false" outlineLevel="0" collapsed="false">
      <c r="A58" s="32"/>
      <c r="B58" s="33"/>
      <c r="C58" s="32"/>
      <c r="D58" s="37" t="str">
        <f aca="false">IF($C58="","",IFERROR(INDEX(PO!$D$4:$D$203,MATCH($C58,PO!$A$4:$A$203,0)),""))</f>
        <v/>
      </c>
      <c r="E58" s="37" t="str">
        <f aca="false">IF($C58="","",IFERROR(INDEX(PO!$H$4:$H$203,MATCH($C58,PO!$A$4:$A$203,0)),""))</f>
        <v/>
      </c>
      <c r="F58" s="37" t="str">
        <f aca="false">IF($C58="","",IFERROR(INDEX(PO!$I$4:$I$203,MATCH($C58,PO!$A$4:$A$203,0)),""))</f>
        <v/>
      </c>
      <c r="G58" s="38" t="str">
        <f aca="false">IF($C58="","",IFERROR(INDEX(PO!$L$4:$L$203,MATCH($C58,PO!$A$4:$A$203,0)),""))</f>
        <v/>
      </c>
      <c r="H58" s="34"/>
      <c r="I58" s="34"/>
      <c r="J58" s="38" t="str">
        <f aca="false">IF($A58="","",SUMIFS($H$4:$H$203,$C$4:$C$203,$C58))</f>
        <v/>
      </c>
      <c r="K58" s="38" t="str">
        <f aca="false">IF($A58="","",IFERROR($G58-$J58,""))</f>
        <v/>
      </c>
      <c r="L58" s="32"/>
      <c r="M58" s="32"/>
      <c r="N58" s="32"/>
    </row>
    <row r="59" customFormat="false" ht="15" hidden="false" customHeight="false" outlineLevel="0" collapsed="false">
      <c r="A59" s="32"/>
      <c r="B59" s="33"/>
      <c r="C59" s="32"/>
      <c r="D59" s="37" t="str">
        <f aca="false">IF($C59="","",IFERROR(INDEX(PO!$D$4:$D$203,MATCH($C59,PO!$A$4:$A$203,0)),""))</f>
        <v/>
      </c>
      <c r="E59" s="37" t="str">
        <f aca="false">IF($C59="","",IFERROR(INDEX(PO!$H$4:$H$203,MATCH($C59,PO!$A$4:$A$203,0)),""))</f>
        <v/>
      </c>
      <c r="F59" s="37" t="str">
        <f aca="false">IF($C59="","",IFERROR(INDEX(PO!$I$4:$I$203,MATCH($C59,PO!$A$4:$A$203,0)),""))</f>
        <v/>
      </c>
      <c r="G59" s="38" t="str">
        <f aca="false">IF($C59="","",IFERROR(INDEX(PO!$L$4:$L$203,MATCH($C59,PO!$A$4:$A$203,0)),""))</f>
        <v/>
      </c>
      <c r="H59" s="34"/>
      <c r="I59" s="34"/>
      <c r="J59" s="38" t="str">
        <f aca="false">IF($A59="","",SUMIFS($H$4:$H$203,$C$4:$C$203,$C59))</f>
        <v/>
      </c>
      <c r="K59" s="38" t="str">
        <f aca="false">IF($A59="","",IFERROR($G59-$J59,""))</f>
        <v/>
      </c>
      <c r="L59" s="32"/>
      <c r="M59" s="32"/>
      <c r="N59" s="32"/>
    </row>
    <row r="60" customFormat="false" ht="15" hidden="false" customHeight="false" outlineLevel="0" collapsed="false">
      <c r="A60" s="32"/>
      <c r="B60" s="33"/>
      <c r="C60" s="32"/>
      <c r="D60" s="37" t="str">
        <f aca="false">IF($C60="","",IFERROR(INDEX(PO!$D$4:$D$203,MATCH($C60,PO!$A$4:$A$203,0)),""))</f>
        <v/>
      </c>
      <c r="E60" s="37" t="str">
        <f aca="false">IF($C60="","",IFERROR(INDEX(PO!$H$4:$H$203,MATCH($C60,PO!$A$4:$A$203,0)),""))</f>
        <v/>
      </c>
      <c r="F60" s="37" t="str">
        <f aca="false">IF($C60="","",IFERROR(INDEX(PO!$I$4:$I$203,MATCH($C60,PO!$A$4:$A$203,0)),""))</f>
        <v/>
      </c>
      <c r="G60" s="38" t="str">
        <f aca="false">IF($C60="","",IFERROR(INDEX(PO!$L$4:$L$203,MATCH($C60,PO!$A$4:$A$203,0)),""))</f>
        <v/>
      </c>
      <c r="H60" s="34"/>
      <c r="I60" s="34"/>
      <c r="J60" s="38" t="str">
        <f aca="false">IF($A60="","",SUMIFS($H$4:$H$203,$C$4:$C$203,$C60))</f>
        <v/>
      </c>
      <c r="K60" s="38" t="str">
        <f aca="false">IF($A60="","",IFERROR($G60-$J60,""))</f>
        <v/>
      </c>
      <c r="L60" s="32"/>
      <c r="M60" s="32"/>
      <c r="N60" s="32"/>
    </row>
    <row r="61" customFormat="false" ht="15" hidden="false" customHeight="false" outlineLevel="0" collapsed="false">
      <c r="A61" s="32"/>
      <c r="B61" s="33"/>
      <c r="C61" s="32"/>
      <c r="D61" s="37" t="str">
        <f aca="false">IF($C61="","",IFERROR(INDEX(PO!$D$4:$D$203,MATCH($C61,PO!$A$4:$A$203,0)),""))</f>
        <v/>
      </c>
      <c r="E61" s="37" t="str">
        <f aca="false">IF($C61="","",IFERROR(INDEX(PO!$H$4:$H$203,MATCH($C61,PO!$A$4:$A$203,0)),""))</f>
        <v/>
      </c>
      <c r="F61" s="37" t="str">
        <f aca="false">IF($C61="","",IFERROR(INDEX(PO!$I$4:$I$203,MATCH($C61,PO!$A$4:$A$203,0)),""))</f>
        <v/>
      </c>
      <c r="G61" s="38" t="str">
        <f aca="false">IF($C61="","",IFERROR(INDEX(PO!$L$4:$L$203,MATCH($C61,PO!$A$4:$A$203,0)),""))</f>
        <v/>
      </c>
      <c r="H61" s="34"/>
      <c r="I61" s="34"/>
      <c r="J61" s="38" t="str">
        <f aca="false">IF($A61="","",SUMIFS($H$4:$H$203,$C$4:$C$203,$C61))</f>
        <v/>
      </c>
      <c r="K61" s="38" t="str">
        <f aca="false">IF($A61="","",IFERROR($G61-$J61,""))</f>
        <v/>
      </c>
      <c r="L61" s="32"/>
      <c r="M61" s="32"/>
      <c r="N61" s="32"/>
    </row>
    <row r="62" customFormat="false" ht="15" hidden="false" customHeight="false" outlineLevel="0" collapsed="false">
      <c r="A62" s="32"/>
      <c r="B62" s="33"/>
      <c r="C62" s="32"/>
      <c r="D62" s="37" t="str">
        <f aca="false">IF($C62="","",IFERROR(INDEX(PO!$D$4:$D$203,MATCH($C62,PO!$A$4:$A$203,0)),""))</f>
        <v/>
      </c>
      <c r="E62" s="37" t="str">
        <f aca="false">IF($C62="","",IFERROR(INDEX(PO!$H$4:$H$203,MATCH($C62,PO!$A$4:$A$203,0)),""))</f>
        <v/>
      </c>
      <c r="F62" s="37" t="str">
        <f aca="false">IF($C62="","",IFERROR(INDEX(PO!$I$4:$I$203,MATCH($C62,PO!$A$4:$A$203,0)),""))</f>
        <v/>
      </c>
      <c r="G62" s="38" t="str">
        <f aca="false">IF($C62="","",IFERROR(INDEX(PO!$L$4:$L$203,MATCH($C62,PO!$A$4:$A$203,0)),""))</f>
        <v/>
      </c>
      <c r="H62" s="34"/>
      <c r="I62" s="34"/>
      <c r="J62" s="38" t="str">
        <f aca="false">IF($A62="","",SUMIFS($H$4:$H$203,$C$4:$C$203,$C62))</f>
        <v/>
      </c>
      <c r="K62" s="38" t="str">
        <f aca="false">IF($A62="","",IFERROR($G62-$J62,""))</f>
        <v/>
      </c>
      <c r="L62" s="32"/>
      <c r="M62" s="32"/>
      <c r="N62" s="32"/>
    </row>
    <row r="63" customFormat="false" ht="15" hidden="false" customHeight="false" outlineLevel="0" collapsed="false">
      <c r="A63" s="32"/>
      <c r="B63" s="33"/>
      <c r="C63" s="32"/>
      <c r="D63" s="37" t="str">
        <f aca="false">IF($C63="","",IFERROR(INDEX(PO!$D$4:$D$203,MATCH($C63,PO!$A$4:$A$203,0)),""))</f>
        <v/>
      </c>
      <c r="E63" s="37" t="str">
        <f aca="false">IF($C63="","",IFERROR(INDEX(PO!$H$4:$H$203,MATCH($C63,PO!$A$4:$A$203,0)),""))</f>
        <v/>
      </c>
      <c r="F63" s="37" t="str">
        <f aca="false">IF($C63="","",IFERROR(INDEX(PO!$I$4:$I$203,MATCH($C63,PO!$A$4:$A$203,0)),""))</f>
        <v/>
      </c>
      <c r="G63" s="38" t="str">
        <f aca="false">IF($C63="","",IFERROR(INDEX(PO!$L$4:$L$203,MATCH($C63,PO!$A$4:$A$203,0)),""))</f>
        <v/>
      </c>
      <c r="H63" s="34"/>
      <c r="I63" s="34"/>
      <c r="J63" s="38" t="str">
        <f aca="false">IF($A63="","",SUMIFS($H$4:$H$203,$C$4:$C$203,$C63))</f>
        <v/>
      </c>
      <c r="K63" s="38" t="str">
        <f aca="false">IF($A63="","",IFERROR($G63-$J63,""))</f>
        <v/>
      </c>
      <c r="L63" s="32"/>
      <c r="M63" s="32"/>
      <c r="N63" s="32"/>
    </row>
    <row r="64" customFormat="false" ht="15" hidden="false" customHeight="false" outlineLevel="0" collapsed="false">
      <c r="A64" s="32"/>
      <c r="B64" s="33"/>
      <c r="C64" s="32"/>
      <c r="D64" s="37" t="str">
        <f aca="false">IF($C64="","",IFERROR(INDEX(PO!$D$4:$D$203,MATCH($C64,PO!$A$4:$A$203,0)),""))</f>
        <v/>
      </c>
      <c r="E64" s="37" t="str">
        <f aca="false">IF($C64="","",IFERROR(INDEX(PO!$H$4:$H$203,MATCH($C64,PO!$A$4:$A$203,0)),""))</f>
        <v/>
      </c>
      <c r="F64" s="37" t="str">
        <f aca="false">IF($C64="","",IFERROR(INDEX(PO!$I$4:$I$203,MATCH($C64,PO!$A$4:$A$203,0)),""))</f>
        <v/>
      </c>
      <c r="G64" s="38" t="str">
        <f aca="false">IF($C64="","",IFERROR(INDEX(PO!$L$4:$L$203,MATCH($C64,PO!$A$4:$A$203,0)),""))</f>
        <v/>
      </c>
      <c r="H64" s="34"/>
      <c r="I64" s="34"/>
      <c r="J64" s="38" t="str">
        <f aca="false">IF($A64="","",SUMIFS($H$4:$H$203,$C$4:$C$203,$C64))</f>
        <v/>
      </c>
      <c r="K64" s="38" t="str">
        <f aca="false">IF($A64="","",IFERROR($G64-$J64,""))</f>
        <v/>
      </c>
      <c r="L64" s="32"/>
      <c r="M64" s="32"/>
      <c r="N64" s="32"/>
    </row>
    <row r="65" customFormat="false" ht="15" hidden="false" customHeight="false" outlineLevel="0" collapsed="false">
      <c r="A65" s="32"/>
      <c r="B65" s="33"/>
      <c r="C65" s="32"/>
      <c r="D65" s="37" t="str">
        <f aca="false">IF($C65="","",IFERROR(INDEX(PO!$D$4:$D$203,MATCH($C65,PO!$A$4:$A$203,0)),""))</f>
        <v/>
      </c>
      <c r="E65" s="37" t="str">
        <f aca="false">IF($C65="","",IFERROR(INDEX(PO!$H$4:$H$203,MATCH($C65,PO!$A$4:$A$203,0)),""))</f>
        <v/>
      </c>
      <c r="F65" s="37" t="str">
        <f aca="false">IF($C65="","",IFERROR(INDEX(PO!$I$4:$I$203,MATCH($C65,PO!$A$4:$A$203,0)),""))</f>
        <v/>
      </c>
      <c r="G65" s="38" t="str">
        <f aca="false">IF($C65="","",IFERROR(INDEX(PO!$L$4:$L$203,MATCH($C65,PO!$A$4:$A$203,0)),""))</f>
        <v/>
      </c>
      <c r="H65" s="34"/>
      <c r="I65" s="34"/>
      <c r="J65" s="38" t="str">
        <f aca="false">IF($A65="","",SUMIFS($H$4:$H$203,$C$4:$C$203,$C65))</f>
        <v/>
      </c>
      <c r="K65" s="38" t="str">
        <f aca="false">IF($A65="","",IFERROR($G65-$J65,""))</f>
        <v/>
      </c>
      <c r="L65" s="32"/>
      <c r="M65" s="32"/>
      <c r="N65" s="32"/>
    </row>
    <row r="66" customFormat="false" ht="15" hidden="false" customHeight="false" outlineLevel="0" collapsed="false">
      <c r="A66" s="32"/>
      <c r="B66" s="33"/>
      <c r="C66" s="32"/>
      <c r="D66" s="37" t="str">
        <f aca="false">IF($C66="","",IFERROR(INDEX(PO!$D$4:$D$203,MATCH($C66,PO!$A$4:$A$203,0)),""))</f>
        <v/>
      </c>
      <c r="E66" s="37" t="str">
        <f aca="false">IF($C66="","",IFERROR(INDEX(PO!$H$4:$H$203,MATCH($C66,PO!$A$4:$A$203,0)),""))</f>
        <v/>
      </c>
      <c r="F66" s="37" t="str">
        <f aca="false">IF($C66="","",IFERROR(INDEX(PO!$I$4:$I$203,MATCH($C66,PO!$A$4:$A$203,0)),""))</f>
        <v/>
      </c>
      <c r="G66" s="38" t="str">
        <f aca="false">IF($C66="","",IFERROR(INDEX(PO!$L$4:$L$203,MATCH($C66,PO!$A$4:$A$203,0)),""))</f>
        <v/>
      </c>
      <c r="H66" s="34"/>
      <c r="I66" s="34"/>
      <c r="J66" s="38" t="str">
        <f aca="false">IF($A66="","",SUMIFS($H$4:$H$203,$C$4:$C$203,$C66))</f>
        <v/>
      </c>
      <c r="K66" s="38" t="str">
        <f aca="false">IF($A66="","",IFERROR($G66-$J66,""))</f>
        <v/>
      </c>
      <c r="L66" s="32"/>
      <c r="M66" s="32"/>
      <c r="N66" s="32"/>
    </row>
    <row r="67" customFormat="false" ht="15" hidden="false" customHeight="false" outlineLevel="0" collapsed="false">
      <c r="A67" s="32"/>
      <c r="B67" s="33"/>
      <c r="C67" s="32"/>
      <c r="D67" s="37" t="str">
        <f aca="false">IF($C67="","",IFERROR(INDEX(PO!$D$4:$D$203,MATCH($C67,PO!$A$4:$A$203,0)),""))</f>
        <v/>
      </c>
      <c r="E67" s="37" t="str">
        <f aca="false">IF($C67="","",IFERROR(INDEX(PO!$H$4:$H$203,MATCH($C67,PO!$A$4:$A$203,0)),""))</f>
        <v/>
      </c>
      <c r="F67" s="37" t="str">
        <f aca="false">IF($C67="","",IFERROR(INDEX(PO!$I$4:$I$203,MATCH($C67,PO!$A$4:$A$203,0)),""))</f>
        <v/>
      </c>
      <c r="G67" s="38" t="str">
        <f aca="false">IF($C67="","",IFERROR(INDEX(PO!$L$4:$L$203,MATCH($C67,PO!$A$4:$A$203,0)),""))</f>
        <v/>
      </c>
      <c r="H67" s="34"/>
      <c r="I67" s="34"/>
      <c r="J67" s="38" t="str">
        <f aca="false">IF($A67="","",SUMIFS($H$4:$H$203,$C$4:$C$203,$C67))</f>
        <v/>
      </c>
      <c r="K67" s="38" t="str">
        <f aca="false">IF($A67="","",IFERROR($G67-$J67,""))</f>
        <v/>
      </c>
      <c r="L67" s="32"/>
      <c r="M67" s="32"/>
      <c r="N67" s="32"/>
    </row>
    <row r="68" customFormat="false" ht="15" hidden="false" customHeight="false" outlineLevel="0" collapsed="false">
      <c r="A68" s="32"/>
      <c r="B68" s="33"/>
      <c r="C68" s="32"/>
      <c r="D68" s="37" t="str">
        <f aca="false">IF($C68="","",IFERROR(INDEX(PO!$D$4:$D$203,MATCH($C68,PO!$A$4:$A$203,0)),""))</f>
        <v/>
      </c>
      <c r="E68" s="37" t="str">
        <f aca="false">IF($C68="","",IFERROR(INDEX(PO!$H$4:$H$203,MATCH($C68,PO!$A$4:$A$203,0)),""))</f>
        <v/>
      </c>
      <c r="F68" s="37" t="str">
        <f aca="false">IF($C68="","",IFERROR(INDEX(PO!$I$4:$I$203,MATCH($C68,PO!$A$4:$A$203,0)),""))</f>
        <v/>
      </c>
      <c r="G68" s="38" t="str">
        <f aca="false">IF($C68="","",IFERROR(INDEX(PO!$L$4:$L$203,MATCH($C68,PO!$A$4:$A$203,0)),""))</f>
        <v/>
      </c>
      <c r="H68" s="34"/>
      <c r="I68" s="34"/>
      <c r="J68" s="38" t="str">
        <f aca="false">IF($A68="","",SUMIFS($H$4:$H$203,$C$4:$C$203,$C68))</f>
        <v/>
      </c>
      <c r="K68" s="38" t="str">
        <f aca="false">IF($A68="","",IFERROR($G68-$J68,""))</f>
        <v/>
      </c>
      <c r="L68" s="32"/>
      <c r="M68" s="32"/>
      <c r="N68" s="32"/>
    </row>
    <row r="69" customFormat="false" ht="15" hidden="false" customHeight="false" outlineLevel="0" collapsed="false">
      <c r="A69" s="32"/>
      <c r="B69" s="33"/>
      <c r="C69" s="32"/>
      <c r="D69" s="37" t="str">
        <f aca="false">IF($C69="","",IFERROR(INDEX(PO!$D$4:$D$203,MATCH($C69,PO!$A$4:$A$203,0)),""))</f>
        <v/>
      </c>
      <c r="E69" s="37" t="str">
        <f aca="false">IF($C69="","",IFERROR(INDEX(PO!$H$4:$H$203,MATCH($C69,PO!$A$4:$A$203,0)),""))</f>
        <v/>
      </c>
      <c r="F69" s="37" t="str">
        <f aca="false">IF($C69="","",IFERROR(INDEX(PO!$I$4:$I$203,MATCH($C69,PO!$A$4:$A$203,0)),""))</f>
        <v/>
      </c>
      <c r="G69" s="38" t="str">
        <f aca="false">IF($C69="","",IFERROR(INDEX(PO!$L$4:$L$203,MATCH($C69,PO!$A$4:$A$203,0)),""))</f>
        <v/>
      </c>
      <c r="H69" s="34"/>
      <c r="I69" s="34"/>
      <c r="J69" s="38" t="str">
        <f aca="false">IF($A69="","",SUMIFS($H$4:$H$203,$C$4:$C$203,$C69))</f>
        <v/>
      </c>
      <c r="K69" s="38" t="str">
        <f aca="false">IF($A69="","",IFERROR($G69-$J69,""))</f>
        <v/>
      </c>
      <c r="L69" s="32"/>
      <c r="M69" s="32"/>
      <c r="N69" s="32"/>
    </row>
    <row r="70" customFormat="false" ht="15" hidden="false" customHeight="false" outlineLevel="0" collapsed="false">
      <c r="A70" s="32"/>
      <c r="B70" s="33"/>
      <c r="C70" s="32"/>
      <c r="D70" s="37" t="str">
        <f aca="false">IF($C70="","",IFERROR(INDEX(PO!$D$4:$D$203,MATCH($C70,PO!$A$4:$A$203,0)),""))</f>
        <v/>
      </c>
      <c r="E70" s="37" t="str">
        <f aca="false">IF($C70="","",IFERROR(INDEX(PO!$H$4:$H$203,MATCH($C70,PO!$A$4:$A$203,0)),""))</f>
        <v/>
      </c>
      <c r="F70" s="37" t="str">
        <f aca="false">IF($C70="","",IFERROR(INDEX(PO!$I$4:$I$203,MATCH($C70,PO!$A$4:$A$203,0)),""))</f>
        <v/>
      </c>
      <c r="G70" s="38" t="str">
        <f aca="false">IF($C70="","",IFERROR(INDEX(PO!$L$4:$L$203,MATCH($C70,PO!$A$4:$A$203,0)),""))</f>
        <v/>
      </c>
      <c r="H70" s="34"/>
      <c r="I70" s="34"/>
      <c r="J70" s="38" t="str">
        <f aca="false">IF($A70="","",SUMIFS($H$4:$H$203,$C$4:$C$203,$C70))</f>
        <v/>
      </c>
      <c r="K70" s="38" t="str">
        <f aca="false">IF($A70="","",IFERROR($G70-$J70,""))</f>
        <v/>
      </c>
      <c r="L70" s="32"/>
      <c r="M70" s="32"/>
      <c r="N70" s="32"/>
    </row>
    <row r="71" customFormat="false" ht="15" hidden="false" customHeight="false" outlineLevel="0" collapsed="false">
      <c r="A71" s="32"/>
      <c r="B71" s="33"/>
      <c r="C71" s="32"/>
      <c r="D71" s="37" t="str">
        <f aca="false">IF($C71="","",IFERROR(INDEX(PO!$D$4:$D$203,MATCH($C71,PO!$A$4:$A$203,0)),""))</f>
        <v/>
      </c>
      <c r="E71" s="37" t="str">
        <f aca="false">IF($C71="","",IFERROR(INDEX(PO!$H$4:$H$203,MATCH($C71,PO!$A$4:$A$203,0)),""))</f>
        <v/>
      </c>
      <c r="F71" s="37" t="str">
        <f aca="false">IF($C71="","",IFERROR(INDEX(PO!$I$4:$I$203,MATCH($C71,PO!$A$4:$A$203,0)),""))</f>
        <v/>
      </c>
      <c r="G71" s="38" t="str">
        <f aca="false">IF($C71="","",IFERROR(INDEX(PO!$L$4:$L$203,MATCH($C71,PO!$A$4:$A$203,0)),""))</f>
        <v/>
      </c>
      <c r="H71" s="34"/>
      <c r="I71" s="34"/>
      <c r="J71" s="38" t="str">
        <f aca="false">IF($A71="","",SUMIFS($H$4:$H$203,$C$4:$C$203,$C71))</f>
        <v/>
      </c>
      <c r="K71" s="38" t="str">
        <f aca="false">IF($A71="","",IFERROR($G71-$J71,""))</f>
        <v/>
      </c>
      <c r="L71" s="32"/>
      <c r="M71" s="32"/>
      <c r="N71" s="32"/>
    </row>
    <row r="72" customFormat="false" ht="15" hidden="false" customHeight="false" outlineLevel="0" collapsed="false">
      <c r="A72" s="32"/>
      <c r="B72" s="33"/>
      <c r="C72" s="32"/>
      <c r="D72" s="37" t="str">
        <f aca="false">IF($C72="","",IFERROR(INDEX(PO!$D$4:$D$203,MATCH($C72,PO!$A$4:$A$203,0)),""))</f>
        <v/>
      </c>
      <c r="E72" s="37" t="str">
        <f aca="false">IF($C72="","",IFERROR(INDEX(PO!$H$4:$H$203,MATCH($C72,PO!$A$4:$A$203,0)),""))</f>
        <v/>
      </c>
      <c r="F72" s="37" t="str">
        <f aca="false">IF($C72="","",IFERROR(INDEX(PO!$I$4:$I$203,MATCH($C72,PO!$A$4:$A$203,0)),""))</f>
        <v/>
      </c>
      <c r="G72" s="38" t="str">
        <f aca="false">IF($C72="","",IFERROR(INDEX(PO!$L$4:$L$203,MATCH($C72,PO!$A$4:$A$203,0)),""))</f>
        <v/>
      </c>
      <c r="H72" s="34"/>
      <c r="I72" s="34"/>
      <c r="J72" s="38" t="str">
        <f aca="false">IF($A72="","",SUMIFS($H$4:$H$203,$C$4:$C$203,$C72))</f>
        <v/>
      </c>
      <c r="K72" s="38" t="str">
        <f aca="false">IF($A72="","",IFERROR($G72-$J72,""))</f>
        <v/>
      </c>
      <c r="L72" s="32"/>
      <c r="M72" s="32"/>
      <c r="N72" s="32"/>
    </row>
    <row r="73" customFormat="false" ht="15" hidden="false" customHeight="false" outlineLevel="0" collapsed="false">
      <c r="A73" s="32"/>
      <c r="B73" s="33"/>
      <c r="C73" s="32"/>
      <c r="D73" s="37" t="str">
        <f aca="false">IF($C73="","",IFERROR(INDEX(PO!$D$4:$D$203,MATCH($C73,PO!$A$4:$A$203,0)),""))</f>
        <v/>
      </c>
      <c r="E73" s="37" t="str">
        <f aca="false">IF($C73="","",IFERROR(INDEX(PO!$H$4:$H$203,MATCH($C73,PO!$A$4:$A$203,0)),""))</f>
        <v/>
      </c>
      <c r="F73" s="37" t="str">
        <f aca="false">IF($C73="","",IFERROR(INDEX(PO!$I$4:$I$203,MATCH($C73,PO!$A$4:$A$203,0)),""))</f>
        <v/>
      </c>
      <c r="G73" s="38" t="str">
        <f aca="false">IF($C73="","",IFERROR(INDEX(PO!$L$4:$L$203,MATCH($C73,PO!$A$4:$A$203,0)),""))</f>
        <v/>
      </c>
      <c r="H73" s="34"/>
      <c r="I73" s="34"/>
      <c r="J73" s="38" t="str">
        <f aca="false">IF($A73="","",SUMIFS($H$4:$H$203,$C$4:$C$203,$C73))</f>
        <v/>
      </c>
      <c r="K73" s="38" t="str">
        <f aca="false">IF($A73="","",IFERROR($G73-$J73,""))</f>
        <v/>
      </c>
      <c r="L73" s="32"/>
      <c r="M73" s="32"/>
      <c r="N73" s="32"/>
    </row>
    <row r="74" customFormat="false" ht="15" hidden="false" customHeight="false" outlineLevel="0" collapsed="false">
      <c r="A74" s="32"/>
      <c r="B74" s="33"/>
      <c r="C74" s="32"/>
      <c r="D74" s="37" t="str">
        <f aca="false">IF($C74="","",IFERROR(INDEX(PO!$D$4:$D$203,MATCH($C74,PO!$A$4:$A$203,0)),""))</f>
        <v/>
      </c>
      <c r="E74" s="37" t="str">
        <f aca="false">IF($C74="","",IFERROR(INDEX(PO!$H$4:$H$203,MATCH($C74,PO!$A$4:$A$203,0)),""))</f>
        <v/>
      </c>
      <c r="F74" s="37" t="str">
        <f aca="false">IF($C74="","",IFERROR(INDEX(PO!$I$4:$I$203,MATCH($C74,PO!$A$4:$A$203,0)),""))</f>
        <v/>
      </c>
      <c r="G74" s="38" t="str">
        <f aca="false">IF($C74="","",IFERROR(INDEX(PO!$L$4:$L$203,MATCH($C74,PO!$A$4:$A$203,0)),""))</f>
        <v/>
      </c>
      <c r="H74" s="34"/>
      <c r="I74" s="34"/>
      <c r="J74" s="38" t="str">
        <f aca="false">IF($A74="","",SUMIFS($H$4:$H$203,$C$4:$C$203,$C74))</f>
        <v/>
      </c>
      <c r="K74" s="38" t="str">
        <f aca="false">IF($A74="","",IFERROR($G74-$J74,""))</f>
        <v/>
      </c>
      <c r="L74" s="32"/>
      <c r="M74" s="32"/>
      <c r="N74" s="32"/>
    </row>
    <row r="75" customFormat="false" ht="15" hidden="false" customHeight="false" outlineLevel="0" collapsed="false">
      <c r="A75" s="32"/>
      <c r="B75" s="33"/>
      <c r="C75" s="32"/>
      <c r="D75" s="37" t="str">
        <f aca="false">IF($C75="","",IFERROR(INDEX(PO!$D$4:$D$203,MATCH($C75,PO!$A$4:$A$203,0)),""))</f>
        <v/>
      </c>
      <c r="E75" s="37" t="str">
        <f aca="false">IF($C75="","",IFERROR(INDEX(PO!$H$4:$H$203,MATCH($C75,PO!$A$4:$A$203,0)),""))</f>
        <v/>
      </c>
      <c r="F75" s="37" t="str">
        <f aca="false">IF($C75="","",IFERROR(INDEX(PO!$I$4:$I$203,MATCH($C75,PO!$A$4:$A$203,0)),""))</f>
        <v/>
      </c>
      <c r="G75" s="38" t="str">
        <f aca="false">IF($C75="","",IFERROR(INDEX(PO!$L$4:$L$203,MATCH($C75,PO!$A$4:$A$203,0)),""))</f>
        <v/>
      </c>
      <c r="H75" s="34"/>
      <c r="I75" s="34"/>
      <c r="J75" s="38" t="str">
        <f aca="false">IF($A75="","",SUMIFS($H$4:$H$203,$C$4:$C$203,$C75))</f>
        <v/>
      </c>
      <c r="K75" s="38" t="str">
        <f aca="false">IF($A75="","",IFERROR($G75-$J75,""))</f>
        <v/>
      </c>
      <c r="L75" s="32"/>
      <c r="M75" s="32"/>
      <c r="N75" s="32"/>
    </row>
    <row r="76" customFormat="false" ht="15" hidden="false" customHeight="false" outlineLevel="0" collapsed="false">
      <c r="A76" s="32"/>
      <c r="B76" s="33"/>
      <c r="C76" s="32"/>
      <c r="D76" s="37" t="str">
        <f aca="false">IF($C76="","",IFERROR(INDEX(PO!$D$4:$D$203,MATCH($C76,PO!$A$4:$A$203,0)),""))</f>
        <v/>
      </c>
      <c r="E76" s="37" t="str">
        <f aca="false">IF($C76="","",IFERROR(INDEX(PO!$H$4:$H$203,MATCH($C76,PO!$A$4:$A$203,0)),""))</f>
        <v/>
      </c>
      <c r="F76" s="37" t="str">
        <f aca="false">IF($C76="","",IFERROR(INDEX(PO!$I$4:$I$203,MATCH($C76,PO!$A$4:$A$203,0)),""))</f>
        <v/>
      </c>
      <c r="G76" s="38" t="str">
        <f aca="false">IF($C76="","",IFERROR(INDEX(PO!$L$4:$L$203,MATCH($C76,PO!$A$4:$A$203,0)),""))</f>
        <v/>
      </c>
      <c r="H76" s="34"/>
      <c r="I76" s="34"/>
      <c r="J76" s="38" t="str">
        <f aca="false">IF($A76="","",SUMIFS($H$4:$H$203,$C$4:$C$203,$C76))</f>
        <v/>
      </c>
      <c r="K76" s="38" t="str">
        <f aca="false">IF($A76="","",IFERROR($G76-$J76,""))</f>
        <v/>
      </c>
      <c r="L76" s="32"/>
      <c r="M76" s="32"/>
      <c r="N76" s="32"/>
    </row>
    <row r="77" customFormat="false" ht="15" hidden="false" customHeight="false" outlineLevel="0" collapsed="false">
      <c r="A77" s="32"/>
      <c r="B77" s="33"/>
      <c r="C77" s="32"/>
      <c r="D77" s="37" t="str">
        <f aca="false">IF($C77="","",IFERROR(INDEX(PO!$D$4:$D$203,MATCH($C77,PO!$A$4:$A$203,0)),""))</f>
        <v/>
      </c>
      <c r="E77" s="37" t="str">
        <f aca="false">IF($C77="","",IFERROR(INDEX(PO!$H$4:$H$203,MATCH($C77,PO!$A$4:$A$203,0)),""))</f>
        <v/>
      </c>
      <c r="F77" s="37" t="str">
        <f aca="false">IF($C77="","",IFERROR(INDEX(PO!$I$4:$I$203,MATCH($C77,PO!$A$4:$A$203,0)),""))</f>
        <v/>
      </c>
      <c r="G77" s="38" t="str">
        <f aca="false">IF($C77="","",IFERROR(INDEX(PO!$L$4:$L$203,MATCH($C77,PO!$A$4:$A$203,0)),""))</f>
        <v/>
      </c>
      <c r="H77" s="34"/>
      <c r="I77" s="34"/>
      <c r="J77" s="38" t="str">
        <f aca="false">IF($A77="","",SUMIFS($H$4:$H$203,$C$4:$C$203,$C77))</f>
        <v/>
      </c>
      <c r="K77" s="38" t="str">
        <f aca="false">IF($A77="","",IFERROR($G77-$J77,""))</f>
        <v/>
      </c>
      <c r="L77" s="32"/>
      <c r="M77" s="32"/>
      <c r="N77" s="32"/>
    </row>
    <row r="78" customFormat="false" ht="15" hidden="false" customHeight="false" outlineLevel="0" collapsed="false">
      <c r="A78" s="32"/>
      <c r="B78" s="33"/>
      <c r="C78" s="32"/>
      <c r="D78" s="37" t="str">
        <f aca="false">IF($C78="","",IFERROR(INDEX(PO!$D$4:$D$203,MATCH($C78,PO!$A$4:$A$203,0)),""))</f>
        <v/>
      </c>
      <c r="E78" s="37" t="str">
        <f aca="false">IF($C78="","",IFERROR(INDEX(PO!$H$4:$H$203,MATCH($C78,PO!$A$4:$A$203,0)),""))</f>
        <v/>
      </c>
      <c r="F78" s="37" t="str">
        <f aca="false">IF($C78="","",IFERROR(INDEX(PO!$I$4:$I$203,MATCH($C78,PO!$A$4:$A$203,0)),""))</f>
        <v/>
      </c>
      <c r="G78" s="38" t="str">
        <f aca="false">IF($C78="","",IFERROR(INDEX(PO!$L$4:$L$203,MATCH($C78,PO!$A$4:$A$203,0)),""))</f>
        <v/>
      </c>
      <c r="H78" s="34"/>
      <c r="I78" s="34"/>
      <c r="J78" s="38" t="str">
        <f aca="false">IF($A78="","",SUMIFS($H$4:$H$203,$C$4:$C$203,$C78))</f>
        <v/>
      </c>
      <c r="K78" s="38" t="str">
        <f aca="false">IF($A78="","",IFERROR($G78-$J78,""))</f>
        <v/>
      </c>
      <c r="L78" s="32"/>
      <c r="M78" s="32"/>
      <c r="N78" s="32"/>
    </row>
    <row r="79" customFormat="false" ht="15" hidden="false" customHeight="false" outlineLevel="0" collapsed="false">
      <c r="A79" s="32"/>
      <c r="B79" s="33"/>
      <c r="C79" s="32"/>
      <c r="D79" s="37" t="str">
        <f aca="false">IF($C79="","",IFERROR(INDEX(PO!$D$4:$D$203,MATCH($C79,PO!$A$4:$A$203,0)),""))</f>
        <v/>
      </c>
      <c r="E79" s="37" t="str">
        <f aca="false">IF($C79="","",IFERROR(INDEX(PO!$H$4:$H$203,MATCH($C79,PO!$A$4:$A$203,0)),""))</f>
        <v/>
      </c>
      <c r="F79" s="37" t="str">
        <f aca="false">IF($C79="","",IFERROR(INDEX(PO!$I$4:$I$203,MATCH($C79,PO!$A$4:$A$203,0)),""))</f>
        <v/>
      </c>
      <c r="G79" s="38" t="str">
        <f aca="false">IF($C79="","",IFERROR(INDEX(PO!$L$4:$L$203,MATCH($C79,PO!$A$4:$A$203,0)),""))</f>
        <v/>
      </c>
      <c r="H79" s="34"/>
      <c r="I79" s="34"/>
      <c r="J79" s="38" t="str">
        <f aca="false">IF($A79="","",SUMIFS($H$4:$H$203,$C$4:$C$203,$C79))</f>
        <v/>
      </c>
      <c r="K79" s="38" t="str">
        <f aca="false">IF($A79="","",IFERROR($G79-$J79,""))</f>
        <v/>
      </c>
      <c r="L79" s="32"/>
      <c r="M79" s="32"/>
      <c r="N79" s="32"/>
    </row>
    <row r="80" customFormat="false" ht="15" hidden="false" customHeight="false" outlineLevel="0" collapsed="false">
      <c r="A80" s="32"/>
      <c r="B80" s="33"/>
      <c r="C80" s="32"/>
      <c r="D80" s="37" t="str">
        <f aca="false">IF($C80="","",IFERROR(INDEX(PO!$D$4:$D$203,MATCH($C80,PO!$A$4:$A$203,0)),""))</f>
        <v/>
      </c>
      <c r="E80" s="37" t="str">
        <f aca="false">IF($C80="","",IFERROR(INDEX(PO!$H$4:$H$203,MATCH($C80,PO!$A$4:$A$203,0)),""))</f>
        <v/>
      </c>
      <c r="F80" s="37" t="str">
        <f aca="false">IF($C80="","",IFERROR(INDEX(PO!$I$4:$I$203,MATCH($C80,PO!$A$4:$A$203,0)),""))</f>
        <v/>
      </c>
      <c r="G80" s="38" t="str">
        <f aca="false">IF($C80="","",IFERROR(INDEX(PO!$L$4:$L$203,MATCH($C80,PO!$A$4:$A$203,0)),""))</f>
        <v/>
      </c>
      <c r="H80" s="34"/>
      <c r="I80" s="34"/>
      <c r="J80" s="38" t="str">
        <f aca="false">IF($A80="","",SUMIFS($H$4:$H$203,$C$4:$C$203,$C80))</f>
        <v/>
      </c>
      <c r="K80" s="38" t="str">
        <f aca="false">IF($A80="","",IFERROR($G80-$J80,""))</f>
        <v/>
      </c>
      <c r="L80" s="32"/>
      <c r="M80" s="32"/>
      <c r="N80" s="32"/>
    </row>
    <row r="81" customFormat="false" ht="15" hidden="false" customHeight="false" outlineLevel="0" collapsed="false">
      <c r="A81" s="32"/>
      <c r="B81" s="33"/>
      <c r="C81" s="32"/>
      <c r="D81" s="37" t="str">
        <f aca="false">IF($C81="","",IFERROR(INDEX(PO!$D$4:$D$203,MATCH($C81,PO!$A$4:$A$203,0)),""))</f>
        <v/>
      </c>
      <c r="E81" s="37" t="str">
        <f aca="false">IF($C81="","",IFERROR(INDEX(PO!$H$4:$H$203,MATCH($C81,PO!$A$4:$A$203,0)),""))</f>
        <v/>
      </c>
      <c r="F81" s="37" t="str">
        <f aca="false">IF($C81="","",IFERROR(INDEX(PO!$I$4:$I$203,MATCH($C81,PO!$A$4:$A$203,0)),""))</f>
        <v/>
      </c>
      <c r="G81" s="38" t="str">
        <f aca="false">IF($C81="","",IFERROR(INDEX(PO!$L$4:$L$203,MATCH($C81,PO!$A$4:$A$203,0)),""))</f>
        <v/>
      </c>
      <c r="H81" s="34"/>
      <c r="I81" s="34"/>
      <c r="J81" s="38" t="str">
        <f aca="false">IF($A81="","",SUMIFS($H$4:$H$203,$C$4:$C$203,$C81))</f>
        <v/>
      </c>
      <c r="K81" s="38" t="str">
        <f aca="false">IF($A81="","",IFERROR($G81-$J81,""))</f>
        <v/>
      </c>
      <c r="L81" s="32"/>
      <c r="M81" s="32"/>
      <c r="N81" s="32"/>
    </row>
    <row r="82" customFormat="false" ht="15" hidden="false" customHeight="false" outlineLevel="0" collapsed="false">
      <c r="A82" s="32"/>
      <c r="B82" s="33"/>
      <c r="C82" s="32"/>
      <c r="D82" s="37" t="str">
        <f aca="false">IF($C82="","",IFERROR(INDEX(PO!$D$4:$D$203,MATCH($C82,PO!$A$4:$A$203,0)),""))</f>
        <v/>
      </c>
      <c r="E82" s="37" t="str">
        <f aca="false">IF($C82="","",IFERROR(INDEX(PO!$H$4:$H$203,MATCH($C82,PO!$A$4:$A$203,0)),""))</f>
        <v/>
      </c>
      <c r="F82" s="37" t="str">
        <f aca="false">IF($C82="","",IFERROR(INDEX(PO!$I$4:$I$203,MATCH($C82,PO!$A$4:$A$203,0)),""))</f>
        <v/>
      </c>
      <c r="G82" s="38" t="str">
        <f aca="false">IF($C82="","",IFERROR(INDEX(PO!$L$4:$L$203,MATCH($C82,PO!$A$4:$A$203,0)),""))</f>
        <v/>
      </c>
      <c r="H82" s="34"/>
      <c r="I82" s="34"/>
      <c r="J82" s="38" t="str">
        <f aca="false">IF($A82="","",SUMIFS($H$4:$H$203,$C$4:$C$203,$C82))</f>
        <v/>
      </c>
      <c r="K82" s="38" t="str">
        <f aca="false">IF($A82="","",IFERROR($G82-$J82,""))</f>
        <v/>
      </c>
      <c r="L82" s="32"/>
      <c r="M82" s="32"/>
      <c r="N82" s="32"/>
    </row>
    <row r="83" customFormat="false" ht="15" hidden="false" customHeight="false" outlineLevel="0" collapsed="false">
      <c r="A83" s="32"/>
      <c r="B83" s="33"/>
      <c r="C83" s="32"/>
      <c r="D83" s="37" t="str">
        <f aca="false">IF($C83="","",IFERROR(INDEX(PO!$D$4:$D$203,MATCH($C83,PO!$A$4:$A$203,0)),""))</f>
        <v/>
      </c>
      <c r="E83" s="37" t="str">
        <f aca="false">IF($C83="","",IFERROR(INDEX(PO!$H$4:$H$203,MATCH($C83,PO!$A$4:$A$203,0)),""))</f>
        <v/>
      </c>
      <c r="F83" s="37" t="str">
        <f aca="false">IF($C83="","",IFERROR(INDEX(PO!$I$4:$I$203,MATCH($C83,PO!$A$4:$A$203,0)),""))</f>
        <v/>
      </c>
      <c r="G83" s="38" t="str">
        <f aca="false">IF($C83="","",IFERROR(INDEX(PO!$L$4:$L$203,MATCH($C83,PO!$A$4:$A$203,0)),""))</f>
        <v/>
      </c>
      <c r="H83" s="34"/>
      <c r="I83" s="34"/>
      <c r="J83" s="38" t="str">
        <f aca="false">IF($A83="","",SUMIFS($H$4:$H$203,$C$4:$C$203,$C83))</f>
        <v/>
      </c>
      <c r="K83" s="38" t="str">
        <f aca="false">IF($A83="","",IFERROR($G83-$J83,""))</f>
        <v/>
      </c>
      <c r="L83" s="32"/>
      <c r="M83" s="32"/>
      <c r="N83" s="32"/>
    </row>
    <row r="84" customFormat="false" ht="15" hidden="false" customHeight="false" outlineLevel="0" collapsed="false">
      <c r="A84" s="32"/>
      <c r="B84" s="33"/>
      <c r="C84" s="32"/>
      <c r="D84" s="37" t="str">
        <f aca="false">IF($C84="","",IFERROR(INDEX(PO!$D$4:$D$203,MATCH($C84,PO!$A$4:$A$203,0)),""))</f>
        <v/>
      </c>
      <c r="E84" s="37" t="str">
        <f aca="false">IF($C84="","",IFERROR(INDEX(PO!$H$4:$H$203,MATCH($C84,PO!$A$4:$A$203,0)),""))</f>
        <v/>
      </c>
      <c r="F84" s="37" t="str">
        <f aca="false">IF($C84="","",IFERROR(INDEX(PO!$I$4:$I$203,MATCH($C84,PO!$A$4:$A$203,0)),""))</f>
        <v/>
      </c>
      <c r="G84" s="38" t="str">
        <f aca="false">IF($C84="","",IFERROR(INDEX(PO!$L$4:$L$203,MATCH($C84,PO!$A$4:$A$203,0)),""))</f>
        <v/>
      </c>
      <c r="H84" s="34"/>
      <c r="I84" s="34"/>
      <c r="J84" s="38" t="str">
        <f aca="false">IF($A84="","",SUMIFS($H$4:$H$203,$C$4:$C$203,$C84))</f>
        <v/>
      </c>
      <c r="K84" s="38" t="str">
        <f aca="false">IF($A84="","",IFERROR($G84-$J84,""))</f>
        <v/>
      </c>
      <c r="L84" s="32"/>
      <c r="M84" s="32"/>
      <c r="N84" s="32"/>
    </row>
    <row r="85" customFormat="false" ht="15" hidden="false" customHeight="false" outlineLevel="0" collapsed="false">
      <c r="A85" s="32"/>
      <c r="B85" s="33"/>
      <c r="C85" s="32"/>
      <c r="D85" s="37" t="str">
        <f aca="false">IF($C85="","",IFERROR(INDEX(PO!$D$4:$D$203,MATCH($C85,PO!$A$4:$A$203,0)),""))</f>
        <v/>
      </c>
      <c r="E85" s="37" t="str">
        <f aca="false">IF($C85="","",IFERROR(INDEX(PO!$H$4:$H$203,MATCH($C85,PO!$A$4:$A$203,0)),""))</f>
        <v/>
      </c>
      <c r="F85" s="37" t="str">
        <f aca="false">IF($C85="","",IFERROR(INDEX(PO!$I$4:$I$203,MATCH($C85,PO!$A$4:$A$203,0)),""))</f>
        <v/>
      </c>
      <c r="G85" s="38" t="str">
        <f aca="false">IF($C85="","",IFERROR(INDEX(PO!$L$4:$L$203,MATCH($C85,PO!$A$4:$A$203,0)),""))</f>
        <v/>
      </c>
      <c r="H85" s="34"/>
      <c r="I85" s="34"/>
      <c r="J85" s="38" t="str">
        <f aca="false">IF($A85="","",SUMIFS($H$4:$H$203,$C$4:$C$203,$C85))</f>
        <v/>
      </c>
      <c r="K85" s="38" t="str">
        <f aca="false">IF($A85="","",IFERROR($G85-$J85,""))</f>
        <v/>
      </c>
      <c r="L85" s="32"/>
      <c r="M85" s="32"/>
      <c r="N85" s="32"/>
    </row>
    <row r="86" customFormat="false" ht="15" hidden="false" customHeight="false" outlineLevel="0" collapsed="false">
      <c r="A86" s="32"/>
      <c r="B86" s="33"/>
      <c r="C86" s="32"/>
      <c r="D86" s="37" t="str">
        <f aca="false">IF($C86="","",IFERROR(INDEX(PO!$D$4:$D$203,MATCH($C86,PO!$A$4:$A$203,0)),""))</f>
        <v/>
      </c>
      <c r="E86" s="37" t="str">
        <f aca="false">IF($C86="","",IFERROR(INDEX(PO!$H$4:$H$203,MATCH($C86,PO!$A$4:$A$203,0)),""))</f>
        <v/>
      </c>
      <c r="F86" s="37" t="str">
        <f aca="false">IF($C86="","",IFERROR(INDEX(PO!$I$4:$I$203,MATCH($C86,PO!$A$4:$A$203,0)),""))</f>
        <v/>
      </c>
      <c r="G86" s="38" t="str">
        <f aca="false">IF($C86="","",IFERROR(INDEX(PO!$L$4:$L$203,MATCH($C86,PO!$A$4:$A$203,0)),""))</f>
        <v/>
      </c>
      <c r="H86" s="34"/>
      <c r="I86" s="34"/>
      <c r="J86" s="38" t="str">
        <f aca="false">IF($A86="","",SUMIFS($H$4:$H$203,$C$4:$C$203,$C86))</f>
        <v/>
      </c>
      <c r="K86" s="38" t="str">
        <f aca="false">IF($A86="","",IFERROR($G86-$J86,""))</f>
        <v/>
      </c>
      <c r="L86" s="32"/>
      <c r="M86" s="32"/>
      <c r="N86" s="32"/>
    </row>
    <row r="87" customFormat="false" ht="15" hidden="false" customHeight="false" outlineLevel="0" collapsed="false">
      <c r="A87" s="32"/>
      <c r="B87" s="33"/>
      <c r="C87" s="32"/>
      <c r="D87" s="37" t="str">
        <f aca="false">IF($C87="","",IFERROR(INDEX(PO!$D$4:$D$203,MATCH($C87,PO!$A$4:$A$203,0)),""))</f>
        <v/>
      </c>
      <c r="E87" s="37" t="str">
        <f aca="false">IF($C87="","",IFERROR(INDEX(PO!$H$4:$H$203,MATCH($C87,PO!$A$4:$A$203,0)),""))</f>
        <v/>
      </c>
      <c r="F87" s="37" t="str">
        <f aca="false">IF($C87="","",IFERROR(INDEX(PO!$I$4:$I$203,MATCH($C87,PO!$A$4:$A$203,0)),""))</f>
        <v/>
      </c>
      <c r="G87" s="38" t="str">
        <f aca="false">IF($C87="","",IFERROR(INDEX(PO!$L$4:$L$203,MATCH($C87,PO!$A$4:$A$203,0)),""))</f>
        <v/>
      </c>
      <c r="H87" s="34"/>
      <c r="I87" s="34"/>
      <c r="J87" s="38" t="str">
        <f aca="false">IF($A87="","",SUMIFS($H$4:$H$203,$C$4:$C$203,$C87))</f>
        <v/>
      </c>
      <c r="K87" s="38" t="str">
        <f aca="false">IF($A87="","",IFERROR($G87-$J87,""))</f>
        <v/>
      </c>
      <c r="L87" s="32"/>
      <c r="M87" s="32"/>
      <c r="N87" s="32"/>
    </row>
    <row r="88" customFormat="false" ht="15" hidden="false" customHeight="false" outlineLevel="0" collapsed="false">
      <c r="A88" s="32"/>
      <c r="B88" s="33"/>
      <c r="C88" s="32"/>
      <c r="D88" s="37" t="str">
        <f aca="false">IF($C88="","",IFERROR(INDEX(PO!$D$4:$D$203,MATCH($C88,PO!$A$4:$A$203,0)),""))</f>
        <v/>
      </c>
      <c r="E88" s="37" t="str">
        <f aca="false">IF($C88="","",IFERROR(INDEX(PO!$H$4:$H$203,MATCH($C88,PO!$A$4:$A$203,0)),""))</f>
        <v/>
      </c>
      <c r="F88" s="37" t="str">
        <f aca="false">IF($C88="","",IFERROR(INDEX(PO!$I$4:$I$203,MATCH($C88,PO!$A$4:$A$203,0)),""))</f>
        <v/>
      </c>
      <c r="G88" s="38" t="str">
        <f aca="false">IF($C88="","",IFERROR(INDEX(PO!$L$4:$L$203,MATCH($C88,PO!$A$4:$A$203,0)),""))</f>
        <v/>
      </c>
      <c r="H88" s="34"/>
      <c r="I88" s="34"/>
      <c r="J88" s="38" t="str">
        <f aca="false">IF($A88="","",SUMIFS($H$4:$H$203,$C$4:$C$203,$C88))</f>
        <v/>
      </c>
      <c r="K88" s="38" t="str">
        <f aca="false">IF($A88="","",IFERROR($G88-$J88,""))</f>
        <v/>
      </c>
      <c r="L88" s="32"/>
      <c r="M88" s="32"/>
      <c r="N88" s="32"/>
    </row>
    <row r="89" customFormat="false" ht="15" hidden="false" customHeight="false" outlineLevel="0" collapsed="false">
      <c r="A89" s="32"/>
      <c r="B89" s="33"/>
      <c r="C89" s="32"/>
      <c r="D89" s="37" t="str">
        <f aca="false">IF($C89="","",IFERROR(INDEX(PO!$D$4:$D$203,MATCH($C89,PO!$A$4:$A$203,0)),""))</f>
        <v/>
      </c>
      <c r="E89" s="37" t="str">
        <f aca="false">IF($C89="","",IFERROR(INDEX(PO!$H$4:$H$203,MATCH($C89,PO!$A$4:$A$203,0)),""))</f>
        <v/>
      </c>
      <c r="F89" s="37" t="str">
        <f aca="false">IF($C89="","",IFERROR(INDEX(PO!$I$4:$I$203,MATCH($C89,PO!$A$4:$A$203,0)),""))</f>
        <v/>
      </c>
      <c r="G89" s="38" t="str">
        <f aca="false">IF($C89="","",IFERROR(INDEX(PO!$L$4:$L$203,MATCH($C89,PO!$A$4:$A$203,0)),""))</f>
        <v/>
      </c>
      <c r="H89" s="34"/>
      <c r="I89" s="34"/>
      <c r="J89" s="38" t="str">
        <f aca="false">IF($A89="","",SUMIFS($H$4:$H$203,$C$4:$C$203,$C89))</f>
        <v/>
      </c>
      <c r="K89" s="38" t="str">
        <f aca="false">IF($A89="","",IFERROR($G89-$J89,""))</f>
        <v/>
      </c>
      <c r="L89" s="32"/>
      <c r="M89" s="32"/>
      <c r="N89" s="32"/>
    </row>
    <row r="90" customFormat="false" ht="15" hidden="false" customHeight="false" outlineLevel="0" collapsed="false">
      <c r="A90" s="32"/>
      <c r="B90" s="33"/>
      <c r="C90" s="32"/>
      <c r="D90" s="37" t="str">
        <f aca="false">IF($C90="","",IFERROR(INDEX(PO!$D$4:$D$203,MATCH($C90,PO!$A$4:$A$203,0)),""))</f>
        <v/>
      </c>
      <c r="E90" s="37" t="str">
        <f aca="false">IF($C90="","",IFERROR(INDEX(PO!$H$4:$H$203,MATCH($C90,PO!$A$4:$A$203,0)),""))</f>
        <v/>
      </c>
      <c r="F90" s="37" t="str">
        <f aca="false">IF($C90="","",IFERROR(INDEX(PO!$I$4:$I$203,MATCH($C90,PO!$A$4:$A$203,0)),""))</f>
        <v/>
      </c>
      <c r="G90" s="38" t="str">
        <f aca="false">IF($C90="","",IFERROR(INDEX(PO!$L$4:$L$203,MATCH($C90,PO!$A$4:$A$203,0)),""))</f>
        <v/>
      </c>
      <c r="H90" s="34"/>
      <c r="I90" s="34"/>
      <c r="J90" s="38" t="str">
        <f aca="false">IF($A90="","",SUMIFS($H$4:$H$203,$C$4:$C$203,$C90))</f>
        <v/>
      </c>
      <c r="K90" s="38" t="str">
        <f aca="false">IF($A90="","",IFERROR($G90-$J90,""))</f>
        <v/>
      </c>
      <c r="L90" s="32"/>
      <c r="M90" s="32"/>
      <c r="N90" s="32"/>
    </row>
    <row r="91" customFormat="false" ht="15" hidden="false" customHeight="false" outlineLevel="0" collapsed="false">
      <c r="A91" s="32"/>
      <c r="B91" s="33"/>
      <c r="C91" s="32"/>
      <c r="D91" s="37" t="str">
        <f aca="false">IF($C91="","",IFERROR(INDEX(PO!$D$4:$D$203,MATCH($C91,PO!$A$4:$A$203,0)),""))</f>
        <v/>
      </c>
      <c r="E91" s="37" t="str">
        <f aca="false">IF($C91="","",IFERROR(INDEX(PO!$H$4:$H$203,MATCH($C91,PO!$A$4:$A$203,0)),""))</f>
        <v/>
      </c>
      <c r="F91" s="37" t="str">
        <f aca="false">IF($C91="","",IFERROR(INDEX(PO!$I$4:$I$203,MATCH($C91,PO!$A$4:$A$203,0)),""))</f>
        <v/>
      </c>
      <c r="G91" s="38" t="str">
        <f aca="false">IF($C91="","",IFERROR(INDEX(PO!$L$4:$L$203,MATCH($C91,PO!$A$4:$A$203,0)),""))</f>
        <v/>
      </c>
      <c r="H91" s="34"/>
      <c r="I91" s="34"/>
      <c r="J91" s="38" t="str">
        <f aca="false">IF($A91="","",SUMIFS($H$4:$H$203,$C$4:$C$203,$C91))</f>
        <v/>
      </c>
      <c r="K91" s="38" t="str">
        <f aca="false">IF($A91="","",IFERROR($G91-$J91,""))</f>
        <v/>
      </c>
      <c r="L91" s="32"/>
      <c r="M91" s="32"/>
      <c r="N91" s="32"/>
    </row>
    <row r="92" customFormat="false" ht="15" hidden="false" customHeight="false" outlineLevel="0" collapsed="false">
      <c r="A92" s="32"/>
      <c r="B92" s="33"/>
      <c r="C92" s="32"/>
      <c r="D92" s="37" t="str">
        <f aca="false">IF($C92="","",IFERROR(INDEX(PO!$D$4:$D$203,MATCH($C92,PO!$A$4:$A$203,0)),""))</f>
        <v/>
      </c>
      <c r="E92" s="37" t="str">
        <f aca="false">IF($C92="","",IFERROR(INDEX(PO!$H$4:$H$203,MATCH($C92,PO!$A$4:$A$203,0)),""))</f>
        <v/>
      </c>
      <c r="F92" s="37" t="str">
        <f aca="false">IF($C92="","",IFERROR(INDEX(PO!$I$4:$I$203,MATCH($C92,PO!$A$4:$A$203,0)),""))</f>
        <v/>
      </c>
      <c r="G92" s="38" t="str">
        <f aca="false">IF($C92="","",IFERROR(INDEX(PO!$L$4:$L$203,MATCH($C92,PO!$A$4:$A$203,0)),""))</f>
        <v/>
      </c>
      <c r="H92" s="34"/>
      <c r="I92" s="34"/>
      <c r="J92" s="38" t="str">
        <f aca="false">IF($A92="","",SUMIFS($H$4:$H$203,$C$4:$C$203,$C92))</f>
        <v/>
      </c>
      <c r="K92" s="38" t="str">
        <f aca="false">IF($A92="","",IFERROR($G92-$J92,""))</f>
        <v/>
      </c>
      <c r="L92" s="32"/>
      <c r="M92" s="32"/>
      <c r="N92" s="32"/>
    </row>
    <row r="93" customFormat="false" ht="15" hidden="false" customHeight="false" outlineLevel="0" collapsed="false">
      <c r="A93" s="32"/>
      <c r="B93" s="33"/>
      <c r="C93" s="32"/>
      <c r="D93" s="37" t="str">
        <f aca="false">IF($C93="","",IFERROR(INDEX(PO!$D$4:$D$203,MATCH($C93,PO!$A$4:$A$203,0)),""))</f>
        <v/>
      </c>
      <c r="E93" s="37" t="str">
        <f aca="false">IF($C93="","",IFERROR(INDEX(PO!$H$4:$H$203,MATCH($C93,PO!$A$4:$A$203,0)),""))</f>
        <v/>
      </c>
      <c r="F93" s="37" t="str">
        <f aca="false">IF($C93="","",IFERROR(INDEX(PO!$I$4:$I$203,MATCH($C93,PO!$A$4:$A$203,0)),""))</f>
        <v/>
      </c>
      <c r="G93" s="38" t="str">
        <f aca="false">IF($C93="","",IFERROR(INDEX(PO!$L$4:$L$203,MATCH($C93,PO!$A$4:$A$203,0)),""))</f>
        <v/>
      </c>
      <c r="H93" s="34"/>
      <c r="I93" s="34"/>
      <c r="J93" s="38" t="str">
        <f aca="false">IF($A93="","",SUMIFS($H$4:$H$203,$C$4:$C$203,$C93))</f>
        <v/>
      </c>
      <c r="K93" s="38" t="str">
        <f aca="false">IF($A93="","",IFERROR($G93-$J93,""))</f>
        <v/>
      </c>
      <c r="L93" s="32"/>
      <c r="M93" s="32"/>
      <c r="N93" s="32"/>
    </row>
    <row r="94" customFormat="false" ht="15" hidden="false" customHeight="false" outlineLevel="0" collapsed="false">
      <c r="A94" s="32"/>
      <c r="B94" s="33"/>
      <c r="C94" s="32"/>
      <c r="D94" s="37" t="str">
        <f aca="false">IF($C94="","",IFERROR(INDEX(PO!$D$4:$D$203,MATCH($C94,PO!$A$4:$A$203,0)),""))</f>
        <v/>
      </c>
      <c r="E94" s="37" t="str">
        <f aca="false">IF($C94="","",IFERROR(INDEX(PO!$H$4:$H$203,MATCH($C94,PO!$A$4:$A$203,0)),""))</f>
        <v/>
      </c>
      <c r="F94" s="37" t="str">
        <f aca="false">IF($C94="","",IFERROR(INDEX(PO!$I$4:$I$203,MATCH($C94,PO!$A$4:$A$203,0)),""))</f>
        <v/>
      </c>
      <c r="G94" s="38" t="str">
        <f aca="false">IF($C94="","",IFERROR(INDEX(PO!$L$4:$L$203,MATCH($C94,PO!$A$4:$A$203,0)),""))</f>
        <v/>
      </c>
      <c r="H94" s="34"/>
      <c r="I94" s="34"/>
      <c r="J94" s="38" t="str">
        <f aca="false">IF($A94="","",SUMIFS($H$4:$H$203,$C$4:$C$203,$C94))</f>
        <v/>
      </c>
      <c r="K94" s="38" t="str">
        <f aca="false">IF($A94="","",IFERROR($G94-$J94,""))</f>
        <v/>
      </c>
      <c r="L94" s="32"/>
      <c r="M94" s="32"/>
      <c r="N94" s="32"/>
    </row>
    <row r="95" customFormat="false" ht="15" hidden="false" customHeight="false" outlineLevel="0" collapsed="false">
      <c r="A95" s="32"/>
      <c r="B95" s="33"/>
      <c r="C95" s="32"/>
      <c r="D95" s="37" t="str">
        <f aca="false">IF($C95="","",IFERROR(INDEX(PO!$D$4:$D$203,MATCH($C95,PO!$A$4:$A$203,0)),""))</f>
        <v/>
      </c>
      <c r="E95" s="37" t="str">
        <f aca="false">IF($C95="","",IFERROR(INDEX(PO!$H$4:$H$203,MATCH($C95,PO!$A$4:$A$203,0)),""))</f>
        <v/>
      </c>
      <c r="F95" s="37" t="str">
        <f aca="false">IF($C95="","",IFERROR(INDEX(PO!$I$4:$I$203,MATCH($C95,PO!$A$4:$A$203,0)),""))</f>
        <v/>
      </c>
      <c r="G95" s="38" t="str">
        <f aca="false">IF($C95="","",IFERROR(INDEX(PO!$L$4:$L$203,MATCH($C95,PO!$A$4:$A$203,0)),""))</f>
        <v/>
      </c>
      <c r="H95" s="34"/>
      <c r="I95" s="34"/>
      <c r="J95" s="38" t="str">
        <f aca="false">IF($A95="","",SUMIFS($H$4:$H$203,$C$4:$C$203,$C95))</f>
        <v/>
      </c>
      <c r="K95" s="38" t="str">
        <f aca="false">IF($A95="","",IFERROR($G95-$J95,""))</f>
        <v/>
      </c>
      <c r="L95" s="32"/>
      <c r="M95" s="32"/>
      <c r="N95" s="32"/>
    </row>
    <row r="96" customFormat="false" ht="15" hidden="false" customHeight="false" outlineLevel="0" collapsed="false">
      <c r="A96" s="32"/>
      <c r="B96" s="33"/>
      <c r="C96" s="32"/>
      <c r="D96" s="37" t="str">
        <f aca="false">IF($C96="","",IFERROR(INDEX(PO!$D$4:$D$203,MATCH($C96,PO!$A$4:$A$203,0)),""))</f>
        <v/>
      </c>
      <c r="E96" s="37" t="str">
        <f aca="false">IF($C96="","",IFERROR(INDEX(PO!$H$4:$H$203,MATCH($C96,PO!$A$4:$A$203,0)),""))</f>
        <v/>
      </c>
      <c r="F96" s="37" t="str">
        <f aca="false">IF($C96="","",IFERROR(INDEX(PO!$I$4:$I$203,MATCH($C96,PO!$A$4:$A$203,0)),""))</f>
        <v/>
      </c>
      <c r="G96" s="38" t="str">
        <f aca="false">IF($C96="","",IFERROR(INDEX(PO!$L$4:$L$203,MATCH($C96,PO!$A$4:$A$203,0)),""))</f>
        <v/>
      </c>
      <c r="H96" s="34"/>
      <c r="I96" s="34"/>
      <c r="J96" s="38" t="str">
        <f aca="false">IF($A96="","",SUMIFS($H$4:$H$203,$C$4:$C$203,$C96))</f>
        <v/>
      </c>
      <c r="K96" s="38" t="str">
        <f aca="false">IF($A96="","",IFERROR($G96-$J96,""))</f>
        <v/>
      </c>
      <c r="L96" s="32"/>
      <c r="M96" s="32"/>
      <c r="N96" s="32"/>
    </row>
    <row r="97" customFormat="false" ht="15" hidden="false" customHeight="false" outlineLevel="0" collapsed="false">
      <c r="A97" s="32"/>
      <c r="B97" s="33"/>
      <c r="C97" s="32"/>
      <c r="D97" s="37" t="str">
        <f aca="false">IF($C97="","",IFERROR(INDEX(PO!$D$4:$D$203,MATCH($C97,PO!$A$4:$A$203,0)),""))</f>
        <v/>
      </c>
      <c r="E97" s="37" t="str">
        <f aca="false">IF($C97="","",IFERROR(INDEX(PO!$H$4:$H$203,MATCH($C97,PO!$A$4:$A$203,0)),""))</f>
        <v/>
      </c>
      <c r="F97" s="37" t="str">
        <f aca="false">IF($C97="","",IFERROR(INDEX(PO!$I$4:$I$203,MATCH($C97,PO!$A$4:$A$203,0)),""))</f>
        <v/>
      </c>
      <c r="G97" s="38" t="str">
        <f aca="false">IF($C97="","",IFERROR(INDEX(PO!$L$4:$L$203,MATCH($C97,PO!$A$4:$A$203,0)),""))</f>
        <v/>
      </c>
      <c r="H97" s="34"/>
      <c r="I97" s="34"/>
      <c r="J97" s="38" t="str">
        <f aca="false">IF($A97="","",SUMIFS($H$4:$H$203,$C$4:$C$203,$C97))</f>
        <v/>
      </c>
      <c r="K97" s="38" t="str">
        <f aca="false">IF($A97="","",IFERROR($G97-$J97,""))</f>
        <v/>
      </c>
      <c r="L97" s="32"/>
      <c r="M97" s="32"/>
      <c r="N97" s="32"/>
    </row>
    <row r="98" customFormat="false" ht="15" hidden="false" customHeight="false" outlineLevel="0" collapsed="false">
      <c r="A98" s="32"/>
      <c r="B98" s="33"/>
      <c r="C98" s="32"/>
      <c r="D98" s="37" t="str">
        <f aca="false">IF($C98="","",IFERROR(INDEX(PO!$D$4:$D$203,MATCH($C98,PO!$A$4:$A$203,0)),""))</f>
        <v/>
      </c>
      <c r="E98" s="37" t="str">
        <f aca="false">IF($C98="","",IFERROR(INDEX(PO!$H$4:$H$203,MATCH($C98,PO!$A$4:$A$203,0)),""))</f>
        <v/>
      </c>
      <c r="F98" s="37" t="str">
        <f aca="false">IF($C98="","",IFERROR(INDEX(PO!$I$4:$I$203,MATCH($C98,PO!$A$4:$A$203,0)),""))</f>
        <v/>
      </c>
      <c r="G98" s="38" t="str">
        <f aca="false">IF($C98="","",IFERROR(INDEX(PO!$L$4:$L$203,MATCH($C98,PO!$A$4:$A$203,0)),""))</f>
        <v/>
      </c>
      <c r="H98" s="34"/>
      <c r="I98" s="34"/>
      <c r="J98" s="38" t="str">
        <f aca="false">IF($A98="","",SUMIFS($H$4:$H$203,$C$4:$C$203,$C98))</f>
        <v/>
      </c>
      <c r="K98" s="38" t="str">
        <f aca="false">IF($A98="","",IFERROR($G98-$J98,""))</f>
        <v/>
      </c>
      <c r="L98" s="32"/>
      <c r="M98" s="32"/>
      <c r="N98" s="32"/>
    </row>
    <row r="99" customFormat="false" ht="15" hidden="false" customHeight="false" outlineLevel="0" collapsed="false">
      <c r="A99" s="32"/>
      <c r="B99" s="33"/>
      <c r="C99" s="32"/>
      <c r="D99" s="37" t="str">
        <f aca="false">IF($C99="","",IFERROR(INDEX(PO!$D$4:$D$203,MATCH($C99,PO!$A$4:$A$203,0)),""))</f>
        <v/>
      </c>
      <c r="E99" s="37" t="str">
        <f aca="false">IF($C99="","",IFERROR(INDEX(PO!$H$4:$H$203,MATCH($C99,PO!$A$4:$A$203,0)),""))</f>
        <v/>
      </c>
      <c r="F99" s="37" t="str">
        <f aca="false">IF($C99="","",IFERROR(INDEX(PO!$I$4:$I$203,MATCH($C99,PO!$A$4:$A$203,0)),""))</f>
        <v/>
      </c>
      <c r="G99" s="38" t="str">
        <f aca="false">IF($C99="","",IFERROR(INDEX(PO!$L$4:$L$203,MATCH($C99,PO!$A$4:$A$203,0)),""))</f>
        <v/>
      </c>
      <c r="H99" s="34"/>
      <c r="I99" s="34"/>
      <c r="J99" s="38" t="str">
        <f aca="false">IF($A99="","",SUMIFS($H$4:$H$203,$C$4:$C$203,$C99))</f>
        <v/>
      </c>
      <c r="K99" s="38" t="str">
        <f aca="false">IF($A99="","",IFERROR($G99-$J99,""))</f>
        <v/>
      </c>
      <c r="L99" s="32"/>
      <c r="M99" s="32"/>
      <c r="N99" s="32"/>
    </row>
    <row r="100" customFormat="false" ht="15" hidden="false" customHeight="false" outlineLevel="0" collapsed="false">
      <c r="A100" s="32"/>
      <c r="B100" s="33"/>
      <c r="C100" s="32"/>
      <c r="D100" s="37" t="str">
        <f aca="false">IF($C100="","",IFERROR(INDEX(PO!$D$4:$D$203,MATCH($C100,PO!$A$4:$A$203,0)),""))</f>
        <v/>
      </c>
      <c r="E100" s="37" t="str">
        <f aca="false">IF($C100="","",IFERROR(INDEX(PO!$H$4:$H$203,MATCH($C100,PO!$A$4:$A$203,0)),""))</f>
        <v/>
      </c>
      <c r="F100" s="37" t="str">
        <f aca="false">IF($C100="","",IFERROR(INDEX(PO!$I$4:$I$203,MATCH($C100,PO!$A$4:$A$203,0)),""))</f>
        <v/>
      </c>
      <c r="G100" s="38" t="str">
        <f aca="false">IF($C100="","",IFERROR(INDEX(PO!$L$4:$L$203,MATCH($C100,PO!$A$4:$A$203,0)),""))</f>
        <v/>
      </c>
      <c r="H100" s="34"/>
      <c r="I100" s="34"/>
      <c r="J100" s="38" t="str">
        <f aca="false">IF($A100="","",SUMIFS($H$4:$H$203,$C$4:$C$203,$C100))</f>
        <v/>
      </c>
      <c r="K100" s="38" t="str">
        <f aca="false">IF($A100="","",IFERROR($G100-$J100,""))</f>
        <v/>
      </c>
      <c r="L100" s="32"/>
      <c r="M100" s="32"/>
      <c r="N100" s="32"/>
    </row>
    <row r="101" customFormat="false" ht="15" hidden="false" customHeight="false" outlineLevel="0" collapsed="false">
      <c r="A101" s="32"/>
      <c r="B101" s="33"/>
      <c r="C101" s="32"/>
      <c r="D101" s="37" t="str">
        <f aca="false">IF($C101="","",IFERROR(INDEX(PO!$D$4:$D$203,MATCH($C101,PO!$A$4:$A$203,0)),""))</f>
        <v/>
      </c>
      <c r="E101" s="37" t="str">
        <f aca="false">IF($C101="","",IFERROR(INDEX(PO!$H$4:$H$203,MATCH($C101,PO!$A$4:$A$203,0)),""))</f>
        <v/>
      </c>
      <c r="F101" s="37" t="str">
        <f aca="false">IF($C101="","",IFERROR(INDEX(PO!$I$4:$I$203,MATCH($C101,PO!$A$4:$A$203,0)),""))</f>
        <v/>
      </c>
      <c r="G101" s="38" t="str">
        <f aca="false">IF($C101="","",IFERROR(INDEX(PO!$L$4:$L$203,MATCH($C101,PO!$A$4:$A$203,0)),""))</f>
        <v/>
      </c>
      <c r="H101" s="34"/>
      <c r="I101" s="34"/>
      <c r="J101" s="38" t="str">
        <f aca="false">IF($A101="","",SUMIFS($H$4:$H$203,$C$4:$C$203,$C101))</f>
        <v/>
      </c>
      <c r="K101" s="38" t="str">
        <f aca="false">IF($A101="","",IFERROR($G101-$J101,""))</f>
        <v/>
      </c>
      <c r="L101" s="32"/>
      <c r="M101" s="32"/>
      <c r="N101" s="32"/>
    </row>
    <row r="102" customFormat="false" ht="15" hidden="false" customHeight="false" outlineLevel="0" collapsed="false">
      <c r="A102" s="32"/>
      <c r="B102" s="33"/>
      <c r="C102" s="32"/>
      <c r="D102" s="37" t="str">
        <f aca="false">IF($C102="","",IFERROR(INDEX(PO!$D$4:$D$203,MATCH($C102,PO!$A$4:$A$203,0)),""))</f>
        <v/>
      </c>
      <c r="E102" s="37" t="str">
        <f aca="false">IF($C102="","",IFERROR(INDEX(PO!$H$4:$H$203,MATCH($C102,PO!$A$4:$A$203,0)),""))</f>
        <v/>
      </c>
      <c r="F102" s="37" t="str">
        <f aca="false">IF($C102="","",IFERROR(INDEX(PO!$I$4:$I$203,MATCH($C102,PO!$A$4:$A$203,0)),""))</f>
        <v/>
      </c>
      <c r="G102" s="38" t="str">
        <f aca="false">IF($C102="","",IFERROR(INDEX(PO!$L$4:$L$203,MATCH($C102,PO!$A$4:$A$203,0)),""))</f>
        <v/>
      </c>
      <c r="H102" s="34"/>
      <c r="I102" s="34"/>
      <c r="J102" s="38" t="str">
        <f aca="false">IF($A102="","",SUMIFS($H$4:$H$203,$C$4:$C$203,$C102))</f>
        <v/>
      </c>
      <c r="K102" s="38" t="str">
        <f aca="false">IF($A102="","",IFERROR($G102-$J102,""))</f>
        <v/>
      </c>
      <c r="L102" s="32"/>
      <c r="M102" s="32"/>
      <c r="N102" s="32"/>
    </row>
    <row r="103" customFormat="false" ht="15" hidden="false" customHeight="false" outlineLevel="0" collapsed="false">
      <c r="A103" s="32"/>
      <c r="B103" s="33"/>
      <c r="C103" s="32"/>
      <c r="D103" s="37" t="str">
        <f aca="false">IF($C103="","",IFERROR(INDEX(PO!$D$4:$D$203,MATCH($C103,PO!$A$4:$A$203,0)),""))</f>
        <v/>
      </c>
      <c r="E103" s="37" t="str">
        <f aca="false">IF($C103="","",IFERROR(INDEX(PO!$H$4:$H$203,MATCH($C103,PO!$A$4:$A$203,0)),""))</f>
        <v/>
      </c>
      <c r="F103" s="37" t="str">
        <f aca="false">IF($C103="","",IFERROR(INDEX(PO!$I$4:$I$203,MATCH($C103,PO!$A$4:$A$203,0)),""))</f>
        <v/>
      </c>
      <c r="G103" s="38" t="str">
        <f aca="false">IF($C103="","",IFERROR(INDEX(PO!$L$4:$L$203,MATCH($C103,PO!$A$4:$A$203,0)),""))</f>
        <v/>
      </c>
      <c r="H103" s="34"/>
      <c r="I103" s="34"/>
      <c r="J103" s="38" t="str">
        <f aca="false">IF($A103="","",SUMIFS($H$4:$H$203,$C$4:$C$203,$C103))</f>
        <v/>
      </c>
      <c r="K103" s="38" t="str">
        <f aca="false">IF($A103="","",IFERROR($G103-$J103,""))</f>
        <v/>
      </c>
      <c r="L103" s="32"/>
      <c r="M103" s="32"/>
      <c r="N103" s="32"/>
    </row>
    <row r="104" customFormat="false" ht="15" hidden="false" customHeight="false" outlineLevel="0" collapsed="false">
      <c r="A104" s="32"/>
      <c r="B104" s="33"/>
      <c r="C104" s="32"/>
      <c r="D104" s="37" t="str">
        <f aca="false">IF($C104="","",IFERROR(INDEX(PO!$D$4:$D$203,MATCH($C104,PO!$A$4:$A$203,0)),""))</f>
        <v/>
      </c>
      <c r="E104" s="37" t="str">
        <f aca="false">IF($C104="","",IFERROR(INDEX(PO!$H$4:$H$203,MATCH($C104,PO!$A$4:$A$203,0)),""))</f>
        <v/>
      </c>
      <c r="F104" s="37" t="str">
        <f aca="false">IF($C104="","",IFERROR(INDEX(PO!$I$4:$I$203,MATCH($C104,PO!$A$4:$A$203,0)),""))</f>
        <v/>
      </c>
      <c r="G104" s="38" t="str">
        <f aca="false">IF($C104="","",IFERROR(INDEX(PO!$L$4:$L$203,MATCH($C104,PO!$A$4:$A$203,0)),""))</f>
        <v/>
      </c>
      <c r="H104" s="34"/>
      <c r="I104" s="34"/>
      <c r="J104" s="38" t="str">
        <f aca="false">IF($A104="","",SUMIFS($H$4:$H$203,$C$4:$C$203,$C104))</f>
        <v/>
      </c>
      <c r="K104" s="38" t="str">
        <f aca="false">IF($A104="","",IFERROR($G104-$J104,""))</f>
        <v/>
      </c>
      <c r="L104" s="32"/>
      <c r="M104" s="32"/>
      <c r="N104" s="32"/>
    </row>
    <row r="105" customFormat="false" ht="15" hidden="false" customHeight="false" outlineLevel="0" collapsed="false">
      <c r="A105" s="32"/>
      <c r="B105" s="33"/>
      <c r="C105" s="32"/>
      <c r="D105" s="37" t="str">
        <f aca="false">IF($C105="","",IFERROR(INDEX(PO!$D$4:$D$203,MATCH($C105,PO!$A$4:$A$203,0)),""))</f>
        <v/>
      </c>
      <c r="E105" s="37" t="str">
        <f aca="false">IF($C105="","",IFERROR(INDEX(PO!$H$4:$H$203,MATCH($C105,PO!$A$4:$A$203,0)),""))</f>
        <v/>
      </c>
      <c r="F105" s="37" t="str">
        <f aca="false">IF($C105="","",IFERROR(INDEX(PO!$I$4:$I$203,MATCH($C105,PO!$A$4:$A$203,0)),""))</f>
        <v/>
      </c>
      <c r="G105" s="38" t="str">
        <f aca="false">IF($C105="","",IFERROR(INDEX(PO!$L$4:$L$203,MATCH($C105,PO!$A$4:$A$203,0)),""))</f>
        <v/>
      </c>
      <c r="H105" s="34"/>
      <c r="I105" s="34"/>
      <c r="J105" s="38" t="str">
        <f aca="false">IF($A105="","",SUMIFS($H$4:$H$203,$C$4:$C$203,$C105))</f>
        <v/>
      </c>
      <c r="K105" s="38" t="str">
        <f aca="false">IF($A105="","",IFERROR($G105-$J105,""))</f>
        <v/>
      </c>
      <c r="L105" s="32"/>
      <c r="M105" s="32"/>
      <c r="N105" s="32"/>
    </row>
    <row r="106" customFormat="false" ht="15" hidden="false" customHeight="false" outlineLevel="0" collapsed="false">
      <c r="A106" s="32"/>
      <c r="B106" s="33"/>
      <c r="C106" s="32"/>
      <c r="D106" s="37" t="str">
        <f aca="false">IF($C106="","",IFERROR(INDEX(PO!$D$4:$D$203,MATCH($C106,PO!$A$4:$A$203,0)),""))</f>
        <v/>
      </c>
      <c r="E106" s="37" t="str">
        <f aca="false">IF($C106="","",IFERROR(INDEX(PO!$H$4:$H$203,MATCH($C106,PO!$A$4:$A$203,0)),""))</f>
        <v/>
      </c>
      <c r="F106" s="37" t="str">
        <f aca="false">IF($C106="","",IFERROR(INDEX(PO!$I$4:$I$203,MATCH($C106,PO!$A$4:$A$203,0)),""))</f>
        <v/>
      </c>
      <c r="G106" s="38" t="str">
        <f aca="false">IF($C106="","",IFERROR(INDEX(PO!$L$4:$L$203,MATCH($C106,PO!$A$4:$A$203,0)),""))</f>
        <v/>
      </c>
      <c r="H106" s="34"/>
      <c r="I106" s="34"/>
      <c r="J106" s="38" t="str">
        <f aca="false">IF($A106="","",SUMIFS($H$4:$H$203,$C$4:$C$203,$C106))</f>
        <v/>
      </c>
      <c r="K106" s="38" t="str">
        <f aca="false">IF($A106="","",IFERROR($G106-$J106,""))</f>
        <v/>
      </c>
      <c r="L106" s="32"/>
      <c r="M106" s="32"/>
      <c r="N106" s="32"/>
    </row>
    <row r="107" customFormat="false" ht="15" hidden="false" customHeight="false" outlineLevel="0" collapsed="false">
      <c r="A107" s="32"/>
      <c r="B107" s="33"/>
      <c r="C107" s="32"/>
      <c r="D107" s="37" t="str">
        <f aca="false">IF($C107="","",IFERROR(INDEX(PO!$D$4:$D$203,MATCH($C107,PO!$A$4:$A$203,0)),""))</f>
        <v/>
      </c>
      <c r="E107" s="37" t="str">
        <f aca="false">IF($C107="","",IFERROR(INDEX(PO!$H$4:$H$203,MATCH($C107,PO!$A$4:$A$203,0)),""))</f>
        <v/>
      </c>
      <c r="F107" s="37" t="str">
        <f aca="false">IF($C107="","",IFERROR(INDEX(PO!$I$4:$I$203,MATCH($C107,PO!$A$4:$A$203,0)),""))</f>
        <v/>
      </c>
      <c r="G107" s="38" t="str">
        <f aca="false">IF($C107="","",IFERROR(INDEX(PO!$L$4:$L$203,MATCH($C107,PO!$A$4:$A$203,0)),""))</f>
        <v/>
      </c>
      <c r="H107" s="34"/>
      <c r="I107" s="34"/>
      <c r="J107" s="38" t="str">
        <f aca="false">IF($A107="","",SUMIFS($H$4:$H$203,$C$4:$C$203,$C107))</f>
        <v/>
      </c>
      <c r="K107" s="38" t="str">
        <f aca="false">IF($A107="","",IFERROR($G107-$J107,""))</f>
        <v/>
      </c>
      <c r="L107" s="32"/>
      <c r="M107" s="32"/>
      <c r="N107" s="32"/>
    </row>
    <row r="108" customFormat="false" ht="15" hidden="false" customHeight="false" outlineLevel="0" collapsed="false">
      <c r="A108" s="32"/>
      <c r="B108" s="33"/>
      <c r="C108" s="32"/>
      <c r="D108" s="37" t="str">
        <f aca="false">IF($C108="","",IFERROR(INDEX(PO!$D$4:$D$203,MATCH($C108,PO!$A$4:$A$203,0)),""))</f>
        <v/>
      </c>
      <c r="E108" s="37" t="str">
        <f aca="false">IF($C108="","",IFERROR(INDEX(PO!$H$4:$H$203,MATCH($C108,PO!$A$4:$A$203,0)),""))</f>
        <v/>
      </c>
      <c r="F108" s="37" t="str">
        <f aca="false">IF($C108="","",IFERROR(INDEX(PO!$I$4:$I$203,MATCH($C108,PO!$A$4:$A$203,0)),""))</f>
        <v/>
      </c>
      <c r="G108" s="38" t="str">
        <f aca="false">IF($C108="","",IFERROR(INDEX(PO!$L$4:$L$203,MATCH($C108,PO!$A$4:$A$203,0)),""))</f>
        <v/>
      </c>
      <c r="H108" s="34"/>
      <c r="I108" s="34"/>
      <c r="J108" s="38" t="str">
        <f aca="false">IF($A108="","",SUMIFS($H$4:$H$203,$C$4:$C$203,$C108))</f>
        <v/>
      </c>
      <c r="K108" s="38" t="str">
        <f aca="false">IF($A108="","",IFERROR($G108-$J108,""))</f>
        <v/>
      </c>
      <c r="L108" s="32"/>
      <c r="M108" s="32"/>
      <c r="N108" s="32"/>
    </row>
    <row r="109" customFormat="false" ht="15" hidden="false" customHeight="false" outlineLevel="0" collapsed="false">
      <c r="A109" s="32"/>
      <c r="B109" s="33"/>
      <c r="C109" s="32"/>
      <c r="D109" s="37" t="str">
        <f aca="false">IF($C109="","",IFERROR(INDEX(PO!$D$4:$D$203,MATCH($C109,PO!$A$4:$A$203,0)),""))</f>
        <v/>
      </c>
      <c r="E109" s="37" t="str">
        <f aca="false">IF($C109="","",IFERROR(INDEX(PO!$H$4:$H$203,MATCH($C109,PO!$A$4:$A$203,0)),""))</f>
        <v/>
      </c>
      <c r="F109" s="37" t="str">
        <f aca="false">IF($C109="","",IFERROR(INDEX(PO!$I$4:$I$203,MATCH($C109,PO!$A$4:$A$203,0)),""))</f>
        <v/>
      </c>
      <c r="G109" s="38" t="str">
        <f aca="false">IF($C109="","",IFERROR(INDEX(PO!$L$4:$L$203,MATCH($C109,PO!$A$4:$A$203,0)),""))</f>
        <v/>
      </c>
      <c r="H109" s="34"/>
      <c r="I109" s="34"/>
      <c r="J109" s="38" t="str">
        <f aca="false">IF($A109="","",SUMIFS($H$4:$H$203,$C$4:$C$203,$C109))</f>
        <v/>
      </c>
      <c r="K109" s="38" t="str">
        <f aca="false">IF($A109="","",IFERROR($G109-$J109,""))</f>
        <v/>
      </c>
      <c r="L109" s="32"/>
      <c r="M109" s="32"/>
      <c r="N109" s="32"/>
    </row>
    <row r="110" customFormat="false" ht="15" hidden="false" customHeight="false" outlineLevel="0" collapsed="false">
      <c r="A110" s="32"/>
      <c r="B110" s="33"/>
      <c r="C110" s="32"/>
      <c r="D110" s="37" t="str">
        <f aca="false">IF($C110="","",IFERROR(INDEX(PO!$D$4:$D$203,MATCH($C110,PO!$A$4:$A$203,0)),""))</f>
        <v/>
      </c>
      <c r="E110" s="37" t="str">
        <f aca="false">IF($C110="","",IFERROR(INDEX(PO!$H$4:$H$203,MATCH($C110,PO!$A$4:$A$203,0)),""))</f>
        <v/>
      </c>
      <c r="F110" s="37" t="str">
        <f aca="false">IF($C110="","",IFERROR(INDEX(PO!$I$4:$I$203,MATCH($C110,PO!$A$4:$A$203,0)),""))</f>
        <v/>
      </c>
      <c r="G110" s="38" t="str">
        <f aca="false">IF($C110="","",IFERROR(INDEX(PO!$L$4:$L$203,MATCH($C110,PO!$A$4:$A$203,0)),""))</f>
        <v/>
      </c>
      <c r="H110" s="34"/>
      <c r="I110" s="34"/>
      <c r="J110" s="38" t="str">
        <f aca="false">IF($A110="","",SUMIFS($H$4:$H$203,$C$4:$C$203,$C110))</f>
        <v/>
      </c>
      <c r="K110" s="38" t="str">
        <f aca="false">IF($A110="","",IFERROR($G110-$J110,""))</f>
        <v/>
      </c>
      <c r="L110" s="32"/>
      <c r="M110" s="32"/>
      <c r="N110" s="32"/>
    </row>
    <row r="111" customFormat="false" ht="15" hidden="false" customHeight="false" outlineLevel="0" collapsed="false">
      <c r="A111" s="32"/>
      <c r="B111" s="33"/>
      <c r="C111" s="32"/>
      <c r="D111" s="37" t="str">
        <f aca="false">IF($C111="","",IFERROR(INDEX(PO!$D$4:$D$203,MATCH($C111,PO!$A$4:$A$203,0)),""))</f>
        <v/>
      </c>
      <c r="E111" s="37" t="str">
        <f aca="false">IF($C111="","",IFERROR(INDEX(PO!$H$4:$H$203,MATCH($C111,PO!$A$4:$A$203,0)),""))</f>
        <v/>
      </c>
      <c r="F111" s="37" t="str">
        <f aca="false">IF($C111="","",IFERROR(INDEX(PO!$I$4:$I$203,MATCH($C111,PO!$A$4:$A$203,0)),""))</f>
        <v/>
      </c>
      <c r="G111" s="38" t="str">
        <f aca="false">IF($C111="","",IFERROR(INDEX(PO!$L$4:$L$203,MATCH($C111,PO!$A$4:$A$203,0)),""))</f>
        <v/>
      </c>
      <c r="H111" s="34"/>
      <c r="I111" s="34"/>
      <c r="J111" s="38" t="str">
        <f aca="false">IF($A111="","",SUMIFS($H$4:$H$203,$C$4:$C$203,$C111))</f>
        <v/>
      </c>
      <c r="K111" s="38" t="str">
        <f aca="false">IF($A111="","",IFERROR($G111-$J111,""))</f>
        <v/>
      </c>
      <c r="L111" s="32"/>
      <c r="M111" s="32"/>
      <c r="N111" s="32"/>
    </row>
    <row r="112" customFormat="false" ht="15" hidden="false" customHeight="false" outlineLevel="0" collapsed="false">
      <c r="A112" s="32"/>
      <c r="B112" s="33"/>
      <c r="C112" s="32"/>
      <c r="D112" s="37" t="str">
        <f aca="false">IF($C112="","",IFERROR(INDEX(PO!$D$4:$D$203,MATCH($C112,PO!$A$4:$A$203,0)),""))</f>
        <v/>
      </c>
      <c r="E112" s="37" t="str">
        <f aca="false">IF($C112="","",IFERROR(INDEX(PO!$H$4:$H$203,MATCH($C112,PO!$A$4:$A$203,0)),""))</f>
        <v/>
      </c>
      <c r="F112" s="37" t="str">
        <f aca="false">IF($C112="","",IFERROR(INDEX(PO!$I$4:$I$203,MATCH($C112,PO!$A$4:$A$203,0)),""))</f>
        <v/>
      </c>
      <c r="G112" s="38" t="str">
        <f aca="false">IF($C112="","",IFERROR(INDEX(PO!$L$4:$L$203,MATCH($C112,PO!$A$4:$A$203,0)),""))</f>
        <v/>
      </c>
      <c r="H112" s="34"/>
      <c r="I112" s="34"/>
      <c r="J112" s="38" t="str">
        <f aca="false">IF($A112="","",SUMIFS($H$4:$H$203,$C$4:$C$203,$C112))</f>
        <v/>
      </c>
      <c r="K112" s="38" t="str">
        <f aca="false">IF($A112="","",IFERROR($G112-$J112,""))</f>
        <v/>
      </c>
      <c r="L112" s="32"/>
      <c r="M112" s="32"/>
      <c r="N112" s="32"/>
    </row>
    <row r="113" customFormat="false" ht="15" hidden="false" customHeight="false" outlineLevel="0" collapsed="false">
      <c r="A113" s="32"/>
      <c r="B113" s="33"/>
      <c r="C113" s="32"/>
      <c r="D113" s="37" t="str">
        <f aca="false">IF($C113="","",IFERROR(INDEX(PO!$D$4:$D$203,MATCH($C113,PO!$A$4:$A$203,0)),""))</f>
        <v/>
      </c>
      <c r="E113" s="37" t="str">
        <f aca="false">IF($C113="","",IFERROR(INDEX(PO!$H$4:$H$203,MATCH($C113,PO!$A$4:$A$203,0)),""))</f>
        <v/>
      </c>
      <c r="F113" s="37" t="str">
        <f aca="false">IF($C113="","",IFERROR(INDEX(PO!$I$4:$I$203,MATCH($C113,PO!$A$4:$A$203,0)),""))</f>
        <v/>
      </c>
      <c r="G113" s="38" t="str">
        <f aca="false">IF($C113="","",IFERROR(INDEX(PO!$L$4:$L$203,MATCH($C113,PO!$A$4:$A$203,0)),""))</f>
        <v/>
      </c>
      <c r="H113" s="34"/>
      <c r="I113" s="34"/>
      <c r="J113" s="38" t="str">
        <f aca="false">IF($A113="","",SUMIFS($H$4:$H$203,$C$4:$C$203,$C113))</f>
        <v/>
      </c>
      <c r="K113" s="38" t="str">
        <f aca="false">IF($A113="","",IFERROR($G113-$J113,""))</f>
        <v/>
      </c>
      <c r="L113" s="32"/>
      <c r="M113" s="32"/>
      <c r="N113" s="32"/>
    </row>
    <row r="114" customFormat="false" ht="15" hidden="false" customHeight="false" outlineLevel="0" collapsed="false">
      <c r="A114" s="32"/>
      <c r="B114" s="33"/>
      <c r="C114" s="32"/>
      <c r="D114" s="37" t="str">
        <f aca="false">IF($C114="","",IFERROR(INDEX(PO!$D$4:$D$203,MATCH($C114,PO!$A$4:$A$203,0)),""))</f>
        <v/>
      </c>
      <c r="E114" s="37" t="str">
        <f aca="false">IF($C114="","",IFERROR(INDEX(PO!$H$4:$H$203,MATCH($C114,PO!$A$4:$A$203,0)),""))</f>
        <v/>
      </c>
      <c r="F114" s="37" t="str">
        <f aca="false">IF($C114="","",IFERROR(INDEX(PO!$I$4:$I$203,MATCH($C114,PO!$A$4:$A$203,0)),""))</f>
        <v/>
      </c>
      <c r="G114" s="38" t="str">
        <f aca="false">IF($C114="","",IFERROR(INDEX(PO!$L$4:$L$203,MATCH($C114,PO!$A$4:$A$203,0)),""))</f>
        <v/>
      </c>
      <c r="H114" s="34"/>
      <c r="I114" s="34"/>
      <c r="J114" s="38" t="str">
        <f aca="false">IF($A114="","",SUMIFS($H$4:$H$203,$C$4:$C$203,$C114))</f>
        <v/>
      </c>
      <c r="K114" s="38" t="str">
        <f aca="false">IF($A114="","",IFERROR($G114-$J114,""))</f>
        <v/>
      </c>
      <c r="L114" s="32"/>
      <c r="M114" s="32"/>
      <c r="N114" s="32"/>
    </row>
    <row r="115" customFormat="false" ht="15" hidden="false" customHeight="false" outlineLevel="0" collapsed="false">
      <c r="A115" s="32"/>
      <c r="B115" s="33"/>
      <c r="C115" s="32"/>
      <c r="D115" s="37" t="str">
        <f aca="false">IF($C115="","",IFERROR(INDEX(PO!$D$4:$D$203,MATCH($C115,PO!$A$4:$A$203,0)),""))</f>
        <v/>
      </c>
      <c r="E115" s="37" t="str">
        <f aca="false">IF($C115="","",IFERROR(INDEX(PO!$H$4:$H$203,MATCH($C115,PO!$A$4:$A$203,0)),""))</f>
        <v/>
      </c>
      <c r="F115" s="37" t="str">
        <f aca="false">IF($C115="","",IFERROR(INDEX(PO!$I$4:$I$203,MATCH($C115,PO!$A$4:$A$203,0)),""))</f>
        <v/>
      </c>
      <c r="G115" s="38" t="str">
        <f aca="false">IF($C115="","",IFERROR(INDEX(PO!$L$4:$L$203,MATCH($C115,PO!$A$4:$A$203,0)),""))</f>
        <v/>
      </c>
      <c r="H115" s="34"/>
      <c r="I115" s="34"/>
      <c r="J115" s="38" t="str">
        <f aca="false">IF($A115="","",SUMIFS($H$4:$H$203,$C$4:$C$203,$C115))</f>
        <v/>
      </c>
      <c r="K115" s="38" t="str">
        <f aca="false">IF($A115="","",IFERROR($G115-$J115,""))</f>
        <v/>
      </c>
      <c r="L115" s="32"/>
      <c r="M115" s="32"/>
      <c r="N115" s="32"/>
    </row>
    <row r="116" customFormat="false" ht="15" hidden="false" customHeight="false" outlineLevel="0" collapsed="false">
      <c r="A116" s="32"/>
      <c r="B116" s="33"/>
      <c r="C116" s="32"/>
      <c r="D116" s="37" t="str">
        <f aca="false">IF($C116="","",IFERROR(INDEX(PO!$D$4:$D$203,MATCH($C116,PO!$A$4:$A$203,0)),""))</f>
        <v/>
      </c>
      <c r="E116" s="37" t="str">
        <f aca="false">IF($C116="","",IFERROR(INDEX(PO!$H$4:$H$203,MATCH($C116,PO!$A$4:$A$203,0)),""))</f>
        <v/>
      </c>
      <c r="F116" s="37" t="str">
        <f aca="false">IF($C116="","",IFERROR(INDEX(PO!$I$4:$I$203,MATCH($C116,PO!$A$4:$A$203,0)),""))</f>
        <v/>
      </c>
      <c r="G116" s="38" t="str">
        <f aca="false">IF($C116="","",IFERROR(INDEX(PO!$L$4:$L$203,MATCH($C116,PO!$A$4:$A$203,0)),""))</f>
        <v/>
      </c>
      <c r="H116" s="34"/>
      <c r="I116" s="34"/>
      <c r="J116" s="38" t="str">
        <f aca="false">IF($A116="","",SUMIFS($H$4:$H$203,$C$4:$C$203,$C116))</f>
        <v/>
      </c>
      <c r="K116" s="38" t="str">
        <f aca="false">IF($A116="","",IFERROR($G116-$J116,""))</f>
        <v/>
      </c>
      <c r="L116" s="32"/>
      <c r="M116" s="32"/>
      <c r="N116" s="32"/>
    </row>
    <row r="117" customFormat="false" ht="15" hidden="false" customHeight="false" outlineLevel="0" collapsed="false">
      <c r="A117" s="32"/>
      <c r="B117" s="33"/>
      <c r="C117" s="32"/>
      <c r="D117" s="37" t="str">
        <f aca="false">IF($C117="","",IFERROR(INDEX(PO!$D$4:$D$203,MATCH($C117,PO!$A$4:$A$203,0)),""))</f>
        <v/>
      </c>
      <c r="E117" s="37" t="str">
        <f aca="false">IF($C117="","",IFERROR(INDEX(PO!$H$4:$H$203,MATCH($C117,PO!$A$4:$A$203,0)),""))</f>
        <v/>
      </c>
      <c r="F117" s="37" t="str">
        <f aca="false">IF($C117="","",IFERROR(INDEX(PO!$I$4:$I$203,MATCH($C117,PO!$A$4:$A$203,0)),""))</f>
        <v/>
      </c>
      <c r="G117" s="38" t="str">
        <f aca="false">IF($C117="","",IFERROR(INDEX(PO!$L$4:$L$203,MATCH($C117,PO!$A$4:$A$203,0)),""))</f>
        <v/>
      </c>
      <c r="H117" s="34"/>
      <c r="I117" s="34"/>
      <c r="J117" s="38" t="str">
        <f aca="false">IF($A117="","",SUMIFS($H$4:$H$203,$C$4:$C$203,$C117))</f>
        <v/>
      </c>
      <c r="K117" s="38" t="str">
        <f aca="false">IF($A117="","",IFERROR($G117-$J117,""))</f>
        <v/>
      </c>
      <c r="L117" s="32"/>
      <c r="M117" s="32"/>
      <c r="N117" s="32"/>
    </row>
    <row r="118" customFormat="false" ht="15" hidden="false" customHeight="false" outlineLevel="0" collapsed="false">
      <c r="A118" s="32"/>
      <c r="B118" s="33"/>
      <c r="C118" s="32"/>
      <c r="D118" s="37" t="str">
        <f aca="false">IF($C118="","",IFERROR(INDEX(PO!$D$4:$D$203,MATCH($C118,PO!$A$4:$A$203,0)),""))</f>
        <v/>
      </c>
      <c r="E118" s="37" t="str">
        <f aca="false">IF($C118="","",IFERROR(INDEX(PO!$H$4:$H$203,MATCH($C118,PO!$A$4:$A$203,0)),""))</f>
        <v/>
      </c>
      <c r="F118" s="37" t="str">
        <f aca="false">IF($C118="","",IFERROR(INDEX(PO!$I$4:$I$203,MATCH($C118,PO!$A$4:$A$203,0)),""))</f>
        <v/>
      </c>
      <c r="G118" s="38" t="str">
        <f aca="false">IF($C118="","",IFERROR(INDEX(PO!$L$4:$L$203,MATCH($C118,PO!$A$4:$A$203,0)),""))</f>
        <v/>
      </c>
      <c r="H118" s="34"/>
      <c r="I118" s="34"/>
      <c r="J118" s="38" t="str">
        <f aca="false">IF($A118="","",SUMIFS($H$4:$H$203,$C$4:$C$203,$C118))</f>
        <v/>
      </c>
      <c r="K118" s="38" t="str">
        <f aca="false">IF($A118="","",IFERROR($G118-$J118,""))</f>
        <v/>
      </c>
      <c r="L118" s="32"/>
      <c r="M118" s="32"/>
      <c r="N118" s="32"/>
    </row>
    <row r="119" customFormat="false" ht="15" hidden="false" customHeight="false" outlineLevel="0" collapsed="false">
      <c r="A119" s="32"/>
      <c r="B119" s="33"/>
      <c r="C119" s="32"/>
      <c r="D119" s="37" t="str">
        <f aca="false">IF($C119="","",IFERROR(INDEX(PO!$D$4:$D$203,MATCH($C119,PO!$A$4:$A$203,0)),""))</f>
        <v/>
      </c>
      <c r="E119" s="37" t="str">
        <f aca="false">IF($C119="","",IFERROR(INDEX(PO!$H$4:$H$203,MATCH($C119,PO!$A$4:$A$203,0)),""))</f>
        <v/>
      </c>
      <c r="F119" s="37" t="str">
        <f aca="false">IF($C119="","",IFERROR(INDEX(PO!$I$4:$I$203,MATCH($C119,PO!$A$4:$A$203,0)),""))</f>
        <v/>
      </c>
      <c r="G119" s="38" t="str">
        <f aca="false">IF($C119="","",IFERROR(INDEX(PO!$L$4:$L$203,MATCH($C119,PO!$A$4:$A$203,0)),""))</f>
        <v/>
      </c>
      <c r="H119" s="34"/>
      <c r="I119" s="34"/>
      <c r="J119" s="38" t="str">
        <f aca="false">IF($A119="","",SUMIFS($H$4:$H$203,$C$4:$C$203,$C119))</f>
        <v/>
      </c>
      <c r="K119" s="38" t="str">
        <f aca="false">IF($A119="","",IFERROR($G119-$J119,""))</f>
        <v/>
      </c>
      <c r="L119" s="32"/>
      <c r="M119" s="32"/>
      <c r="N119" s="32"/>
    </row>
    <row r="120" customFormat="false" ht="15" hidden="false" customHeight="false" outlineLevel="0" collapsed="false">
      <c r="A120" s="32"/>
      <c r="B120" s="33"/>
      <c r="C120" s="32"/>
      <c r="D120" s="37" t="str">
        <f aca="false">IF($C120="","",IFERROR(INDEX(PO!$D$4:$D$203,MATCH($C120,PO!$A$4:$A$203,0)),""))</f>
        <v/>
      </c>
      <c r="E120" s="37" t="str">
        <f aca="false">IF($C120="","",IFERROR(INDEX(PO!$H$4:$H$203,MATCH($C120,PO!$A$4:$A$203,0)),""))</f>
        <v/>
      </c>
      <c r="F120" s="37" t="str">
        <f aca="false">IF($C120="","",IFERROR(INDEX(PO!$I$4:$I$203,MATCH($C120,PO!$A$4:$A$203,0)),""))</f>
        <v/>
      </c>
      <c r="G120" s="38" t="str">
        <f aca="false">IF($C120="","",IFERROR(INDEX(PO!$L$4:$L$203,MATCH($C120,PO!$A$4:$A$203,0)),""))</f>
        <v/>
      </c>
      <c r="H120" s="34"/>
      <c r="I120" s="34"/>
      <c r="J120" s="38" t="str">
        <f aca="false">IF($A120="","",SUMIFS($H$4:$H$203,$C$4:$C$203,$C120))</f>
        <v/>
      </c>
      <c r="K120" s="38" t="str">
        <f aca="false">IF($A120="","",IFERROR($G120-$J120,""))</f>
        <v/>
      </c>
      <c r="L120" s="32"/>
      <c r="M120" s="32"/>
      <c r="N120" s="32"/>
    </row>
    <row r="121" customFormat="false" ht="15" hidden="false" customHeight="false" outlineLevel="0" collapsed="false">
      <c r="A121" s="32"/>
      <c r="B121" s="33"/>
      <c r="C121" s="32"/>
      <c r="D121" s="37" t="str">
        <f aca="false">IF($C121="","",IFERROR(INDEX(PO!$D$4:$D$203,MATCH($C121,PO!$A$4:$A$203,0)),""))</f>
        <v/>
      </c>
      <c r="E121" s="37" t="str">
        <f aca="false">IF($C121="","",IFERROR(INDEX(PO!$H$4:$H$203,MATCH($C121,PO!$A$4:$A$203,0)),""))</f>
        <v/>
      </c>
      <c r="F121" s="37" t="str">
        <f aca="false">IF($C121="","",IFERROR(INDEX(PO!$I$4:$I$203,MATCH($C121,PO!$A$4:$A$203,0)),""))</f>
        <v/>
      </c>
      <c r="G121" s="38" t="str">
        <f aca="false">IF($C121="","",IFERROR(INDEX(PO!$L$4:$L$203,MATCH($C121,PO!$A$4:$A$203,0)),""))</f>
        <v/>
      </c>
      <c r="H121" s="34"/>
      <c r="I121" s="34"/>
      <c r="J121" s="38" t="str">
        <f aca="false">IF($A121="","",SUMIFS($H$4:$H$203,$C$4:$C$203,$C121))</f>
        <v/>
      </c>
      <c r="K121" s="38" t="str">
        <f aca="false">IF($A121="","",IFERROR($G121-$J121,""))</f>
        <v/>
      </c>
      <c r="L121" s="32"/>
      <c r="M121" s="32"/>
      <c r="N121" s="32"/>
    </row>
    <row r="122" customFormat="false" ht="15" hidden="false" customHeight="false" outlineLevel="0" collapsed="false">
      <c r="A122" s="32"/>
      <c r="B122" s="33"/>
      <c r="C122" s="32"/>
      <c r="D122" s="37" t="str">
        <f aca="false">IF($C122="","",IFERROR(INDEX(PO!$D$4:$D$203,MATCH($C122,PO!$A$4:$A$203,0)),""))</f>
        <v/>
      </c>
      <c r="E122" s="37" t="str">
        <f aca="false">IF($C122="","",IFERROR(INDEX(PO!$H$4:$H$203,MATCH($C122,PO!$A$4:$A$203,0)),""))</f>
        <v/>
      </c>
      <c r="F122" s="37" t="str">
        <f aca="false">IF($C122="","",IFERROR(INDEX(PO!$I$4:$I$203,MATCH($C122,PO!$A$4:$A$203,0)),""))</f>
        <v/>
      </c>
      <c r="G122" s="38" t="str">
        <f aca="false">IF($C122="","",IFERROR(INDEX(PO!$L$4:$L$203,MATCH($C122,PO!$A$4:$A$203,0)),""))</f>
        <v/>
      </c>
      <c r="H122" s="34"/>
      <c r="I122" s="34"/>
      <c r="J122" s="38" t="str">
        <f aca="false">IF($A122="","",SUMIFS($H$4:$H$203,$C$4:$C$203,$C122))</f>
        <v/>
      </c>
      <c r="K122" s="38" t="str">
        <f aca="false">IF($A122="","",IFERROR($G122-$J122,""))</f>
        <v/>
      </c>
      <c r="L122" s="32"/>
      <c r="M122" s="32"/>
      <c r="N122" s="32"/>
    </row>
    <row r="123" customFormat="false" ht="15" hidden="false" customHeight="false" outlineLevel="0" collapsed="false">
      <c r="A123" s="32"/>
      <c r="B123" s="33"/>
      <c r="C123" s="32"/>
      <c r="D123" s="37" t="str">
        <f aca="false">IF($C123="","",IFERROR(INDEX(PO!$D$4:$D$203,MATCH($C123,PO!$A$4:$A$203,0)),""))</f>
        <v/>
      </c>
      <c r="E123" s="37" t="str">
        <f aca="false">IF($C123="","",IFERROR(INDEX(PO!$H$4:$H$203,MATCH($C123,PO!$A$4:$A$203,0)),""))</f>
        <v/>
      </c>
      <c r="F123" s="37" t="str">
        <f aca="false">IF($C123="","",IFERROR(INDEX(PO!$I$4:$I$203,MATCH($C123,PO!$A$4:$A$203,0)),""))</f>
        <v/>
      </c>
      <c r="G123" s="38" t="str">
        <f aca="false">IF($C123="","",IFERROR(INDEX(PO!$L$4:$L$203,MATCH($C123,PO!$A$4:$A$203,0)),""))</f>
        <v/>
      </c>
      <c r="H123" s="34"/>
      <c r="I123" s="34"/>
      <c r="J123" s="38" t="str">
        <f aca="false">IF($A123="","",SUMIFS($H$4:$H$203,$C$4:$C$203,$C123))</f>
        <v/>
      </c>
      <c r="K123" s="38" t="str">
        <f aca="false">IF($A123="","",IFERROR($G123-$J123,""))</f>
        <v/>
      </c>
      <c r="L123" s="32"/>
      <c r="M123" s="32"/>
      <c r="N123" s="32"/>
    </row>
    <row r="124" customFormat="false" ht="15" hidden="false" customHeight="false" outlineLevel="0" collapsed="false">
      <c r="A124" s="32"/>
      <c r="B124" s="33"/>
      <c r="C124" s="32"/>
      <c r="D124" s="37" t="str">
        <f aca="false">IF($C124="","",IFERROR(INDEX(PO!$D$4:$D$203,MATCH($C124,PO!$A$4:$A$203,0)),""))</f>
        <v/>
      </c>
      <c r="E124" s="37" t="str">
        <f aca="false">IF($C124="","",IFERROR(INDEX(PO!$H$4:$H$203,MATCH($C124,PO!$A$4:$A$203,0)),""))</f>
        <v/>
      </c>
      <c r="F124" s="37" t="str">
        <f aca="false">IF($C124="","",IFERROR(INDEX(PO!$I$4:$I$203,MATCH($C124,PO!$A$4:$A$203,0)),""))</f>
        <v/>
      </c>
      <c r="G124" s="38" t="str">
        <f aca="false">IF($C124="","",IFERROR(INDEX(PO!$L$4:$L$203,MATCH($C124,PO!$A$4:$A$203,0)),""))</f>
        <v/>
      </c>
      <c r="H124" s="34"/>
      <c r="I124" s="34"/>
      <c r="J124" s="38" t="str">
        <f aca="false">IF($A124="","",SUMIFS($H$4:$H$203,$C$4:$C$203,$C124))</f>
        <v/>
      </c>
      <c r="K124" s="38" t="str">
        <f aca="false">IF($A124="","",IFERROR($G124-$J124,""))</f>
        <v/>
      </c>
      <c r="L124" s="32"/>
      <c r="M124" s="32"/>
      <c r="N124" s="32"/>
    </row>
    <row r="125" customFormat="false" ht="15" hidden="false" customHeight="false" outlineLevel="0" collapsed="false">
      <c r="A125" s="32"/>
      <c r="B125" s="33"/>
      <c r="C125" s="32"/>
      <c r="D125" s="37" t="str">
        <f aca="false">IF($C125="","",IFERROR(INDEX(PO!$D$4:$D$203,MATCH($C125,PO!$A$4:$A$203,0)),""))</f>
        <v/>
      </c>
      <c r="E125" s="37" t="str">
        <f aca="false">IF($C125="","",IFERROR(INDEX(PO!$H$4:$H$203,MATCH($C125,PO!$A$4:$A$203,0)),""))</f>
        <v/>
      </c>
      <c r="F125" s="37" t="str">
        <f aca="false">IF($C125="","",IFERROR(INDEX(PO!$I$4:$I$203,MATCH($C125,PO!$A$4:$A$203,0)),""))</f>
        <v/>
      </c>
      <c r="G125" s="38" t="str">
        <f aca="false">IF($C125="","",IFERROR(INDEX(PO!$L$4:$L$203,MATCH($C125,PO!$A$4:$A$203,0)),""))</f>
        <v/>
      </c>
      <c r="H125" s="34"/>
      <c r="I125" s="34"/>
      <c r="J125" s="38" t="str">
        <f aca="false">IF($A125="","",SUMIFS($H$4:$H$203,$C$4:$C$203,$C125))</f>
        <v/>
      </c>
      <c r="K125" s="38" t="str">
        <f aca="false">IF($A125="","",IFERROR($G125-$J125,""))</f>
        <v/>
      </c>
      <c r="L125" s="32"/>
      <c r="M125" s="32"/>
      <c r="N125" s="32"/>
    </row>
    <row r="126" customFormat="false" ht="15" hidden="false" customHeight="false" outlineLevel="0" collapsed="false">
      <c r="A126" s="32"/>
      <c r="B126" s="33"/>
      <c r="C126" s="32"/>
      <c r="D126" s="37" t="str">
        <f aca="false">IF($C126="","",IFERROR(INDEX(PO!$D$4:$D$203,MATCH($C126,PO!$A$4:$A$203,0)),""))</f>
        <v/>
      </c>
      <c r="E126" s="37" t="str">
        <f aca="false">IF($C126="","",IFERROR(INDEX(PO!$H$4:$H$203,MATCH($C126,PO!$A$4:$A$203,0)),""))</f>
        <v/>
      </c>
      <c r="F126" s="37" t="str">
        <f aca="false">IF($C126="","",IFERROR(INDEX(PO!$I$4:$I$203,MATCH($C126,PO!$A$4:$A$203,0)),""))</f>
        <v/>
      </c>
      <c r="G126" s="38" t="str">
        <f aca="false">IF($C126="","",IFERROR(INDEX(PO!$L$4:$L$203,MATCH($C126,PO!$A$4:$A$203,0)),""))</f>
        <v/>
      </c>
      <c r="H126" s="34"/>
      <c r="I126" s="34"/>
      <c r="J126" s="38" t="str">
        <f aca="false">IF($A126="","",SUMIFS($H$4:$H$203,$C$4:$C$203,$C126))</f>
        <v/>
      </c>
      <c r="K126" s="38" t="str">
        <f aca="false">IF($A126="","",IFERROR($G126-$J126,""))</f>
        <v/>
      </c>
      <c r="L126" s="32"/>
      <c r="M126" s="32"/>
      <c r="N126" s="32"/>
    </row>
    <row r="127" customFormat="false" ht="15" hidden="false" customHeight="false" outlineLevel="0" collapsed="false">
      <c r="A127" s="32"/>
      <c r="B127" s="33"/>
      <c r="C127" s="32"/>
      <c r="D127" s="37" t="str">
        <f aca="false">IF($C127="","",IFERROR(INDEX(PO!$D$4:$D$203,MATCH($C127,PO!$A$4:$A$203,0)),""))</f>
        <v/>
      </c>
      <c r="E127" s="37" t="str">
        <f aca="false">IF($C127="","",IFERROR(INDEX(PO!$H$4:$H$203,MATCH($C127,PO!$A$4:$A$203,0)),""))</f>
        <v/>
      </c>
      <c r="F127" s="37" t="str">
        <f aca="false">IF($C127="","",IFERROR(INDEX(PO!$I$4:$I$203,MATCH($C127,PO!$A$4:$A$203,0)),""))</f>
        <v/>
      </c>
      <c r="G127" s="38" t="str">
        <f aca="false">IF($C127="","",IFERROR(INDEX(PO!$L$4:$L$203,MATCH($C127,PO!$A$4:$A$203,0)),""))</f>
        <v/>
      </c>
      <c r="H127" s="34"/>
      <c r="I127" s="34"/>
      <c r="J127" s="38" t="str">
        <f aca="false">IF($A127="","",SUMIFS($H$4:$H$203,$C$4:$C$203,$C127))</f>
        <v/>
      </c>
      <c r="K127" s="38" t="str">
        <f aca="false">IF($A127="","",IFERROR($G127-$J127,""))</f>
        <v/>
      </c>
      <c r="L127" s="32"/>
      <c r="M127" s="32"/>
      <c r="N127" s="32"/>
    </row>
    <row r="128" customFormat="false" ht="15" hidden="false" customHeight="false" outlineLevel="0" collapsed="false">
      <c r="A128" s="32"/>
      <c r="B128" s="33"/>
      <c r="C128" s="32"/>
      <c r="D128" s="37" t="str">
        <f aca="false">IF($C128="","",IFERROR(INDEX(PO!$D$4:$D$203,MATCH($C128,PO!$A$4:$A$203,0)),""))</f>
        <v/>
      </c>
      <c r="E128" s="37" t="str">
        <f aca="false">IF($C128="","",IFERROR(INDEX(PO!$H$4:$H$203,MATCH($C128,PO!$A$4:$A$203,0)),""))</f>
        <v/>
      </c>
      <c r="F128" s="37" t="str">
        <f aca="false">IF($C128="","",IFERROR(INDEX(PO!$I$4:$I$203,MATCH($C128,PO!$A$4:$A$203,0)),""))</f>
        <v/>
      </c>
      <c r="G128" s="38" t="str">
        <f aca="false">IF($C128="","",IFERROR(INDEX(PO!$L$4:$L$203,MATCH($C128,PO!$A$4:$A$203,0)),""))</f>
        <v/>
      </c>
      <c r="H128" s="34"/>
      <c r="I128" s="34"/>
      <c r="J128" s="38" t="str">
        <f aca="false">IF($A128="","",SUMIFS($H$4:$H$203,$C$4:$C$203,$C128))</f>
        <v/>
      </c>
      <c r="K128" s="38" t="str">
        <f aca="false">IF($A128="","",IFERROR($G128-$J128,""))</f>
        <v/>
      </c>
      <c r="L128" s="32"/>
      <c r="M128" s="32"/>
      <c r="N128" s="32"/>
    </row>
    <row r="129" customFormat="false" ht="15" hidden="false" customHeight="false" outlineLevel="0" collapsed="false">
      <c r="A129" s="32"/>
      <c r="B129" s="33"/>
      <c r="C129" s="32"/>
      <c r="D129" s="37" t="str">
        <f aca="false">IF($C129="","",IFERROR(INDEX(PO!$D$4:$D$203,MATCH($C129,PO!$A$4:$A$203,0)),""))</f>
        <v/>
      </c>
      <c r="E129" s="37" t="str">
        <f aca="false">IF($C129="","",IFERROR(INDEX(PO!$H$4:$H$203,MATCH($C129,PO!$A$4:$A$203,0)),""))</f>
        <v/>
      </c>
      <c r="F129" s="37" t="str">
        <f aca="false">IF($C129="","",IFERROR(INDEX(PO!$I$4:$I$203,MATCH($C129,PO!$A$4:$A$203,0)),""))</f>
        <v/>
      </c>
      <c r="G129" s="38" t="str">
        <f aca="false">IF($C129="","",IFERROR(INDEX(PO!$L$4:$L$203,MATCH($C129,PO!$A$4:$A$203,0)),""))</f>
        <v/>
      </c>
      <c r="H129" s="34"/>
      <c r="I129" s="34"/>
      <c r="J129" s="38" t="str">
        <f aca="false">IF($A129="","",SUMIFS($H$4:$H$203,$C$4:$C$203,$C129))</f>
        <v/>
      </c>
      <c r="K129" s="38" t="str">
        <f aca="false">IF($A129="","",IFERROR($G129-$J129,""))</f>
        <v/>
      </c>
      <c r="L129" s="32"/>
      <c r="M129" s="32"/>
      <c r="N129" s="32"/>
    </row>
    <row r="130" customFormat="false" ht="15" hidden="false" customHeight="false" outlineLevel="0" collapsed="false">
      <c r="A130" s="32"/>
      <c r="B130" s="33"/>
      <c r="C130" s="32"/>
      <c r="D130" s="37" t="str">
        <f aca="false">IF($C130="","",IFERROR(INDEX(PO!$D$4:$D$203,MATCH($C130,PO!$A$4:$A$203,0)),""))</f>
        <v/>
      </c>
      <c r="E130" s="37" t="str">
        <f aca="false">IF($C130="","",IFERROR(INDEX(PO!$H$4:$H$203,MATCH($C130,PO!$A$4:$A$203,0)),""))</f>
        <v/>
      </c>
      <c r="F130" s="37" t="str">
        <f aca="false">IF($C130="","",IFERROR(INDEX(PO!$I$4:$I$203,MATCH($C130,PO!$A$4:$A$203,0)),""))</f>
        <v/>
      </c>
      <c r="G130" s="38" t="str">
        <f aca="false">IF($C130="","",IFERROR(INDEX(PO!$L$4:$L$203,MATCH($C130,PO!$A$4:$A$203,0)),""))</f>
        <v/>
      </c>
      <c r="H130" s="34"/>
      <c r="I130" s="34"/>
      <c r="J130" s="38" t="str">
        <f aca="false">IF($A130="","",SUMIFS($H$4:$H$203,$C$4:$C$203,$C130))</f>
        <v/>
      </c>
      <c r="K130" s="38" t="str">
        <f aca="false">IF($A130="","",IFERROR($G130-$J130,""))</f>
        <v/>
      </c>
      <c r="L130" s="32"/>
      <c r="M130" s="32"/>
      <c r="N130" s="32"/>
    </row>
    <row r="131" customFormat="false" ht="15" hidden="false" customHeight="false" outlineLevel="0" collapsed="false">
      <c r="A131" s="32"/>
      <c r="B131" s="33"/>
      <c r="C131" s="32"/>
      <c r="D131" s="37" t="str">
        <f aca="false">IF($C131="","",IFERROR(INDEX(PO!$D$4:$D$203,MATCH($C131,PO!$A$4:$A$203,0)),""))</f>
        <v/>
      </c>
      <c r="E131" s="37" t="str">
        <f aca="false">IF($C131="","",IFERROR(INDEX(PO!$H$4:$H$203,MATCH($C131,PO!$A$4:$A$203,0)),""))</f>
        <v/>
      </c>
      <c r="F131" s="37" t="str">
        <f aca="false">IF($C131="","",IFERROR(INDEX(PO!$I$4:$I$203,MATCH($C131,PO!$A$4:$A$203,0)),""))</f>
        <v/>
      </c>
      <c r="G131" s="38" t="str">
        <f aca="false">IF($C131="","",IFERROR(INDEX(PO!$L$4:$L$203,MATCH($C131,PO!$A$4:$A$203,0)),""))</f>
        <v/>
      </c>
      <c r="H131" s="34"/>
      <c r="I131" s="34"/>
      <c r="J131" s="38" t="str">
        <f aca="false">IF($A131="","",SUMIFS($H$4:$H$203,$C$4:$C$203,$C131))</f>
        <v/>
      </c>
      <c r="K131" s="38" t="str">
        <f aca="false">IF($A131="","",IFERROR($G131-$J131,""))</f>
        <v/>
      </c>
      <c r="L131" s="32"/>
      <c r="M131" s="32"/>
      <c r="N131" s="32"/>
    </row>
    <row r="132" customFormat="false" ht="15" hidden="false" customHeight="false" outlineLevel="0" collapsed="false">
      <c r="A132" s="32"/>
      <c r="B132" s="33"/>
      <c r="C132" s="32"/>
      <c r="D132" s="37" t="str">
        <f aca="false">IF($C132="","",IFERROR(INDEX(PO!$D$4:$D$203,MATCH($C132,PO!$A$4:$A$203,0)),""))</f>
        <v/>
      </c>
      <c r="E132" s="37" t="str">
        <f aca="false">IF($C132="","",IFERROR(INDEX(PO!$H$4:$H$203,MATCH($C132,PO!$A$4:$A$203,0)),""))</f>
        <v/>
      </c>
      <c r="F132" s="37" t="str">
        <f aca="false">IF($C132="","",IFERROR(INDEX(PO!$I$4:$I$203,MATCH($C132,PO!$A$4:$A$203,0)),""))</f>
        <v/>
      </c>
      <c r="G132" s="38" t="str">
        <f aca="false">IF($C132="","",IFERROR(INDEX(PO!$L$4:$L$203,MATCH($C132,PO!$A$4:$A$203,0)),""))</f>
        <v/>
      </c>
      <c r="H132" s="34"/>
      <c r="I132" s="34"/>
      <c r="J132" s="38" t="str">
        <f aca="false">IF($A132="","",SUMIFS($H$4:$H$203,$C$4:$C$203,$C132))</f>
        <v/>
      </c>
      <c r="K132" s="38" t="str">
        <f aca="false">IF($A132="","",IFERROR($G132-$J132,""))</f>
        <v/>
      </c>
      <c r="L132" s="32"/>
      <c r="M132" s="32"/>
      <c r="N132" s="32"/>
    </row>
    <row r="133" customFormat="false" ht="15" hidden="false" customHeight="false" outlineLevel="0" collapsed="false">
      <c r="A133" s="32"/>
      <c r="B133" s="33"/>
      <c r="C133" s="32"/>
      <c r="D133" s="37" t="str">
        <f aca="false">IF($C133="","",IFERROR(INDEX(PO!$D$4:$D$203,MATCH($C133,PO!$A$4:$A$203,0)),""))</f>
        <v/>
      </c>
      <c r="E133" s="37" t="str">
        <f aca="false">IF($C133="","",IFERROR(INDEX(PO!$H$4:$H$203,MATCH($C133,PO!$A$4:$A$203,0)),""))</f>
        <v/>
      </c>
      <c r="F133" s="37" t="str">
        <f aca="false">IF($C133="","",IFERROR(INDEX(PO!$I$4:$I$203,MATCH($C133,PO!$A$4:$A$203,0)),""))</f>
        <v/>
      </c>
      <c r="G133" s="38" t="str">
        <f aca="false">IF($C133="","",IFERROR(INDEX(PO!$L$4:$L$203,MATCH($C133,PO!$A$4:$A$203,0)),""))</f>
        <v/>
      </c>
      <c r="H133" s="34"/>
      <c r="I133" s="34"/>
      <c r="J133" s="38" t="str">
        <f aca="false">IF($A133="","",SUMIFS($H$4:$H$203,$C$4:$C$203,$C133))</f>
        <v/>
      </c>
      <c r="K133" s="38" t="str">
        <f aca="false">IF($A133="","",IFERROR($G133-$J133,""))</f>
        <v/>
      </c>
      <c r="L133" s="32"/>
      <c r="M133" s="32"/>
      <c r="N133" s="32"/>
    </row>
    <row r="134" customFormat="false" ht="15" hidden="false" customHeight="false" outlineLevel="0" collapsed="false">
      <c r="A134" s="32"/>
      <c r="B134" s="33"/>
      <c r="C134" s="32"/>
      <c r="D134" s="37" t="str">
        <f aca="false">IF($C134="","",IFERROR(INDEX(PO!$D$4:$D$203,MATCH($C134,PO!$A$4:$A$203,0)),""))</f>
        <v/>
      </c>
      <c r="E134" s="37" t="str">
        <f aca="false">IF($C134="","",IFERROR(INDEX(PO!$H$4:$H$203,MATCH($C134,PO!$A$4:$A$203,0)),""))</f>
        <v/>
      </c>
      <c r="F134" s="37" t="str">
        <f aca="false">IF($C134="","",IFERROR(INDEX(PO!$I$4:$I$203,MATCH($C134,PO!$A$4:$A$203,0)),""))</f>
        <v/>
      </c>
      <c r="G134" s="38" t="str">
        <f aca="false">IF($C134="","",IFERROR(INDEX(PO!$L$4:$L$203,MATCH($C134,PO!$A$4:$A$203,0)),""))</f>
        <v/>
      </c>
      <c r="H134" s="34"/>
      <c r="I134" s="34"/>
      <c r="J134" s="38" t="str">
        <f aca="false">IF($A134="","",SUMIFS($H$4:$H$203,$C$4:$C$203,$C134))</f>
        <v/>
      </c>
      <c r="K134" s="38" t="str">
        <f aca="false">IF($A134="","",IFERROR($G134-$J134,""))</f>
        <v/>
      </c>
      <c r="L134" s="32"/>
      <c r="M134" s="32"/>
      <c r="N134" s="32"/>
    </row>
    <row r="135" customFormat="false" ht="15" hidden="false" customHeight="false" outlineLevel="0" collapsed="false">
      <c r="A135" s="32"/>
      <c r="B135" s="33"/>
      <c r="C135" s="32"/>
      <c r="D135" s="37" t="str">
        <f aca="false">IF($C135="","",IFERROR(INDEX(PO!$D$4:$D$203,MATCH($C135,PO!$A$4:$A$203,0)),""))</f>
        <v/>
      </c>
      <c r="E135" s="37" t="str">
        <f aca="false">IF($C135="","",IFERROR(INDEX(PO!$H$4:$H$203,MATCH($C135,PO!$A$4:$A$203,0)),""))</f>
        <v/>
      </c>
      <c r="F135" s="37" t="str">
        <f aca="false">IF($C135="","",IFERROR(INDEX(PO!$I$4:$I$203,MATCH($C135,PO!$A$4:$A$203,0)),""))</f>
        <v/>
      </c>
      <c r="G135" s="38" t="str">
        <f aca="false">IF($C135="","",IFERROR(INDEX(PO!$L$4:$L$203,MATCH($C135,PO!$A$4:$A$203,0)),""))</f>
        <v/>
      </c>
      <c r="H135" s="34"/>
      <c r="I135" s="34"/>
      <c r="J135" s="38" t="str">
        <f aca="false">IF($A135="","",SUMIFS($H$4:$H$203,$C$4:$C$203,$C135))</f>
        <v/>
      </c>
      <c r="K135" s="38" t="str">
        <f aca="false">IF($A135="","",IFERROR($G135-$J135,""))</f>
        <v/>
      </c>
      <c r="L135" s="32"/>
      <c r="M135" s="32"/>
      <c r="N135" s="32"/>
    </row>
    <row r="136" customFormat="false" ht="15" hidden="false" customHeight="false" outlineLevel="0" collapsed="false">
      <c r="A136" s="32"/>
      <c r="B136" s="33"/>
      <c r="C136" s="32"/>
      <c r="D136" s="37" t="str">
        <f aca="false">IF($C136="","",IFERROR(INDEX(PO!$D$4:$D$203,MATCH($C136,PO!$A$4:$A$203,0)),""))</f>
        <v/>
      </c>
      <c r="E136" s="37" t="str">
        <f aca="false">IF($C136="","",IFERROR(INDEX(PO!$H$4:$H$203,MATCH($C136,PO!$A$4:$A$203,0)),""))</f>
        <v/>
      </c>
      <c r="F136" s="37" t="str">
        <f aca="false">IF($C136="","",IFERROR(INDEX(PO!$I$4:$I$203,MATCH($C136,PO!$A$4:$A$203,0)),""))</f>
        <v/>
      </c>
      <c r="G136" s="38" t="str">
        <f aca="false">IF($C136="","",IFERROR(INDEX(PO!$L$4:$L$203,MATCH($C136,PO!$A$4:$A$203,0)),""))</f>
        <v/>
      </c>
      <c r="H136" s="34"/>
      <c r="I136" s="34"/>
      <c r="J136" s="38" t="str">
        <f aca="false">IF($A136="","",SUMIFS($H$4:$H$203,$C$4:$C$203,$C136))</f>
        <v/>
      </c>
      <c r="K136" s="38" t="str">
        <f aca="false">IF($A136="","",IFERROR($G136-$J136,""))</f>
        <v/>
      </c>
      <c r="L136" s="32"/>
      <c r="M136" s="32"/>
      <c r="N136" s="32"/>
    </row>
    <row r="137" customFormat="false" ht="15" hidden="false" customHeight="false" outlineLevel="0" collapsed="false">
      <c r="A137" s="32"/>
      <c r="B137" s="33"/>
      <c r="C137" s="32"/>
      <c r="D137" s="37" t="str">
        <f aca="false">IF($C137="","",IFERROR(INDEX(PO!$D$4:$D$203,MATCH($C137,PO!$A$4:$A$203,0)),""))</f>
        <v/>
      </c>
      <c r="E137" s="37" t="str">
        <f aca="false">IF($C137="","",IFERROR(INDEX(PO!$H$4:$H$203,MATCH($C137,PO!$A$4:$A$203,0)),""))</f>
        <v/>
      </c>
      <c r="F137" s="37" t="str">
        <f aca="false">IF($C137="","",IFERROR(INDEX(PO!$I$4:$I$203,MATCH($C137,PO!$A$4:$A$203,0)),""))</f>
        <v/>
      </c>
      <c r="G137" s="38" t="str">
        <f aca="false">IF($C137="","",IFERROR(INDEX(PO!$L$4:$L$203,MATCH($C137,PO!$A$4:$A$203,0)),""))</f>
        <v/>
      </c>
      <c r="H137" s="34"/>
      <c r="I137" s="34"/>
      <c r="J137" s="38" t="str">
        <f aca="false">IF($A137="","",SUMIFS($H$4:$H$203,$C$4:$C$203,$C137))</f>
        <v/>
      </c>
      <c r="K137" s="38" t="str">
        <f aca="false">IF($A137="","",IFERROR($G137-$J137,""))</f>
        <v/>
      </c>
      <c r="L137" s="32"/>
      <c r="M137" s="32"/>
      <c r="N137" s="32"/>
    </row>
    <row r="138" customFormat="false" ht="15" hidden="false" customHeight="false" outlineLevel="0" collapsed="false">
      <c r="A138" s="32"/>
      <c r="B138" s="33"/>
      <c r="C138" s="32"/>
      <c r="D138" s="37" t="str">
        <f aca="false">IF($C138="","",IFERROR(INDEX(PO!$D$4:$D$203,MATCH($C138,PO!$A$4:$A$203,0)),""))</f>
        <v/>
      </c>
      <c r="E138" s="37" t="str">
        <f aca="false">IF($C138="","",IFERROR(INDEX(PO!$H$4:$H$203,MATCH($C138,PO!$A$4:$A$203,0)),""))</f>
        <v/>
      </c>
      <c r="F138" s="37" t="str">
        <f aca="false">IF($C138="","",IFERROR(INDEX(PO!$I$4:$I$203,MATCH($C138,PO!$A$4:$A$203,0)),""))</f>
        <v/>
      </c>
      <c r="G138" s="38" t="str">
        <f aca="false">IF($C138="","",IFERROR(INDEX(PO!$L$4:$L$203,MATCH($C138,PO!$A$4:$A$203,0)),""))</f>
        <v/>
      </c>
      <c r="H138" s="34"/>
      <c r="I138" s="34"/>
      <c r="J138" s="38" t="str">
        <f aca="false">IF($A138="","",SUMIFS($H$4:$H$203,$C$4:$C$203,$C138))</f>
        <v/>
      </c>
      <c r="K138" s="38" t="str">
        <f aca="false">IF($A138="","",IFERROR($G138-$J138,""))</f>
        <v/>
      </c>
      <c r="L138" s="32"/>
      <c r="M138" s="32"/>
      <c r="N138" s="32"/>
    </row>
    <row r="139" customFormat="false" ht="15" hidden="false" customHeight="false" outlineLevel="0" collapsed="false">
      <c r="A139" s="32"/>
      <c r="B139" s="33"/>
      <c r="C139" s="32"/>
      <c r="D139" s="37" t="str">
        <f aca="false">IF($C139="","",IFERROR(INDEX(PO!$D$4:$D$203,MATCH($C139,PO!$A$4:$A$203,0)),""))</f>
        <v/>
      </c>
      <c r="E139" s="37" t="str">
        <f aca="false">IF($C139="","",IFERROR(INDEX(PO!$H$4:$H$203,MATCH($C139,PO!$A$4:$A$203,0)),""))</f>
        <v/>
      </c>
      <c r="F139" s="37" t="str">
        <f aca="false">IF($C139="","",IFERROR(INDEX(PO!$I$4:$I$203,MATCH($C139,PO!$A$4:$A$203,0)),""))</f>
        <v/>
      </c>
      <c r="G139" s="38" t="str">
        <f aca="false">IF($C139="","",IFERROR(INDEX(PO!$L$4:$L$203,MATCH($C139,PO!$A$4:$A$203,0)),""))</f>
        <v/>
      </c>
      <c r="H139" s="34"/>
      <c r="I139" s="34"/>
      <c r="J139" s="38" t="str">
        <f aca="false">IF($A139="","",SUMIFS($H$4:$H$203,$C$4:$C$203,$C139))</f>
        <v/>
      </c>
      <c r="K139" s="38" t="str">
        <f aca="false">IF($A139="","",IFERROR($G139-$J139,""))</f>
        <v/>
      </c>
      <c r="L139" s="32"/>
      <c r="M139" s="32"/>
      <c r="N139" s="32"/>
    </row>
    <row r="140" customFormat="false" ht="15" hidden="false" customHeight="false" outlineLevel="0" collapsed="false">
      <c r="A140" s="32"/>
      <c r="B140" s="33"/>
      <c r="C140" s="32"/>
      <c r="D140" s="37" t="str">
        <f aca="false">IF($C140="","",IFERROR(INDEX(PO!$D$4:$D$203,MATCH($C140,PO!$A$4:$A$203,0)),""))</f>
        <v/>
      </c>
      <c r="E140" s="37" t="str">
        <f aca="false">IF($C140="","",IFERROR(INDEX(PO!$H$4:$H$203,MATCH($C140,PO!$A$4:$A$203,0)),""))</f>
        <v/>
      </c>
      <c r="F140" s="37" t="str">
        <f aca="false">IF($C140="","",IFERROR(INDEX(PO!$I$4:$I$203,MATCH($C140,PO!$A$4:$A$203,0)),""))</f>
        <v/>
      </c>
      <c r="G140" s="38" t="str">
        <f aca="false">IF($C140="","",IFERROR(INDEX(PO!$L$4:$L$203,MATCH($C140,PO!$A$4:$A$203,0)),""))</f>
        <v/>
      </c>
      <c r="H140" s="34"/>
      <c r="I140" s="34"/>
      <c r="J140" s="38" t="str">
        <f aca="false">IF($A140="","",SUMIFS($H$4:$H$203,$C$4:$C$203,$C140))</f>
        <v/>
      </c>
      <c r="K140" s="38" t="str">
        <f aca="false">IF($A140="","",IFERROR($G140-$J140,""))</f>
        <v/>
      </c>
      <c r="L140" s="32"/>
      <c r="M140" s="32"/>
      <c r="N140" s="32"/>
    </row>
    <row r="141" customFormat="false" ht="15" hidden="false" customHeight="false" outlineLevel="0" collapsed="false">
      <c r="A141" s="32"/>
      <c r="B141" s="33"/>
      <c r="C141" s="32"/>
      <c r="D141" s="37" t="str">
        <f aca="false">IF($C141="","",IFERROR(INDEX(PO!$D$4:$D$203,MATCH($C141,PO!$A$4:$A$203,0)),""))</f>
        <v/>
      </c>
      <c r="E141" s="37" t="str">
        <f aca="false">IF($C141="","",IFERROR(INDEX(PO!$H$4:$H$203,MATCH($C141,PO!$A$4:$A$203,0)),""))</f>
        <v/>
      </c>
      <c r="F141" s="37" t="str">
        <f aca="false">IF($C141="","",IFERROR(INDEX(PO!$I$4:$I$203,MATCH($C141,PO!$A$4:$A$203,0)),""))</f>
        <v/>
      </c>
      <c r="G141" s="38" t="str">
        <f aca="false">IF($C141="","",IFERROR(INDEX(PO!$L$4:$L$203,MATCH($C141,PO!$A$4:$A$203,0)),""))</f>
        <v/>
      </c>
      <c r="H141" s="34"/>
      <c r="I141" s="34"/>
      <c r="J141" s="38" t="str">
        <f aca="false">IF($A141="","",SUMIFS($H$4:$H$203,$C$4:$C$203,$C141))</f>
        <v/>
      </c>
      <c r="K141" s="38" t="str">
        <f aca="false">IF($A141="","",IFERROR($G141-$J141,""))</f>
        <v/>
      </c>
      <c r="L141" s="32"/>
      <c r="M141" s="32"/>
      <c r="N141" s="32"/>
    </row>
    <row r="142" customFormat="false" ht="15" hidden="false" customHeight="false" outlineLevel="0" collapsed="false">
      <c r="A142" s="32"/>
      <c r="B142" s="33"/>
      <c r="C142" s="32"/>
      <c r="D142" s="37" t="str">
        <f aca="false">IF($C142="","",IFERROR(INDEX(PO!$D$4:$D$203,MATCH($C142,PO!$A$4:$A$203,0)),""))</f>
        <v/>
      </c>
      <c r="E142" s="37" t="str">
        <f aca="false">IF($C142="","",IFERROR(INDEX(PO!$H$4:$H$203,MATCH($C142,PO!$A$4:$A$203,0)),""))</f>
        <v/>
      </c>
      <c r="F142" s="37" t="str">
        <f aca="false">IF($C142="","",IFERROR(INDEX(PO!$I$4:$I$203,MATCH($C142,PO!$A$4:$A$203,0)),""))</f>
        <v/>
      </c>
      <c r="G142" s="38" t="str">
        <f aca="false">IF($C142="","",IFERROR(INDEX(PO!$L$4:$L$203,MATCH($C142,PO!$A$4:$A$203,0)),""))</f>
        <v/>
      </c>
      <c r="H142" s="34"/>
      <c r="I142" s="34"/>
      <c r="J142" s="38" t="str">
        <f aca="false">IF($A142="","",SUMIFS($H$4:$H$203,$C$4:$C$203,$C142))</f>
        <v/>
      </c>
      <c r="K142" s="38" t="str">
        <f aca="false">IF($A142="","",IFERROR($G142-$J142,""))</f>
        <v/>
      </c>
      <c r="L142" s="32"/>
      <c r="M142" s="32"/>
      <c r="N142" s="32"/>
    </row>
    <row r="143" customFormat="false" ht="15" hidden="false" customHeight="false" outlineLevel="0" collapsed="false">
      <c r="A143" s="32"/>
      <c r="B143" s="33"/>
      <c r="C143" s="32"/>
      <c r="D143" s="37" t="str">
        <f aca="false">IF($C143="","",IFERROR(INDEX(PO!$D$4:$D$203,MATCH($C143,PO!$A$4:$A$203,0)),""))</f>
        <v/>
      </c>
      <c r="E143" s="37" t="str">
        <f aca="false">IF($C143="","",IFERROR(INDEX(PO!$H$4:$H$203,MATCH($C143,PO!$A$4:$A$203,0)),""))</f>
        <v/>
      </c>
      <c r="F143" s="37" t="str">
        <f aca="false">IF($C143="","",IFERROR(INDEX(PO!$I$4:$I$203,MATCH($C143,PO!$A$4:$A$203,0)),""))</f>
        <v/>
      </c>
      <c r="G143" s="38" t="str">
        <f aca="false">IF($C143="","",IFERROR(INDEX(PO!$L$4:$L$203,MATCH($C143,PO!$A$4:$A$203,0)),""))</f>
        <v/>
      </c>
      <c r="H143" s="34"/>
      <c r="I143" s="34"/>
      <c r="J143" s="38" t="str">
        <f aca="false">IF($A143="","",SUMIFS($H$4:$H$203,$C$4:$C$203,$C143))</f>
        <v/>
      </c>
      <c r="K143" s="38" t="str">
        <f aca="false">IF($A143="","",IFERROR($G143-$J143,""))</f>
        <v/>
      </c>
      <c r="L143" s="32"/>
      <c r="M143" s="32"/>
      <c r="N143" s="32"/>
    </row>
    <row r="144" customFormat="false" ht="15" hidden="false" customHeight="false" outlineLevel="0" collapsed="false">
      <c r="A144" s="32"/>
      <c r="B144" s="33"/>
      <c r="C144" s="32"/>
      <c r="D144" s="37" t="str">
        <f aca="false">IF($C144="","",IFERROR(INDEX(PO!$D$4:$D$203,MATCH($C144,PO!$A$4:$A$203,0)),""))</f>
        <v/>
      </c>
      <c r="E144" s="37" t="str">
        <f aca="false">IF($C144="","",IFERROR(INDEX(PO!$H$4:$H$203,MATCH($C144,PO!$A$4:$A$203,0)),""))</f>
        <v/>
      </c>
      <c r="F144" s="37" t="str">
        <f aca="false">IF($C144="","",IFERROR(INDEX(PO!$I$4:$I$203,MATCH($C144,PO!$A$4:$A$203,0)),""))</f>
        <v/>
      </c>
      <c r="G144" s="38" t="str">
        <f aca="false">IF($C144="","",IFERROR(INDEX(PO!$L$4:$L$203,MATCH($C144,PO!$A$4:$A$203,0)),""))</f>
        <v/>
      </c>
      <c r="H144" s="34"/>
      <c r="I144" s="34"/>
      <c r="J144" s="38" t="str">
        <f aca="false">IF($A144="","",SUMIFS($H$4:$H$203,$C$4:$C$203,$C144))</f>
        <v/>
      </c>
      <c r="K144" s="38" t="str">
        <f aca="false">IF($A144="","",IFERROR($G144-$J144,""))</f>
        <v/>
      </c>
      <c r="L144" s="32"/>
      <c r="M144" s="32"/>
      <c r="N144" s="32"/>
    </row>
    <row r="145" customFormat="false" ht="15" hidden="false" customHeight="false" outlineLevel="0" collapsed="false">
      <c r="A145" s="32"/>
      <c r="B145" s="33"/>
      <c r="C145" s="32"/>
      <c r="D145" s="37" t="str">
        <f aca="false">IF($C145="","",IFERROR(INDEX(PO!$D$4:$D$203,MATCH($C145,PO!$A$4:$A$203,0)),""))</f>
        <v/>
      </c>
      <c r="E145" s="37" t="str">
        <f aca="false">IF($C145="","",IFERROR(INDEX(PO!$H$4:$H$203,MATCH($C145,PO!$A$4:$A$203,0)),""))</f>
        <v/>
      </c>
      <c r="F145" s="37" t="str">
        <f aca="false">IF($C145="","",IFERROR(INDEX(PO!$I$4:$I$203,MATCH($C145,PO!$A$4:$A$203,0)),""))</f>
        <v/>
      </c>
      <c r="G145" s="38" t="str">
        <f aca="false">IF($C145="","",IFERROR(INDEX(PO!$L$4:$L$203,MATCH($C145,PO!$A$4:$A$203,0)),""))</f>
        <v/>
      </c>
      <c r="H145" s="34"/>
      <c r="I145" s="34"/>
      <c r="J145" s="38" t="str">
        <f aca="false">IF($A145="","",SUMIFS($H$4:$H$203,$C$4:$C$203,$C145))</f>
        <v/>
      </c>
      <c r="K145" s="38" t="str">
        <f aca="false">IF($A145="","",IFERROR($G145-$J145,""))</f>
        <v/>
      </c>
      <c r="L145" s="32"/>
      <c r="M145" s="32"/>
      <c r="N145" s="32"/>
    </row>
    <row r="146" customFormat="false" ht="15" hidden="false" customHeight="false" outlineLevel="0" collapsed="false">
      <c r="A146" s="32"/>
      <c r="B146" s="33"/>
      <c r="C146" s="32"/>
      <c r="D146" s="37" t="str">
        <f aca="false">IF($C146="","",IFERROR(INDEX(PO!$D$4:$D$203,MATCH($C146,PO!$A$4:$A$203,0)),""))</f>
        <v/>
      </c>
      <c r="E146" s="37" t="str">
        <f aca="false">IF($C146="","",IFERROR(INDEX(PO!$H$4:$H$203,MATCH($C146,PO!$A$4:$A$203,0)),""))</f>
        <v/>
      </c>
      <c r="F146" s="37" t="str">
        <f aca="false">IF($C146="","",IFERROR(INDEX(PO!$I$4:$I$203,MATCH($C146,PO!$A$4:$A$203,0)),""))</f>
        <v/>
      </c>
      <c r="G146" s="38" t="str">
        <f aca="false">IF($C146="","",IFERROR(INDEX(PO!$L$4:$L$203,MATCH($C146,PO!$A$4:$A$203,0)),""))</f>
        <v/>
      </c>
      <c r="H146" s="34"/>
      <c r="I146" s="34"/>
      <c r="J146" s="38" t="str">
        <f aca="false">IF($A146="","",SUMIFS($H$4:$H$203,$C$4:$C$203,$C146))</f>
        <v/>
      </c>
      <c r="K146" s="38" t="str">
        <f aca="false">IF($A146="","",IFERROR($G146-$J146,""))</f>
        <v/>
      </c>
      <c r="L146" s="32"/>
      <c r="M146" s="32"/>
      <c r="N146" s="32"/>
    </row>
    <row r="147" customFormat="false" ht="15" hidden="false" customHeight="false" outlineLevel="0" collapsed="false">
      <c r="A147" s="32"/>
      <c r="B147" s="33"/>
      <c r="C147" s="32"/>
      <c r="D147" s="37" t="str">
        <f aca="false">IF($C147="","",IFERROR(INDEX(PO!$D$4:$D$203,MATCH($C147,PO!$A$4:$A$203,0)),""))</f>
        <v/>
      </c>
      <c r="E147" s="37" t="str">
        <f aca="false">IF($C147="","",IFERROR(INDEX(PO!$H$4:$H$203,MATCH($C147,PO!$A$4:$A$203,0)),""))</f>
        <v/>
      </c>
      <c r="F147" s="37" t="str">
        <f aca="false">IF($C147="","",IFERROR(INDEX(PO!$I$4:$I$203,MATCH($C147,PO!$A$4:$A$203,0)),""))</f>
        <v/>
      </c>
      <c r="G147" s="38" t="str">
        <f aca="false">IF($C147="","",IFERROR(INDEX(PO!$L$4:$L$203,MATCH($C147,PO!$A$4:$A$203,0)),""))</f>
        <v/>
      </c>
      <c r="H147" s="34"/>
      <c r="I147" s="34"/>
      <c r="J147" s="38" t="str">
        <f aca="false">IF($A147="","",SUMIFS($H$4:$H$203,$C$4:$C$203,$C147))</f>
        <v/>
      </c>
      <c r="K147" s="38" t="str">
        <f aca="false">IF($A147="","",IFERROR($G147-$J147,""))</f>
        <v/>
      </c>
      <c r="L147" s="32"/>
      <c r="M147" s="32"/>
      <c r="N147" s="32"/>
    </row>
    <row r="148" customFormat="false" ht="15" hidden="false" customHeight="false" outlineLevel="0" collapsed="false">
      <c r="A148" s="32"/>
      <c r="B148" s="33"/>
      <c r="C148" s="32"/>
      <c r="D148" s="37" t="str">
        <f aca="false">IF($C148="","",IFERROR(INDEX(PO!$D$4:$D$203,MATCH($C148,PO!$A$4:$A$203,0)),""))</f>
        <v/>
      </c>
      <c r="E148" s="37" t="str">
        <f aca="false">IF($C148="","",IFERROR(INDEX(PO!$H$4:$H$203,MATCH($C148,PO!$A$4:$A$203,0)),""))</f>
        <v/>
      </c>
      <c r="F148" s="37" t="str">
        <f aca="false">IF($C148="","",IFERROR(INDEX(PO!$I$4:$I$203,MATCH($C148,PO!$A$4:$A$203,0)),""))</f>
        <v/>
      </c>
      <c r="G148" s="38" t="str">
        <f aca="false">IF($C148="","",IFERROR(INDEX(PO!$L$4:$L$203,MATCH($C148,PO!$A$4:$A$203,0)),""))</f>
        <v/>
      </c>
      <c r="H148" s="34"/>
      <c r="I148" s="34"/>
      <c r="J148" s="38" t="str">
        <f aca="false">IF($A148="","",SUMIFS($H$4:$H$203,$C$4:$C$203,$C148))</f>
        <v/>
      </c>
      <c r="K148" s="38" t="str">
        <f aca="false">IF($A148="","",IFERROR($G148-$J148,""))</f>
        <v/>
      </c>
      <c r="L148" s="32"/>
      <c r="M148" s="32"/>
      <c r="N148" s="32"/>
    </row>
    <row r="149" customFormat="false" ht="15" hidden="false" customHeight="false" outlineLevel="0" collapsed="false">
      <c r="A149" s="32"/>
      <c r="B149" s="33"/>
      <c r="C149" s="32"/>
      <c r="D149" s="37" t="str">
        <f aca="false">IF($C149="","",IFERROR(INDEX(PO!$D$4:$D$203,MATCH($C149,PO!$A$4:$A$203,0)),""))</f>
        <v/>
      </c>
      <c r="E149" s="37" t="str">
        <f aca="false">IF($C149="","",IFERROR(INDEX(PO!$H$4:$H$203,MATCH($C149,PO!$A$4:$A$203,0)),""))</f>
        <v/>
      </c>
      <c r="F149" s="37" t="str">
        <f aca="false">IF($C149="","",IFERROR(INDEX(PO!$I$4:$I$203,MATCH($C149,PO!$A$4:$A$203,0)),""))</f>
        <v/>
      </c>
      <c r="G149" s="38" t="str">
        <f aca="false">IF($C149="","",IFERROR(INDEX(PO!$L$4:$L$203,MATCH($C149,PO!$A$4:$A$203,0)),""))</f>
        <v/>
      </c>
      <c r="H149" s="34"/>
      <c r="I149" s="34"/>
      <c r="J149" s="38" t="str">
        <f aca="false">IF($A149="","",SUMIFS($H$4:$H$203,$C$4:$C$203,$C149))</f>
        <v/>
      </c>
      <c r="K149" s="38" t="str">
        <f aca="false">IF($A149="","",IFERROR($G149-$J149,""))</f>
        <v/>
      </c>
      <c r="L149" s="32"/>
      <c r="M149" s="32"/>
      <c r="N149" s="32"/>
    </row>
    <row r="150" customFormat="false" ht="15" hidden="false" customHeight="false" outlineLevel="0" collapsed="false">
      <c r="A150" s="32"/>
      <c r="B150" s="33"/>
      <c r="C150" s="32"/>
      <c r="D150" s="37" t="str">
        <f aca="false">IF($C150="","",IFERROR(INDEX(PO!$D$4:$D$203,MATCH($C150,PO!$A$4:$A$203,0)),""))</f>
        <v/>
      </c>
      <c r="E150" s="37" t="str">
        <f aca="false">IF($C150="","",IFERROR(INDEX(PO!$H$4:$H$203,MATCH($C150,PO!$A$4:$A$203,0)),""))</f>
        <v/>
      </c>
      <c r="F150" s="37" t="str">
        <f aca="false">IF($C150="","",IFERROR(INDEX(PO!$I$4:$I$203,MATCH($C150,PO!$A$4:$A$203,0)),""))</f>
        <v/>
      </c>
      <c r="G150" s="38" t="str">
        <f aca="false">IF($C150="","",IFERROR(INDEX(PO!$L$4:$L$203,MATCH($C150,PO!$A$4:$A$203,0)),""))</f>
        <v/>
      </c>
      <c r="H150" s="34"/>
      <c r="I150" s="34"/>
      <c r="J150" s="38" t="str">
        <f aca="false">IF($A150="","",SUMIFS($H$4:$H$203,$C$4:$C$203,$C150))</f>
        <v/>
      </c>
      <c r="K150" s="38" t="str">
        <f aca="false">IF($A150="","",IFERROR($G150-$J150,""))</f>
        <v/>
      </c>
      <c r="L150" s="32"/>
      <c r="M150" s="32"/>
      <c r="N150" s="32"/>
    </row>
    <row r="151" customFormat="false" ht="15" hidden="false" customHeight="false" outlineLevel="0" collapsed="false">
      <c r="A151" s="32"/>
      <c r="B151" s="33"/>
      <c r="C151" s="32"/>
      <c r="D151" s="37" t="str">
        <f aca="false">IF($C151="","",IFERROR(INDEX(PO!$D$4:$D$203,MATCH($C151,PO!$A$4:$A$203,0)),""))</f>
        <v/>
      </c>
      <c r="E151" s="37" t="str">
        <f aca="false">IF($C151="","",IFERROR(INDEX(PO!$H$4:$H$203,MATCH($C151,PO!$A$4:$A$203,0)),""))</f>
        <v/>
      </c>
      <c r="F151" s="37" t="str">
        <f aca="false">IF($C151="","",IFERROR(INDEX(PO!$I$4:$I$203,MATCH($C151,PO!$A$4:$A$203,0)),""))</f>
        <v/>
      </c>
      <c r="G151" s="38" t="str">
        <f aca="false">IF($C151="","",IFERROR(INDEX(PO!$L$4:$L$203,MATCH($C151,PO!$A$4:$A$203,0)),""))</f>
        <v/>
      </c>
      <c r="H151" s="34"/>
      <c r="I151" s="34"/>
      <c r="J151" s="38" t="str">
        <f aca="false">IF($A151="","",SUMIFS($H$4:$H$203,$C$4:$C$203,$C151))</f>
        <v/>
      </c>
      <c r="K151" s="38" t="str">
        <f aca="false">IF($A151="","",IFERROR($G151-$J151,""))</f>
        <v/>
      </c>
      <c r="L151" s="32"/>
      <c r="M151" s="32"/>
      <c r="N151" s="32"/>
    </row>
    <row r="152" customFormat="false" ht="15" hidden="false" customHeight="false" outlineLevel="0" collapsed="false">
      <c r="A152" s="32"/>
      <c r="B152" s="33"/>
      <c r="C152" s="32"/>
      <c r="D152" s="37" t="str">
        <f aca="false">IF($C152="","",IFERROR(INDEX(PO!$D$4:$D$203,MATCH($C152,PO!$A$4:$A$203,0)),""))</f>
        <v/>
      </c>
      <c r="E152" s="37" t="str">
        <f aca="false">IF($C152="","",IFERROR(INDEX(PO!$H$4:$H$203,MATCH($C152,PO!$A$4:$A$203,0)),""))</f>
        <v/>
      </c>
      <c r="F152" s="37" t="str">
        <f aca="false">IF($C152="","",IFERROR(INDEX(PO!$I$4:$I$203,MATCH($C152,PO!$A$4:$A$203,0)),""))</f>
        <v/>
      </c>
      <c r="G152" s="38" t="str">
        <f aca="false">IF($C152="","",IFERROR(INDEX(PO!$L$4:$L$203,MATCH($C152,PO!$A$4:$A$203,0)),""))</f>
        <v/>
      </c>
      <c r="H152" s="34"/>
      <c r="I152" s="34"/>
      <c r="J152" s="38" t="str">
        <f aca="false">IF($A152="","",SUMIFS($H$4:$H$203,$C$4:$C$203,$C152))</f>
        <v/>
      </c>
      <c r="K152" s="38" t="str">
        <f aca="false">IF($A152="","",IFERROR($G152-$J152,""))</f>
        <v/>
      </c>
      <c r="L152" s="32"/>
      <c r="M152" s="32"/>
      <c r="N152" s="32"/>
    </row>
    <row r="153" customFormat="false" ht="15" hidden="false" customHeight="false" outlineLevel="0" collapsed="false">
      <c r="A153" s="32"/>
      <c r="B153" s="33"/>
      <c r="C153" s="32"/>
      <c r="D153" s="37" t="str">
        <f aca="false">IF($C153="","",IFERROR(INDEX(PO!$D$4:$D$203,MATCH($C153,PO!$A$4:$A$203,0)),""))</f>
        <v/>
      </c>
      <c r="E153" s="37" t="str">
        <f aca="false">IF($C153="","",IFERROR(INDEX(PO!$H$4:$H$203,MATCH($C153,PO!$A$4:$A$203,0)),""))</f>
        <v/>
      </c>
      <c r="F153" s="37" t="str">
        <f aca="false">IF($C153="","",IFERROR(INDEX(PO!$I$4:$I$203,MATCH($C153,PO!$A$4:$A$203,0)),""))</f>
        <v/>
      </c>
      <c r="G153" s="38" t="str">
        <f aca="false">IF($C153="","",IFERROR(INDEX(PO!$L$4:$L$203,MATCH($C153,PO!$A$4:$A$203,0)),""))</f>
        <v/>
      </c>
      <c r="H153" s="34"/>
      <c r="I153" s="34"/>
      <c r="J153" s="38" t="str">
        <f aca="false">IF($A153="","",SUMIFS($H$4:$H$203,$C$4:$C$203,$C153))</f>
        <v/>
      </c>
      <c r="K153" s="38" t="str">
        <f aca="false">IF($A153="","",IFERROR($G153-$J153,""))</f>
        <v/>
      </c>
      <c r="L153" s="32"/>
      <c r="M153" s="32"/>
      <c r="N153" s="32"/>
    </row>
    <row r="154" customFormat="false" ht="15" hidden="false" customHeight="false" outlineLevel="0" collapsed="false">
      <c r="A154" s="32"/>
      <c r="B154" s="33"/>
      <c r="C154" s="32"/>
      <c r="D154" s="37" t="str">
        <f aca="false">IF($C154="","",IFERROR(INDEX(PO!$D$4:$D$203,MATCH($C154,PO!$A$4:$A$203,0)),""))</f>
        <v/>
      </c>
      <c r="E154" s="37" t="str">
        <f aca="false">IF($C154="","",IFERROR(INDEX(PO!$H$4:$H$203,MATCH($C154,PO!$A$4:$A$203,0)),""))</f>
        <v/>
      </c>
      <c r="F154" s="37" t="str">
        <f aca="false">IF($C154="","",IFERROR(INDEX(PO!$I$4:$I$203,MATCH($C154,PO!$A$4:$A$203,0)),""))</f>
        <v/>
      </c>
      <c r="G154" s="38" t="str">
        <f aca="false">IF($C154="","",IFERROR(INDEX(PO!$L$4:$L$203,MATCH($C154,PO!$A$4:$A$203,0)),""))</f>
        <v/>
      </c>
      <c r="H154" s="34"/>
      <c r="I154" s="34"/>
      <c r="J154" s="38" t="str">
        <f aca="false">IF($A154="","",SUMIFS($H$4:$H$203,$C$4:$C$203,$C154))</f>
        <v/>
      </c>
      <c r="K154" s="38" t="str">
        <f aca="false">IF($A154="","",IFERROR($G154-$J154,""))</f>
        <v/>
      </c>
      <c r="L154" s="32"/>
      <c r="M154" s="32"/>
      <c r="N154" s="32"/>
    </row>
    <row r="155" customFormat="false" ht="15" hidden="false" customHeight="false" outlineLevel="0" collapsed="false">
      <c r="A155" s="32"/>
      <c r="B155" s="33"/>
      <c r="C155" s="32"/>
      <c r="D155" s="37" t="str">
        <f aca="false">IF($C155="","",IFERROR(INDEX(PO!$D$4:$D$203,MATCH($C155,PO!$A$4:$A$203,0)),""))</f>
        <v/>
      </c>
      <c r="E155" s="37" t="str">
        <f aca="false">IF($C155="","",IFERROR(INDEX(PO!$H$4:$H$203,MATCH($C155,PO!$A$4:$A$203,0)),""))</f>
        <v/>
      </c>
      <c r="F155" s="37" t="str">
        <f aca="false">IF($C155="","",IFERROR(INDEX(PO!$I$4:$I$203,MATCH($C155,PO!$A$4:$A$203,0)),""))</f>
        <v/>
      </c>
      <c r="G155" s="38" t="str">
        <f aca="false">IF($C155="","",IFERROR(INDEX(PO!$L$4:$L$203,MATCH($C155,PO!$A$4:$A$203,0)),""))</f>
        <v/>
      </c>
      <c r="H155" s="34"/>
      <c r="I155" s="34"/>
      <c r="J155" s="38" t="str">
        <f aca="false">IF($A155="","",SUMIFS($H$4:$H$203,$C$4:$C$203,$C155))</f>
        <v/>
      </c>
      <c r="K155" s="38" t="str">
        <f aca="false">IF($A155="","",IFERROR($G155-$J155,""))</f>
        <v/>
      </c>
      <c r="L155" s="32"/>
      <c r="M155" s="32"/>
      <c r="N155" s="32"/>
    </row>
    <row r="156" customFormat="false" ht="15" hidden="false" customHeight="false" outlineLevel="0" collapsed="false">
      <c r="A156" s="32"/>
      <c r="B156" s="33"/>
      <c r="C156" s="32"/>
      <c r="D156" s="37" t="str">
        <f aca="false">IF($C156="","",IFERROR(INDEX(PO!$D$4:$D$203,MATCH($C156,PO!$A$4:$A$203,0)),""))</f>
        <v/>
      </c>
      <c r="E156" s="37" t="str">
        <f aca="false">IF($C156="","",IFERROR(INDEX(PO!$H$4:$H$203,MATCH($C156,PO!$A$4:$A$203,0)),""))</f>
        <v/>
      </c>
      <c r="F156" s="37" t="str">
        <f aca="false">IF($C156="","",IFERROR(INDEX(PO!$I$4:$I$203,MATCH($C156,PO!$A$4:$A$203,0)),""))</f>
        <v/>
      </c>
      <c r="G156" s="38" t="str">
        <f aca="false">IF($C156="","",IFERROR(INDEX(PO!$L$4:$L$203,MATCH($C156,PO!$A$4:$A$203,0)),""))</f>
        <v/>
      </c>
      <c r="H156" s="34"/>
      <c r="I156" s="34"/>
      <c r="J156" s="38" t="str">
        <f aca="false">IF($A156="","",SUMIFS($H$4:$H$203,$C$4:$C$203,$C156))</f>
        <v/>
      </c>
      <c r="K156" s="38" t="str">
        <f aca="false">IF($A156="","",IFERROR($G156-$J156,""))</f>
        <v/>
      </c>
      <c r="L156" s="32"/>
      <c r="M156" s="32"/>
      <c r="N156" s="32"/>
    </row>
    <row r="157" customFormat="false" ht="15" hidden="false" customHeight="false" outlineLevel="0" collapsed="false">
      <c r="A157" s="32"/>
      <c r="B157" s="33"/>
      <c r="C157" s="32"/>
      <c r="D157" s="37" t="str">
        <f aca="false">IF($C157="","",IFERROR(INDEX(PO!$D$4:$D$203,MATCH($C157,PO!$A$4:$A$203,0)),""))</f>
        <v/>
      </c>
      <c r="E157" s="37" t="str">
        <f aca="false">IF($C157="","",IFERROR(INDEX(PO!$H$4:$H$203,MATCH($C157,PO!$A$4:$A$203,0)),""))</f>
        <v/>
      </c>
      <c r="F157" s="37" t="str">
        <f aca="false">IF($C157="","",IFERROR(INDEX(PO!$I$4:$I$203,MATCH($C157,PO!$A$4:$A$203,0)),""))</f>
        <v/>
      </c>
      <c r="G157" s="38" t="str">
        <f aca="false">IF($C157="","",IFERROR(INDEX(PO!$L$4:$L$203,MATCH($C157,PO!$A$4:$A$203,0)),""))</f>
        <v/>
      </c>
      <c r="H157" s="34"/>
      <c r="I157" s="34"/>
      <c r="J157" s="38" t="str">
        <f aca="false">IF($A157="","",SUMIFS($H$4:$H$203,$C$4:$C$203,$C157))</f>
        <v/>
      </c>
      <c r="K157" s="38" t="str">
        <f aca="false">IF($A157="","",IFERROR($G157-$J157,""))</f>
        <v/>
      </c>
      <c r="L157" s="32"/>
      <c r="M157" s="32"/>
      <c r="N157" s="32"/>
    </row>
    <row r="158" customFormat="false" ht="15" hidden="false" customHeight="false" outlineLevel="0" collapsed="false">
      <c r="A158" s="32"/>
      <c r="B158" s="33"/>
      <c r="C158" s="32"/>
      <c r="D158" s="37" t="str">
        <f aca="false">IF($C158="","",IFERROR(INDEX(PO!$D$4:$D$203,MATCH($C158,PO!$A$4:$A$203,0)),""))</f>
        <v/>
      </c>
      <c r="E158" s="37" t="str">
        <f aca="false">IF($C158="","",IFERROR(INDEX(PO!$H$4:$H$203,MATCH($C158,PO!$A$4:$A$203,0)),""))</f>
        <v/>
      </c>
      <c r="F158" s="37" t="str">
        <f aca="false">IF($C158="","",IFERROR(INDEX(PO!$I$4:$I$203,MATCH($C158,PO!$A$4:$A$203,0)),""))</f>
        <v/>
      </c>
      <c r="G158" s="38" t="str">
        <f aca="false">IF($C158="","",IFERROR(INDEX(PO!$L$4:$L$203,MATCH($C158,PO!$A$4:$A$203,0)),""))</f>
        <v/>
      </c>
      <c r="H158" s="34"/>
      <c r="I158" s="34"/>
      <c r="J158" s="38" t="str">
        <f aca="false">IF($A158="","",SUMIFS($H$4:$H$203,$C$4:$C$203,$C158))</f>
        <v/>
      </c>
      <c r="K158" s="38" t="str">
        <f aca="false">IF($A158="","",IFERROR($G158-$J158,""))</f>
        <v/>
      </c>
      <c r="L158" s="32"/>
      <c r="M158" s="32"/>
      <c r="N158" s="32"/>
    </row>
    <row r="159" customFormat="false" ht="15" hidden="false" customHeight="false" outlineLevel="0" collapsed="false">
      <c r="A159" s="32"/>
      <c r="B159" s="33"/>
      <c r="C159" s="32"/>
      <c r="D159" s="37" t="str">
        <f aca="false">IF($C159="","",IFERROR(INDEX(PO!$D$4:$D$203,MATCH($C159,PO!$A$4:$A$203,0)),""))</f>
        <v/>
      </c>
      <c r="E159" s="37" t="str">
        <f aca="false">IF($C159="","",IFERROR(INDEX(PO!$H$4:$H$203,MATCH($C159,PO!$A$4:$A$203,0)),""))</f>
        <v/>
      </c>
      <c r="F159" s="37" t="str">
        <f aca="false">IF($C159="","",IFERROR(INDEX(PO!$I$4:$I$203,MATCH($C159,PO!$A$4:$A$203,0)),""))</f>
        <v/>
      </c>
      <c r="G159" s="38" t="str">
        <f aca="false">IF($C159="","",IFERROR(INDEX(PO!$L$4:$L$203,MATCH($C159,PO!$A$4:$A$203,0)),""))</f>
        <v/>
      </c>
      <c r="H159" s="34"/>
      <c r="I159" s="34"/>
      <c r="J159" s="38" t="str">
        <f aca="false">IF($A159="","",SUMIFS($H$4:$H$203,$C$4:$C$203,$C159))</f>
        <v/>
      </c>
      <c r="K159" s="38" t="str">
        <f aca="false">IF($A159="","",IFERROR($G159-$J159,""))</f>
        <v/>
      </c>
      <c r="L159" s="32"/>
      <c r="M159" s="32"/>
      <c r="N159" s="32"/>
    </row>
    <row r="160" customFormat="false" ht="15" hidden="false" customHeight="false" outlineLevel="0" collapsed="false">
      <c r="A160" s="32"/>
      <c r="B160" s="33"/>
      <c r="C160" s="32"/>
      <c r="D160" s="37" t="str">
        <f aca="false">IF($C160="","",IFERROR(INDEX(PO!$D$4:$D$203,MATCH($C160,PO!$A$4:$A$203,0)),""))</f>
        <v/>
      </c>
      <c r="E160" s="37" t="str">
        <f aca="false">IF($C160="","",IFERROR(INDEX(PO!$H$4:$H$203,MATCH($C160,PO!$A$4:$A$203,0)),""))</f>
        <v/>
      </c>
      <c r="F160" s="37" t="str">
        <f aca="false">IF($C160="","",IFERROR(INDEX(PO!$I$4:$I$203,MATCH($C160,PO!$A$4:$A$203,0)),""))</f>
        <v/>
      </c>
      <c r="G160" s="38" t="str">
        <f aca="false">IF($C160="","",IFERROR(INDEX(PO!$L$4:$L$203,MATCH($C160,PO!$A$4:$A$203,0)),""))</f>
        <v/>
      </c>
      <c r="H160" s="34"/>
      <c r="I160" s="34"/>
      <c r="J160" s="38" t="str">
        <f aca="false">IF($A160="","",SUMIFS($H$4:$H$203,$C$4:$C$203,$C160))</f>
        <v/>
      </c>
      <c r="K160" s="38" t="str">
        <f aca="false">IF($A160="","",IFERROR($G160-$J160,""))</f>
        <v/>
      </c>
      <c r="L160" s="32"/>
      <c r="M160" s="32"/>
      <c r="N160" s="32"/>
    </row>
    <row r="161" customFormat="false" ht="15" hidden="false" customHeight="false" outlineLevel="0" collapsed="false">
      <c r="A161" s="32"/>
      <c r="B161" s="33"/>
      <c r="C161" s="32"/>
      <c r="D161" s="37" t="str">
        <f aca="false">IF($C161="","",IFERROR(INDEX(PO!$D$4:$D$203,MATCH($C161,PO!$A$4:$A$203,0)),""))</f>
        <v/>
      </c>
      <c r="E161" s="37" t="str">
        <f aca="false">IF($C161="","",IFERROR(INDEX(PO!$H$4:$H$203,MATCH($C161,PO!$A$4:$A$203,0)),""))</f>
        <v/>
      </c>
      <c r="F161" s="37" t="str">
        <f aca="false">IF($C161="","",IFERROR(INDEX(PO!$I$4:$I$203,MATCH($C161,PO!$A$4:$A$203,0)),""))</f>
        <v/>
      </c>
      <c r="G161" s="38" t="str">
        <f aca="false">IF($C161="","",IFERROR(INDEX(PO!$L$4:$L$203,MATCH($C161,PO!$A$4:$A$203,0)),""))</f>
        <v/>
      </c>
      <c r="H161" s="34"/>
      <c r="I161" s="34"/>
      <c r="J161" s="38" t="str">
        <f aca="false">IF($A161="","",SUMIFS($H$4:$H$203,$C$4:$C$203,$C161))</f>
        <v/>
      </c>
      <c r="K161" s="38" t="str">
        <f aca="false">IF($A161="","",IFERROR($G161-$J161,""))</f>
        <v/>
      </c>
      <c r="L161" s="32"/>
      <c r="M161" s="32"/>
      <c r="N161" s="32"/>
    </row>
    <row r="162" customFormat="false" ht="15" hidden="false" customHeight="false" outlineLevel="0" collapsed="false">
      <c r="A162" s="32"/>
      <c r="B162" s="33"/>
      <c r="C162" s="32"/>
      <c r="D162" s="37" t="str">
        <f aca="false">IF($C162="","",IFERROR(INDEX(PO!$D$4:$D$203,MATCH($C162,PO!$A$4:$A$203,0)),""))</f>
        <v/>
      </c>
      <c r="E162" s="37" t="str">
        <f aca="false">IF($C162="","",IFERROR(INDEX(PO!$H$4:$H$203,MATCH($C162,PO!$A$4:$A$203,0)),""))</f>
        <v/>
      </c>
      <c r="F162" s="37" t="str">
        <f aca="false">IF($C162="","",IFERROR(INDEX(PO!$I$4:$I$203,MATCH($C162,PO!$A$4:$A$203,0)),""))</f>
        <v/>
      </c>
      <c r="G162" s="38" t="str">
        <f aca="false">IF($C162="","",IFERROR(INDEX(PO!$L$4:$L$203,MATCH($C162,PO!$A$4:$A$203,0)),""))</f>
        <v/>
      </c>
      <c r="H162" s="34"/>
      <c r="I162" s="34"/>
      <c r="J162" s="38" t="str">
        <f aca="false">IF($A162="","",SUMIFS($H$4:$H$203,$C$4:$C$203,$C162))</f>
        <v/>
      </c>
      <c r="K162" s="38" t="str">
        <f aca="false">IF($A162="","",IFERROR($G162-$J162,""))</f>
        <v/>
      </c>
      <c r="L162" s="32"/>
      <c r="M162" s="32"/>
      <c r="N162" s="32"/>
    </row>
    <row r="163" customFormat="false" ht="15" hidden="false" customHeight="false" outlineLevel="0" collapsed="false">
      <c r="A163" s="32"/>
      <c r="B163" s="33"/>
      <c r="C163" s="32"/>
      <c r="D163" s="37" t="str">
        <f aca="false">IF($C163="","",IFERROR(INDEX(PO!$D$4:$D$203,MATCH($C163,PO!$A$4:$A$203,0)),""))</f>
        <v/>
      </c>
      <c r="E163" s="37" t="str">
        <f aca="false">IF($C163="","",IFERROR(INDEX(PO!$H$4:$H$203,MATCH($C163,PO!$A$4:$A$203,0)),""))</f>
        <v/>
      </c>
      <c r="F163" s="37" t="str">
        <f aca="false">IF($C163="","",IFERROR(INDEX(PO!$I$4:$I$203,MATCH($C163,PO!$A$4:$A$203,0)),""))</f>
        <v/>
      </c>
      <c r="G163" s="38" t="str">
        <f aca="false">IF($C163="","",IFERROR(INDEX(PO!$L$4:$L$203,MATCH($C163,PO!$A$4:$A$203,0)),""))</f>
        <v/>
      </c>
      <c r="H163" s="34"/>
      <c r="I163" s="34"/>
      <c r="J163" s="38" t="str">
        <f aca="false">IF($A163="","",SUMIFS($H$4:$H$203,$C$4:$C$203,$C163))</f>
        <v/>
      </c>
      <c r="K163" s="38" t="str">
        <f aca="false">IF($A163="","",IFERROR($G163-$J163,""))</f>
        <v/>
      </c>
      <c r="L163" s="32"/>
      <c r="M163" s="32"/>
      <c r="N163" s="32"/>
    </row>
    <row r="164" customFormat="false" ht="15" hidden="false" customHeight="false" outlineLevel="0" collapsed="false">
      <c r="A164" s="32"/>
      <c r="B164" s="33"/>
      <c r="C164" s="32"/>
      <c r="D164" s="37" t="str">
        <f aca="false">IF($C164="","",IFERROR(INDEX(PO!$D$4:$D$203,MATCH($C164,PO!$A$4:$A$203,0)),""))</f>
        <v/>
      </c>
      <c r="E164" s="37" t="str">
        <f aca="false">IF($C164="","",IFERROR(INDEX(PO!$H$4:$H$203,MATCH($C164,PO!$A$4:$A$203,0)),""))</f>
        <v/>
      </c>
      <c r="F164" s="37" t="str">
        <f aca="false">IF($C164="","",IFERROR(INDEX(PO!$I$4:$I$203,MATCH($C164,PO!$A$4:$A$203,0)),""))</f>
        <v/>
      </c>
      <c r="G164" s="38" t="str">
        <f aca="false">IF($C164="","",IFERROR(INDEX(PO!$L$4:$L$203,MATCH($C164,PO!$A$4:$A$203,0)),""))</f>
        <v/>
      </c>
      <c r="H164" s="34"/>
      <c r="I164" s="34"/>
      <c r="J164" s="38" t="str">
        <f aca="false">IF($A164="","",SUMIFS($H$4:$H$203,$C$4:$C$203,$C164))</f>
        <v/>
      </c>
      <c r="K164" s="38" t="str">
        <f aca="false">IF($A164="","",IFERROR($G164-$J164,""))</f>
        <v/>
      </c>
      <c r="L164" s="32"/>
      <c r="M164" s="32"/>
      <c r="N164" s="32"/>
    </row>
    <row r="165" customFormat="false" ht="15" hidden="false" customHeight="false" outlineLevel="0" collapsed="false">
      <c r="A165" s="32"/>
      <c r="B165" s="33"/>
      <c r="C165" s="32"/>
      <c r="D165" s="37" t="str">
        <f aca="false">IF($C165="","",IFERROR(INDEX(PO!$D$4:$D$203,MATCH($C165,PO!$A$4:$A$203,0)),""))</f>
        <v/>
      </c>
      <c r="E165" s="37" t="str">
        <f aca="false">IF($C165="","",IFERROR(INDEX(PO!$H$4:$H$203,MATCH($C165,PO!$A$4:$A$203,0)),""))</f>
        <v/>
      </c>
      <c r="F165" s="37" t="str">
        <f aca="false">IF($C165="","",IFERROR(INDEX(PO!$I$4:$I$203,MATCH($C165,PO!$A$4:$A$203,0)),""))</f>
        <v/>
      </c>
      <c r="G165" s="38" t="str">
        <f aca="false">IF($C165="","",IFERROR(INDEX(PO!$L$4:$L$203,MATCH($C165,PO!$A$4:$A$203,0)),""))</f>
        <v/>
      </c>
      <c r="H165" s="34"/>
      <c r="I165" s="34"/>
      <c r="J165" s="38" t="str">
        <f aca="false">IF($A165="","",SUMIFS($H$4:$H$203,$C$4:$C$203,$C165))</f>
        <v/>
      </c>
      <c r="K165" s="38" t="str">
        <f aca="false">IF($A165="","",IFERROR($G165-$J165,""))</f>
        <v/>
      </c>
      <c r="L165" s="32"/>
      <c r="M165" s="32"/>
      <c r="N165" s="32"/>
    </row>
    <row r="166" customFormat="false" ht="15" hidden="false" customHeight="false" outlineLevel="0" collapsed="false">
      <c r="A166" s="32"/>
      <c r="B166" s="33"/>
      <c r="C166" s="32"/>
      <c r="D166" s="37" t="str">
        <f aca="false">IF($C166="","",IFERROR(INDEX(PO!$D$4:$D$203,MATCH($C166,PO!$A$4:$A$203,0)),""))</f>
        <v/>
      </c>
      <c r="E166" s="37" t="str">
        <f aca="false">IF($C166="","",IFERROR(INDEX(PO!$H$4:$H$203,MATCH($C166,PO!$A$4:$A$203,0)),""))</f>
        <v/>
      </c>
      <c r="F166" s="37" t="str">
        <f aca="false">IF($C166="","",IFERROR(INDEX(PO!$I$4:$I$203,MATCH($C166,PO!$A$4:$A$203,0)),""))</f>
        <v/>
      </c>
      <c r="G166" s="38" t="str">
        <f aca="false">IF($C166="","",IFERROR(INDEX(PO!$L$4:$L$203,MATCH($C166,PO!$A$4:$A$203,0)),""))</f>
        <v/>
      </c>
      <c r="H166" s="34"/>
      <c r="I166" s="34"/>
      <c r="J166" s="38" t="str">
        <f aca="false">IF($A166="","",SUMIFS($H$4:$H$203,$C$4:$C$203,$C166))</f>
        <v/>
      </c>
      <c r="K166" s="38" t="str">
        <f aca="false">IF($A166="","",IFERROR($G166-$J166,""))</f>
        <v/>
      </c>
      <c r="L166" s="32"/>
      <c r="M166" s="32"/>
      <c r="N166" s="32"/>
    </row>
    <row r="167" customFormat="false" ht="15" hidden="false" customHeight="false" outlineLevel="0" collapsed="false">
      <c r="A167" s="32"/>
      <c r="B167" s="33"/>
      <c r="C167" s="32"/>
      <c r="D167" s="37" t="str">
        <f aca="false">IF($C167="","",IFERROR(INDEX(PO!$D$4:$D$203,MATCH($C167,PO!$A$4:$A$203,0)),""))</f>
        <v/>
      </c>
      <c r="E167" s="37" t="str">
        <f aca="false">IF($C167="","",IFERROR(INDEX(PO!$H$4:$H$203,MATCH($C167,PO!$A$4:$A$203,0)),""))</f>
        <v/>
      </c>
      <c r="F167" s="37" t="str">
        <f aca="false">IF($C167="","",IFERROR(INDEX(PO!$I$4:$I$203,MATCH($C167,PO!$A$4:$A$203,0)),""))</f>
        <v/>
      </c>
      <c r="G167" s="38" t="str">
        <f aca="false">IF($C167="","",IFERROR(INDEX(PO!$L$4:$L$203,MATCH($C167,PO!$A$4:$A$203,0)),""))</f>
        <v/>
      </c>
      <c r="H167" s="34"/>
      <c r="I167" s="34"/>
      <c r="J167" s="38" t="str">
        <f aca="false">IF($A167="","",SUMIFS($H$4:$H$203,$C$4:$C$203,$C167))</f>
        <v/>
      </c>
      <c r="K167" s="38" t="str">
        <f aca="false">IF($A167="","",IFERROR($G167-$J167,""))</f>
        <v/>
      </c>
      <c r="L167" s="32"/>
      <c r="M167" s="32"/>
      <c r="N167" s="32"/>
    </row>
    <row r="168" customFormat="false" ht="15" hidden="false" customHeight="false" outlineLevel="0" collapsed="false">
      <c r="A168" s="32"/>
      <c r="B168" s="33"/>
      <c r="C168" s="32"/>
      <c r="D168" s="37" t="str">
        <f aca="false">IF($C168="","",IFERROR(INDEX(PO!$D$4:$D$203,MATCH($C168,PO!$A$4:$A$203,0)),""))</f>
        <v/>
      </c>
      <c r="E168" s="37" t="str">
        <f aca="false">IF($C168="","",IFERROR(INDEX(PO!$H$4:$H$203,MATCH($C168,PO!$A$4:$A$203,0)),""))</f>
        <v/>
      </c>
      <c r="F168" s="37" t="str">
        <f aca="false">IF($C168="","",IFERROR(INDEX(PO!$I$4:$I$203,MATCH($C168,PO!$A$4:$A$203,0)),""))</f>
        <v/>
      </c>
      <c r="G168" s="38" t="str">
        <f aca="false">IF($C168="","",IFERROR(INDEX(PO!$L$4:$L$203,MATCH($C168,PO!$A$4:$A$203,0)),""))</f>
        <v/>
      </c>
      <c r="H168" s="34"/>
      <c r="I168" s="34"/>
      <c r="J168" s="38" t="str">
        <f aca="false">IF($A168="","",SUMIFS($H$4:$H$203,$C$4:$C$203,$C168))</f>
        <v/>
      </c>
      <c r="K168" s="38" t="str">
        <f aca="false">IF($A168="","",IFERROR($G168-$J168,""))</f>
        <v/>
      </c>
      <c r="L168" s="32"/>
      <c r="M168" s="32"/>
      <c r="N168" s="32"/>
    </row>
    <row r="169" customFormat="false" ht="15" hidden="false" customHeight="false" outlineLevel="0" collapsed="false">
      <c r="A169" s="32"/>
      <c r="B169" s="33"/>
      <c r="C169" s="32"/>
      <c r="D169" s="37" t="str">
        <f aca="false">IF($C169="","",IFERROR(INDEX(PO!$D$4:$D$203,MATCH($C169,PO!$A$4:$A$203,0)),""))</f>
        <v/>
      </c>
      <c r="E169" s="37" t="str">
        <f aca="false">IF($C169="","",IFERROR(INDEX(PO!$H$4:$H$203,MATCH($C169,PO!$A$4:$A$203,0)),""))</f>
        <v/>
      </c>
      <c r="F169" s="37" t="str">
        <f aca="false">IF($C169="","",IFERROR(INDEX(PO!$I$4:$I$203,MATCH($C169,PO!$A$4:$A$203,0)),""))</f>
        <v/>
      </c>
      <c r="G169" s="38" t="str">
        <f aca="false">IF($C169="","",IFERROR(INDEX(PO!$L$4:$L$203,MATCH($C169,PO!$A$4:$A$203,0)),""))</f>
        <v/>
      </c>
      <c r="H169" s="34"/>
      <c r="I169" s="34"/>
      <c r="J169" s="38" t="str">
        <f aca="false">IF($A169="","",SUMIFS($H$4:$H$203,$C$4:$C$203,$C169))</f>
        <v/>
      </c>
      <c r="K169" s="38" t="str">
        <f aca="false">IF($A169="","",IFERROR($G169-$J169,""))</f>
        <v/>
      </c>
      <c r="L169" s="32"/>
      <c r="M169" s="32"/>
      <c r="N169" s="32"/>
    </row>
    <row r="170" customFormat="false" ht="15" hidden="false" customHeight="false" outlineLevel="0" collapsed="false">
      <c r="A170" s="32"/>
      <c r="B170" s="33"/>
      <c r="C170" s="32"/>
      <c r="D170" s="37" t="str">
        <f aca="false">IF($C170="","",IFERROR(INDEX(PO!$D$4:$D$203,MATCH($C170,PO!$A$4:$A$203,0)),""))</f>
        <v/>
      </c>
      <c r="E170" s="37" t="str">
        <f aca="false">IF($C170="","",IFERROR(INDEX(PO!$H$4:$H$203,MATCH($C170,PO!$A$4:$A$203,0)),""))</f>
        <v/>
      </c>
      <c r="F170" s="37" t="str">
        <f aca="false">IF($C170="","",IFERROR(INDEX(PO!$I$4:$I$203,MATCH($C170,PO!$A$4:$A$203,0)),""))</f>
        <v/>
      </c>
      <c r="G170" s="38" t="str">
        <f aca="false">IF($C170="","",IFERROR(INDEX(PO!$L$4:$L$203,MATCH($C170,PO!$A$4:$A$203,0)),""))</f>
        <v/>
      </c>
      <c r="H170" s="34"/>
      <c r="I170" s="34"/>
      <c r="J170" s="38" t="str">
        <f aca="false">IF($A170="","",SUMIFS($H$4:$H$203,$C$4:$C$203,$C170))</f>
        <v/>
      </c>
      <c r="K170" s="38" t="str">
        <f aca="false">IF($A170="","",IFERROR($G170-$J170,""))</f>
        <v/>
      </c>
      <c r="L170" s="32"/>
      <c r="M170" s="32"/>
      <c r="N170" s="32"/>
    </row>
    <row r="171" customFormat="false" ht="15" hidden="false" customHeight="false" outlineLevel="0" collapsed="false">
      <c r="A171" s="32"/>
      <c r="B171" s="33"/>
      <c r="C171" s="32"/>
      <c r="D171" s="37" t="str">
        <f aca="false">IF($C171="","",IFERROR(INDEX(PO!$D$4:$D$203,MATCH($C171,PO!$A$4:$A$203,0)),""))</f>
        <v/>
      </c>
      <c r="E171" s="37" t="str">
        <f aca="false">IF($C171="","",IFERROR(INDEX(PO!$H$4:$H$203,MATCH($C171,PO!$A$4:$A$203,0)),""))</f>
        <v/>
      </c>
      <c r="F171" s="37" t="str">
        <f aca="false">IF($C171="","",IFERROR(INDEX(PO!$I$4:$I$203,MATCH($C171,PO!$A$4:$A$203,0)),""))</f>
        <v/>
      </c>
      <c r="G171" s="38" t="str">
        <f aca="false">IF($C171="","",IFERROR(INDEX(PO!$L$4:$L$203,MATCH($C171,PO!$A$4:$A$203,0)),""))</f>
        <v/>
      </c>
      <c r="H171" s="34"/>
      <c r="I171" s="34"/>
      <c r="J171" s="38" t="str">
        <f aca="false">IF($A171="","",SUMIFS($H$4:$H$203,$C$4:$C$203,$C171))</f>
        <v/>
      </c>
      <c r="K171" s="38" t="str">
        <f aca="false">IF($A171="","",IFERROR($G171-$J171,""))</f>
        <v/>
      </c>
      <c r="L171" s="32"/>
      <c r="M171" s="32"/>
      <c r="N171" s="32"/>
    </row>
    <row r="172" customFormat="false" ht="15" hidden="false" customHeight="false" outlineLevel="0" collapsed="false">
      <c r="A172" s="32"/>
      <c r="B172" s="33"/>
      <c r="C172" s="32"/>
      <c r="D172" s="37" t="str">
        <f aca="false">IF($C172="","",IFERROR(INDEX(PO!$D$4:$D$203,MATCH($C172,PO!$A$4:$A$203,0)),""))</f>
        <v/>
      </c>
      <c r="E172" s="37" t="str">
        <f aca="false">IF($C172="","",IFERROR(INDEX(PO!$H$4:$H$203,MATCH($C172,PO!$A$4:$A$203,0)),""))</f>
        <v/>
      </c>
      <c r="F172" s="37" t="str">
        <f aca="false">IF($C172="","",IFERROR(INDEX(PO!$I$4:$I$203,MATCH($C172,PO!$A$4:$A$203,0)),""))</f>
        <v/>
      </c>
      <c r="G172" s="38" t="str">
        <f aca="false">IF($C172="","",IFERROR(INDEX(PO!$L$4:$L$203,MATCH($C172,PO!$A$4:$A$203,0)),""))</f>
        <v/>
      </c>
      <c r="H172" s="34"/>
      <c r="I172" s="34"/>
      <c r="J172" s="38" t="str">
        <f aca="false">IF($A172="","",SUMIFS($H$4:$H$203,$C$4:$C$203,$C172))</f>
        <v/>
      </c>
      <c r="K172" s="38" t="str">
        <f aca="false">IF($A172="","",IFERROR($G172-$J172,""))</f>
        <v/>
      </c>
      <c r="L172" s="32"/>
      <c r="M172" s="32"/>
      <c r="N172" s="32"/>
    </row>
    <row r="173" customFormat="false" ht="15" hidden="false" customHeight="false" outlineLevel="0" collapsed="false">
      <c r="A173" s="32"/>
      <c r="B173" s="33"/>
      <c r="C173" s="32"/>
      <c r="D173" s="37" t="str">
        <f aca="false">IF($C173="","",IFERROR(INDEX(PO!$D$4:$D$203,MATCH($C173,PO!$A$4:$A$203,0)),""))</f>
        <v/>
      </c>
      <c r="E173" s="37" t="str">
        <f aca="false">IF($C173="","",IFERROR(INDEX(PO!$H$4:$H$203,MATCH($C173,PO!$A$4:$A$203,0)),""))</f>
        <v/>
      </c>
      <c r="F173" s="37" t="str">
        <f aca="false">IF($C173="","",IFERROR(INDEX(PO!$I$4:$I$203,MATCH($C173,PO!$A$4:$A$203,0)),""))</f>
        <v/>
      </c>
      <c r="G173" s="38" t="str">
        <f aca="false">IF($C173="","",IFERROR(INDEX(PO!$L$4:$L$203,MATCH($C173,PO!$A$4:$A$203,0)),""))</f>
        <v/>
      </c>
      <c r="H173" s="34"/>
      <c r="I173" s="34"/>
      <c r="J173" s="38" t="str">
        <f aca="false">IF($A173="","",SUMIFS($H$4:$H$203,$C$4:$C$203,$C173))</f>
        <v/>
      </c>
      <c r="K173" s="38" t="str">
        <f aca="false">IF($A173="","",IFERROR($G173-$J173,""))</f>
        <v/>
      </c>
      <c r="L173" s="32"/>
      <c r="M173" s="32"/>
      <c r="N173" s="32"/>
    </row>
    <row r="174" customFormat="false" ht="15" hidden="false" customHeight="false" outlineLevel="0" collapsed="false">
      <c r="A174" s="32"/>
      <c r="B174" s="33"/>
      <c r="C174" s="32"/>
      <c r="D174" s="37" t="str">
        <f aca="false">IF($C174="","",IFERROR(INDEX(PO!$D$4:$D$203,MATCH($C174,PO!$A$4:$A$203,0)),""))</f>
        <v/>
      </c>
      <c r="E174" s="37" t="str">
        <f aca="false">IF($C174="","",IFERROR(INDEX(PO!$H$4:$H$203,MATCH($C174,PO!$A$4:$A$203,0)),""))</f>
        <v/>
      </c>
      <c r="F174" s="37" t="str">
        <f aca="false">IF($C174="","",IFERROR(INDEX(PO!$I$4:$I$203,MATCH($C174,PO!$A$4:$A$203,0)),""))</f>
        <v/>
      </c>
      <c r="G174" s="38" t="str">
        <f aca="false">IF($C174="","",IFERROR(INDEX(PO!$L$4:$L$203,MATCH($C174,PO!$A$4:$A$203,0)),""))</f>
        <v/>
      </c>
      <c r="H174" s="34"/>
      <c r="I174" s="34"/>
      <c r="J174" s="38" t="str">
        <f aca="false">IF($A174="","",SUMIFS($H$4:$H$203,$C$4:$C$203,$C174))</f>
        <v/>
      </c>
      <c r="K174" s="38" t="str">
        <f aca="false">IF($A174="","",IFERROR($G174-$J174,""))</f>
        <v/>
      </c>
      <c r="L174" s="32"/>
      <c r="M174" s="32"/>
      <c r="N174" s="32"/>
    </row>
    <row r="175" customFormat="false" ht="15" hidden="false" customHeight="false" outlineLevel="0" collapsed="false">
      <c r="A175" s="32"/>
      <c r="B175" s="33"/>
      <c r="C175" s="32"/>
      <c r="D175" s="37" t="str">
        <f aca="false">IF($C175="","",IFERROR(INDEX(PO!$D$4:$D$203,MATCH($C175,PO!$A$4:$A$203,0)),""))</f>
        <v/>
      </c>
      <c r="E175" s="37" t="str">
        <f aca="false">IF($C175="","",IFERROR(INDEX(PO!$H$4:$H$203,MATCH($C175,PO!$A$4:$A$203,0)),""))</f>
        <v/>
      </c>
      <c r="F175" s="37" t="str">
        <f aca="false">IF($C175="","",IFERROR(INDEX(PO!$I$4:$I$203,MATCH($C175,PO!$A$4:$A$203,0)),""))</f>
        <v/>
      </c>
      <c r="G175" s="38" t="str">
        <f aca="false">IF($C175="","",IFERROR(INDEX(PO!$L$4:$L$203,MATCH($C175,PO!$A$4:$A$203,0)),""))</f>
        <v/>
      </c>
      <c r="H175" s="34"/>
      <c r="I175" s="34"/>
      <c r="J175" s="38" t="str">
        <f aca="false">IF($A175="","",SUMIFS($H$4:$H$203,$C$4:$C$203,$C175))</f>
        <v/>
      </c>
      <c r="K175" s="38" t="str">
        <f aca="false">IF($A175="","",IFERROR($G175-$J175,""))</f>
        <v/>
      </c>
      <c r="L175" s="32"/>
      <c r="M175" s="32"/>
      <c r="N175" s="32"/>
    </row>
    <row r="176" customFormat="false" ht="15" hidden="false" customHeight="false" outlineLevel="0" collapsed="false">
      <c r="A176" s="32"/>
      <c r="B176" s="33"/>
      <c r="C176" s="32"/>
      <c r="D176" s="37" t="str">
        <f aca="false">IF($C176="","",IFERROR(INDEX(PO!$D$4:$D$203,MATCH($C176,PO!$A$4:$A$203,0)),""))</f>
        <v/>
      </c>
      <c r="E176" s="37" t="str">
        <f aca="false">IF($C176="","",IFERROR(INDEX(PO!$H$4:$H$203,MATCH($C176,PO!$A$4:$A$203,0)),""))</f>
        <v/>
      </c>
      <c r="F176" s="37" t="str">
        <f aca="false">IF($C176="","",IFERROR(INDEX(PO!$I$4:$I$203,MATCH($C176,PO!$A$4:$A$203,0)),""))</f>
        <v/>
      </c>
      <c r="G176" s="38" t="str">
        <f aca="false">IF($C176="","",IFERROR(INDEX(PO!$L$4:$L$203,MATCH($C176,PO!$A$4:$A$203,0)),""))</f>
        <v/>
      </c>
      <c r="H176" s="34"/>
      <c r="I176" s="34"/>
      <c r="J176" s="38" t="str">
        <f aca="false">IF($A176="","",SUMIFS($H$4:$H$203,$C$4:$C$203,$C176))</f>
        <v/>
      </c>
      <c r="K176" s="38" t="str">
        <f aca="false">IF($A176="","",IFERROR($G176-$J176,""))</f>
        <v/>
      </c>
      <c r="L176" s="32"/>
      <c r="M176" s="32"/>
      <c r="N176" s="32"/>
    </row>
    <row r="177" customFormat="false" ht="15" hidden="false" customHeight="false" outlineLevel="0" collapsed="false">
      <c r="A177" s="32"/>
      <c r="B177" s="33"/>
      <c r="C177" s="32"/>
      <c r="D177" s="37" t="str">
        <f aca="false">IF($C177="","",IFERROR(INDEX(PO!$D$4:$D$203,MATCH($C177,PO!$A$4:$A$203,0)),""))</f>
        <v/>
      </c>
      <c r="E177" s="37" t="str">
        <f aca="false">IF($C177="","",IFERROR(INDEX(PO!$H$4:$H$203,MATCH($C177,PO!$A$4:$A$203,0)),""))</f>
        <v/>
      </c>
      <c r="F177" s="37" t="str">
        <f aca="false">IF($C177="","",IFERROR(INDEX(PO!$I$4:$I$203,MATCH($C177,PO!$A$4:$A$203,0)),""))</f>
        <v/>
      </c>
      <c r="G177" s="38" t="str">
        <f aca="false">IF($C177="","",IFERROR(INDEX(PO!$L$4:$L$203,MATCH($C177,PO!$A$4:$A$203,0)),""))</f>
        <v/>
      </c>
      <c r="H177" s="34"/>
      <c r="I177" s="34"/>
      <c r="J177" s="38" t="str">
        <f aca="false">IF($A177="","",SUMIFS($H$4:$H$203,$C$4:$C$203,$C177))</f>
        <v/>
      </c>
      <c r="K177" s="38" t="str">
        <f aca="false">IF($A177="","",IFERROR($G177-$J177,""))</f>
        <v/>
      </c>
      <c r="L177" s="32"/>
      <c r="M177" s="32"/>
      <c r="N177" s="32"/>
    </row>
    <row r="178" customFormat="false" ht="15" hidden="false" customHeight="false" outlineLevel="0" collapsed="false">
      <c r="A178" s="32"/>
      <c r="B178" s="33"/>
      <c r="C178" s="32"/>
      <c r="D178" s="37" t="str">
        <f aca="false">IF($C178="","",IFERROR(INDEX(PO!$D$4:$D$203,MATCH($C178,PO!$A$4:$A$203,0)),""))</f>
        <v/>
      </c>
      <c r="E178" s="37" t="str">
        <f aca="false">IF($C178="","",IFERROR(INDEX(PO!$H$4:$H$203,MATCH($C178,PO!$A$4:$A$203,0)),""))</f>
        <v/>
      </c>
      <c r="F178" s="37" t="str">
        <f aca="false">IF($C178="","",IFERROR(INDEX(PO!$I$4:$I$203,MATCH($C178,PO!$A$4:$A$203,0)),""))</f>
        <v/>
      </c>
      <c r="G178" s="38" t="str">
        <f aca="false">IF($C178="","",IFERROR(INDEX(PO!$L$4:$L$203,MATCH($C178,PO!$A$4:$A$203,0)),""))</f>
        <v/>
      </c>
      <c r="H178" s="34"/>
      <c r="I178" s="34"/>
      <c r="J178" s="38" t="str">
        <f aca="false">IF($A178="","",SUMIFS($H$4:$H$203,$C$4:$C$203,$C178))</f>
        <v/>
      </c>
      <c r="K178" s="38" t="str">
        <f aca="false">IF($A178="","",IFERROR($G178-$J178,""))</f>
        <v/>
      </c>
      <c r="L178" s="32"/>
      <c r="M178" s="32"/>
      <c r="N178" s="32"/>
    </row>
    <row r="179" customFormat="false" ht="15" hidden="false" customHeight="false" outlineLevel="0" collapsed="false">
      <c r="A179" s="32"/>
      <c r="B179" s="33"/>
      <c r="C179" s="32"/>
      <c r="D179" s="37" t="str">
        <f aca="false">IF($C179="","",IFERROR(INDEX(PO!$D$4:$D$203,MATCH($C179,PO!$A$4:$A$203,0)),""))</f>
        <v/>
      </c>
      <c r="E179" s="37" t="str">
        <f aca="false">IF($C179="","",IFERROR(INDEX(PO!$H$4:$H$203,MATCH($C179,PO!$A$4:$A$203,0)),""))</f>
        <v/>
      </c>
      <c r="F179" s="37" t="str">
        <f aca="false">IF($C179="","",IFERROR(INDEX(PO!$I$4:$I$203,MATCH($C179,PO!$A$4:$A$203,0)),""))</f>
        <v/>
      </c>
      <c r="G179" s="38" t="str">
        <f aca="false">IF($C179="","",IFERROR(INDEX(PO!$L$4:$L$203,MATCH($C179,PO!$A$4:$A$203,0)),""))</f>
        <v/>
      </c>
      <c r="H179" s="34"/>
      <c r="I179" s="34"/>
      <c r="J179" s="38" t="str">
        <f aca="false">IF($A179="","",SUMIFS($H$4:$H$203,$C$4:$C$203,$C179))</f>
        <v/>
      </c>
      <c r="K179" s="38" t="str">
        <f aca="false">IF($A179="","",IFERROR($G179-$J179,""))</f>
        <v/>
      </c>
      <c r="L179" s="32"/>
      <c r="M179" s="32"/>
      <c r="N179" s="32"/>
    </row>
    <row r="180" customFormat="false" ht="15" hidden="false" customHeight="false" outlineLevel="0" collapsed="false">
      <c r="A180" s="32"/>
      <c r="B180" s="33"/>
      <c r="C180" s="32"/>
      <c r="D180" s="37" t="str">
        <f aca="false">IF($C180="","",IFERROR(INDEX(PO!$D$4:$D$203,MATCH($C180,PO!$A$4:$A$203,0)),""))</f>
        <v/>
      </c>
      <c r="E180" s="37" t="str">
        <f aca="false">IF($C180="","",IFERROR(INDEX(PO!$H$4:$H$203,MATCH($C180,PO!$A$4:$A$203,0)),""))</f>
        <v/>
      </c>
      <c r="F180" s="37" t="str">
        <f aca="false">IF($C180="","",IFERROR(INDEX(PO!$I$4:$I$203,MATCH($C180,PO!$A$4:$A$203,0)),""))</f>
        <v/>
      </c>
      <c r="G180" s="38" t="str">
        <f aca="false">IF($C180="","",IFERROR(INDEX(PO!$L$4:$L$203,MATCH($C180,PO!$A$4:$A$203,0)),""))</f>
        <v/>
      </c>
      <c r="H180" s="34"/>
      <c r="I180" s="34"/>
      <c r="J180" s="38" t="str">
        <f aca="false">IF($A180="","",SUMIFS($H$4:$H$203,$C$4:$C$203,$C180))</f>
        <v/>
      </c>
      <c r="K180" s="38" t="str">
        <f aca="false">IF($A180="","",IFERROR($G180-$J180,""))</f>
        <v/>
      </c>
      <c r="L180" s="32"/>
      <c r="M180" s="32"/>
      <c r="N180" s="32"/>
    </row>
    <row r="181" customFormat="false" ht="15" hidden="false" customHeight="false" outlineLevel="0" collapsed="false">
      <c r="A181" s="32"/>
      <c r="B181" s="33"/>
      <c r="C181" s="32"/>
      <c r="D181" s="37" t="str">
        <f aca="false">IF($C181="","",IFERROR(INDEX(PO!$D$4:$D$203,MATCH($C181,PO!$A$4:$A$203,0)),""))</f>
        <v/>
      </c>
      <c r="E181" s="37" t="str">
        <f aca="false">IF($C181="","",IFERROR(INDEX(PO!$H$4:$H$203,MATCH($C181,PO!$A$4:$A$203,0)),""))</f>
        <v/>
      </c>
      <c r="F181" s="37" t="str">
        <f aca="false">IF($C181="","",IFERROR(INDEX(PO!$I$4:$I$203,MATCH($C181,PO!$A$4:$A$203,0)),""))</f>
        <v/>
      </c>
      <c r="G181" s="38" t="str">
        <f aca="false">IF($C181="","",IFERROR(INDEX(PO!$L$4:$L$203,MATCH($C181,PO!$A$4:$A$203,0)),""))</f>
        <v/>
      </c>
      <c r="H181" s="34"/>
      <c r="I181" s="34"/>
      <c r="J181" s="38" t="str">
        <f aca="false">IF($A181="","",SUMIFS($H$4:$H$203,$C$4:$C$203,$C181))</f>
        <v/>
      </c>
      <c r="K181" s="38" t="str">
        <f aca="false">IF($A181="","",IFERROR($G181-$J181,""))</f>
        <v/>
      </c>
      <c r="L181" s="32"/>
      <c r="M181" s="32"/>
      <c r="N181" s="32"/>
    </row>
    <row r="182" customFormat="false" ht="15" hidden="false" customHeight="false" outlineLevel="0" collapsed="false">
      <c r="A182" s="32"/>
      <c r="B182" s="33"/>
      <c r="C182" s="32"/>
      <c r="D182" s="37" t="str">
        <f aca="false">IF($C182="","",IFERROR(INDEX(PO!$D$4:$D$203,MATCH($C182,PO!$A$4:$A$203,0)),""))</f>
        <v/>
      </c>
      <c r="E182" s="37" t="str">
        <f aca="false">IF($C182="","",IFERROR(INDEX(PO!$H$4:$H$203,MATCH($C182,PO!$A$4:$A$203,0)),""))</f>
        <v/>
      </c>
      <c r="F182" s="37" t="str">
        <f aca="false">IF($C182="","",IFERROR(INDEX(PO!$I$4:$I$203,MATCH($C182,PO!$A$4:$A$203,0)),""))</f>
        <v/>
      </c>
      <c r="G182" s="38" t="str">
        <f aca="false">IF($C182="","",IFERROR(INDEX(PO!$L$4:$L$203,MATCH($C182,PO!$A$4:$A$203,0)),""))</f>
        <v/>
      </c>
      <c r="H182" s="34"/>
      <c r="I182" s="34"/>
      <c r="J182" s="38" t="str">
        <f aca="false">IF($A182="","",SUMIFS($H$4:$H$203,$C$4:$C$203,$C182))</f>
        <v/>
      </c>
      <c r="K182" s="38" t="str">
        <f aca="false">IF($A182="","",IFERROR($G182-$J182,""))</f>
        <v/>
      </c>
      <c r="L182" s="32"/>
      <c r="M182" s="32"/>
      <c r="N182" s="32"/>
    </row>
    <row r="183" customFormat="false" ht="15" hidden="false" customHeight="false" outlineLevel="0" collapsed="false">
      <c r="A183" s="32"/>
      <c r="B183" s="33"/>
      <c r="C183" s="32"/>
      <c r="D183" s="37" t="str">
        <f aca="false">IF($C183="","",IFERROR(INDEX(PO!$D$4:$D$203,MATCH($C183,PO!$A$4:$A$203,0)),""))</f>
        <v/>
      </c>
      <c r="E183" s="37" t="str">
        <f aca="false">IF($C183="","",IFERROR(INDEX(PO!$H$4:$H$203,MATCH($C183,PO!$A$4:$A$203,0)),""))</f>
        <v/>
      </c>
      <c r="F183" s="37" t="str">
        <f aca="false">IF($C183="","",IFERROR(INDEX(PO!$I$4:$I$203,MATCH($C183,PO!$A$4:$A$203,0)),""))</f>
        <v/>
      </c>
      <c r="G183" s="38" t="str">
        <f aca="false">IF($C183="","",IFERROR(INDEX(PO!$L$4:$L$203,MATCH($C183,PO!$A$4:$A$203,0)),""))</f>
        <v/>
      </c>
      <c r="H183" s="34"/>
      <c r="I183" s="34"/>
      <c r="J183" s="38" t="str">
        <f aca="false">IF($A183="","",SUMIFS($H$4:$H$203,$C$4:$C$203,$C183))</f>
        <v/>
      </c>
      <c r="K183" s="38" t="str">
        <f aca="false">IF($A183="","",IFERROR($G183-$J183,""))</f>
        <v/>
      </c>
      <c r="L183" s="32"/>
      <c r="M183" s="32"/>
      <c r="N183" s="32"/>
    </row>
    <row r="184" customFormat="false" ht="15" hidden="false" customHeight="false" outlineLevel="0" collapsed="false">
      <c r="A184" s="32"/>
      <c r="B184" s="33"/>
      <c r="C184" s="32"/>
      <c r="D184" s="37" t="str">
        <f aca="false">IF($C184="","",IFERROR(INDEX(PO!$D$4:$D$203,MATCH($C184,PO!$A$4:$A$203,0)),""))</f>
        <v/>
      </c>
      <c r="E184" s="37" t="str">
        <f aca="false">IF($C184="","",IFERROR(INDEX(PO!$H$4:$H$203,MATCH($C184,PO!$A$4:$A$203,0)),""))</f>
        <v/>
      </c>
      <c r="F184" s="37" t="str">
        <f aca="false">IF($C184="","",IFERROR(INDEX(PO!$I$4:$I$203,MATCH($C184,PO!$A$4:$A$203,0)),""))</f>
        <v/>
      </c>
      <c r="G184" s="38" t="str">
        <f aca="false">IF($C184="","",IFERROR(INDEX(PO!$L$4:$L$203,MATCH($C184,PO!$A$4:$A$203,0)),""))</f>
        <v/>
      </c>
      <c r="H184" s="34"/>
      <c r="I184" s="34"/>
      <c r="J184" s="38" t="str">
        <f aca="false">IF($A184="","",SUMIFS($H$4:$H$203,$C$4:$C$203,$C184))</f>
        <v/>
      </c>
      <c r="K184" s="38" t="str">
        <f aca="false">IF($A184="","",IFERROR($G184-$J184,""))</f>
        <v/>
      </c>
      <c r="L184" s="32"/>
      <c r="M184" s="32"/>
      <c r="N184" s="32"/>
    </row>
    <row r="185" customFormat="false" ht="15" hidden="false" customHeight="false" outlineLevel="0" collapsed="false">
      <c r="A185" s="32"/>
      <c r="B185" s="33"/>
      <c r="C185" s="32"/>
      <c r="D185" s="37" t="str">
        <f aca="false">IF($C185="","",IFERROR(INDEX(PO!$D$4:$D$203,MATCH($C185,PO!$A$4:$A$203,0)),""))</f>
        <v/>
      </c>
      <c r="E185" s="37" t="str">
        <f aca="false">IF($C185="","",IFERROR(INDEX(PO!$H$4:$H$203,MATCH($C185,PO!$A$4:$A$203,0)),""))</f>
        <v/>
      </c>
      <c r="F185" s="37" t="str">
        <f aca="false">IF($C185="","",IFERROR(INDEX(PO!$I$4:$I$203,MATCH($C185,PO!$A$4:$A$203,0)),""))</f>
        <v/>
      </c>
      <c r="G185" s="38" t="str">
        <f aca="false">IF($C185="","",IFERROR(INDEX(PO!$L$4:$L$203,MATCH($C185,PO!$A$4:$A$203,0)),""))</f>
        <v/>
      </c>
      <c r="H185" s="34"/>
      <c r="I185" s="34"/>
      <c r="J185" s="38" t="str">
        <f aca="false">IF($A185="","",SUMIFS($H$4:$H$203,$C$4:$C$203,$C185))</f>
        <v/>
      </c>
      <c r="K185" s="38" t="str">
        <f aca="false">IF($A185="","",IFERROR($G185-$J185,""))</f>
        <v/>
      </c>
      <c r="L185" s="32"/>
      <c r="M185" s="32"/>
      <c r="N185" s="32"/>
    </row>
    <row r="186" customFormat="false" ht="15" hidden="false" customHeight="false" outlineLevel="0" collapsed="false">
      <c r="A186" s="32"/>
      <c r="B186" s="33"/>
      <c r="C186" s="32"/>
      <c r="D186" s="37" t="str">
        <f aca="false">IF($C186="","",IFERROR(INDEX(PO!$D$4:$D$203,MATCH($C186,PO!$A$4:$A$203,0)),""))</f>
        <v/>
      </c>
      <c r="E186" s="37" t="str">
        <f aca="false">IF($C186="","",IFERROR(INDEX(PO!$H$4:$H$203,MATCH($C186,PO!$A$4:$A$203,0)),""))</f>
        <v/>
      </c>
      <c r="F186" s="37" t="str">
        <f aca="false">IF($C186="","",IFERROR(INDEX(PO!$I$4:$I$203,MATCH($C186,PO!$A$4:$A$203,0)),""))</f>
        <v/>
      </c>
      <c r="G186" s="38" t="str">
        <f aca="false">IF($C186="","",IFERROR(INDEX(PO!$L$4:$L$203,MATCH($C186,PO!$A$4:$A$203,0)),""))</f>
        <v/>
      </c>
      <c r="H186" s="34"/>
      <c r="I186" s="34"/>
      <c r="J186" s="38" t="str">
        <f aca="false">IF($A186="","",SUMIFS($H$4:$H$203,$C$4:$C$203,$C186))</f>
        <v/>
      </c>
      <c r="K186" s="38" t="str">
        <f aca="false">IF($A186="","",IFERROR($G186-$J186,""))</f>
        <v/>
      </c>
      <c r="L186" s="32"/>
      <c r="M186" s="32"/>
      <c r="N186" s="32"/>
    </row>
    <row r="187" customFormat="false" ht="15" hidden="false" customHeight="false" outlineLevel="0" collapsed="false">
      <c r="A187" s="32"/>
      <c r="B187" s="33"/>
      <c r="C187" s="32"/>
      <c r="D187" s="37" t="str">
        <f aca="false">IF($C187="","",IFERROR(INDEX(PO!$D$4:$D$203,MATCH($C187,PO!$A$4:$A$203,0)),""))</f>
        <v/>
      </c>
      <c r="E187" s="37" t="str">
        <f aca="false">IF($C187="","",IFERROR(INDEX(PO!$H$4:$H$203,MATCH($C187,PO!$A$4:$A$203,0)),""))</f>
        <v/>
      </c>
      <c r="F187" s="37" t="str">
        <f aca="false">IF($C187="","",IFERROR(INDEX(PO!$I$4:$I$203,MATCH($C187,PO!$A$4:$A$203,0)),""))</f>
        <v/>
      </c>
      <c r="G187" s="38" t="str">
        <f aca="false">IF($C187="","",IFERROR(INDEX(PO!$L$4:$L$203,MATCH($C187,PO!$A$4:$A$203,0)),""))</f>
        <v/>
      </c>
      <c r="H187" s="34"/>
      <c r="I187" s="34"/>
      <c r="J187" s="38" t="str">
        <f aca="false">IF($A187="","",SUMIFS($H$4:$H$203,$C$4:$C$203,$C187))</f>
        <v/>
      </c>
      <c r="K187" s="38" t="str">
        <f aca="false">IF($A187="","",IFERROR($G187-$J187,""))</f>
        <v/>
      </c>
      <c r="L187" s="32"/>
      <c r="M187" s="32"/>
      <c r="N187" s="32"/>
    </row>
    <row r="188" customFormat="false" ht="15" hidden="false" customHeight="false" outlineLevel="0" collapsed="false">
      <c r="A188" s="32"/>
      <c r="B188" s="33"/>
      <c r="C188" s="32"/>
      <c r="D188" s="37" t="str">
        <f aca="false">IF($C188="","",IFERROR(INDEX(PO!$D$4:$D$203,MATCH($C188,PO!$A$4:$A$203,0)),""))</f>
        <v/>
      </c>
      <c r="E188" s="37" t="str">
        <f aca="false">IF($C188="","",IFERROR(INDEX(PO!$H$4:$H$203,MATCH($C188,PO!$A$4:$A$203,0)),""))</f>
        <v/>
      </c>
      <c r="F188" s="37" t="str">
        <f aca="false">IF($C188="","",IFERROR(INDEX(PO!$I$4:$I$203,MATCH($C188,PO!$A$4:$A$203,0)),""))</f>
        <v/>
      </c>
      <c r="G188" s="38" t="str">
        <f aca="false">IF($C188="","",IFERROR(INDEX(PO!$L$4:$L$203,MATCH($C188,PO!$A$4:$A$203,0)),""))</f>
        <v/>
      </c>
      <c r="H188" s="34"/>
      <c r="I188" s="34"/>
      <c r="J188" s="38" t="str">
        <f aca="false">IF($A188="","",SUMIFS($H$4:$H$203,$C$4:$C$203,$C188))</f>
        <v/>
      </c>
      <c r="K188" s="38" t="str">
        <f aca="false">IF($A188="","",IFERROR($G188-$J188,""))</f>
        <v/>
      </c>
      <c r="L188" s="32"/>
      <c r="M188" s="32"/>
      <c r="N188" s="32"/>
    </row>
    <row r="189" customFormat="false" ht="15" hidden="false" customHeight="false" outlineLevel="0" collapsed="false">
      <c r="A189" s="32"/>
      <c r="B189" s="33"/>
      <c r="C189" s="32"/>
      <c r="D189" s="37" t="str">
        <f aca="false">IF($C189="","",IFERROR(INDEX(PO!$D$4:$D$203,MATCH($C189,PO!$A$4:$A$203,0)),""))</f>
        <v/>
      </c>
      <c r="E189" s="37" t="str">
        <f aca="false">IF($C189="","",IFERROR(INDEX(PO!$H$4:$H$203,MATCH($C189,PO!$A$4:$A$203,0)),""))</f>
        <v/>
      </c>
      <c r="F189" s="37" t="str">
        <f aca="false">IF($C189="","",IFERROR(INDEX(PO!$I$4:$I$203,MATCH($C189,PO!$A$4:$A$203,0)),""))</f>
        <v/>
      </c>
      <c r="G189" s="38" t="str">
        <f aca="false">IF($C189="","",IFERROR(INDEX(PO!$L$4:$L$203,MATCH($C189,PO!$A$4:$A$203,0)),""))</f>
        <v/>
      </c>
      <c r="H189" s="34"/>
      <c r="I189" s="34"/>
      <c r="J189" s="38" t="str">
        <f aca="false">IF($A189="","",SUMIFS($H$4:$H$203,$C$4:$C$203,$C189))</f>
        <v/>
      </c>
      <c r="K189" s="38" t="str">
        <f aca="false">IF($A189="","",IFERROR($G189-$J189,""))</f>
        <v/>
      </c>
      <c r="L189" s="32"/>
      <c r="M189" s="32"/>
      <c r="N189" s="32"/>
    </row>
    <row r="190" customFormat="false" ht="15" hidden="false" customHeight="false" outlineLevel="0" collapsed="false">
      <c r="A190" s="32"/>
      <c r="B190" s="33"/>
      <c r="C190" s="32"/>
      <c r="D190" s="37" t="str">
        <f aca="false">IF($C190="","",IFERROR(INDEX(PO!$D$4:$D$203,MATCH($C190,PO!$A$4:$A$203,0)),""))</f>
        <v/>
      </c>
      <c r="E190" s="37" t="str">
        <f aca="false">IF($C190="","",IFERROR(INDEX(PO!$H$4:$H$203,MATCH($C190,PO!$A$4:$A$203,0)),""))</f>
        <v/>
      </c>
      <c r="F190" s="37" t="str">
        <f aca="false">IF($C190="","",IFERROR(INDEX(PO!$I$4:$I$203,MATCH($C190,PO!$A$4:$A$203,0)),""))</f>
        <v/>
      </c>
      <c r="G190" s="38" t="str">
        <f aca="false">IF($C190="","",IFERROR(INDEX(PO!$L$4:$L$203,MATCH($C190,PO!$A$4:$A$203,0)),""))</f>
        <v/>
      </c>
      <c r="H190" s="34"/>
      <c r="I190" s="34"/>
      <c r="J190" s="38" t="str">
        <f aca="false">IF($A190="","",SUMIFS($H$4:$H$203,$C$4:$C$203,$C190))</f>
        <v/>
      </c>
      <c r="K190" s="38" t="str">
        <f aca="false">IF($A190="","",IFERROR($G190-$J190,""))</f>
        <v/>
      </c>
      <c r="L190" s="32"/>
      <c r="M190" s="32"/>
      <c r="N190" s="32"/>
    </row>
    <row r="191" customFormat="false" ht="15" hidden="false" customHeight="false" outlineLevel="0" collapsed="false">
      <c r="A191" s="32"/>
      <c r="B191" s="33"/>
      <c r="C191" s="32"/>
      <c r="D191" s="37" t="str">
        <f aca="false">IF($C191="","",IFERROR(INDEX(PO!$D$4:$D$203,MATCH($C191,PO!$A$4:$A$203,0)),""))</f>
        <v/>
      </c>
      <c r="E191" s="37" t="str">
        <f aca="false">IF($C191="","",IFERROR(INDEX(PO!$H$4:$H$203,MATCH($C191,PO!$A$4:$A$203,0)),""))</f>
        <v/>
      </c>
      <c r="F191" s="37" t="str">
        <f aca="false">IF($C191="","",IFERROR(INDEX(PO!$I$4:$I$203,MATCH($C191,PO!$A$4:$A$203,0)),""))</f>
        <v/>
      </c>
      <c r="G191" s="38" t="str">
        <f aca="false">IF($C191="","",IFERROR(INDEX(PO!$L$4:$L$203,MATCH($C191,PO!$A$4:$A$203,0)),""))</f>
        <v/>
      </c>
      <c r="H191" s="34"/>
      <c r="I191" s="34"/>
      <c r="J191" s="38" t="str">
        <f aca="false">IF($A191="","",SUMIFS($H$4:$H$203,$C$4:$C$203,$C191))</f>
        <v/>
      </c>
      <c r="K191" s="38" t="str">
        <f aca="false">IF($A191="","",IFERROR($G191-$J191,""))</f>
        <v/>
      </c>
      <c r="L191" s="32"/>
      <c r="M191" s="32"/>
      <c r="N191" s="32"/>
    </row>
    <row r="192" customFormat="false" ht="15" hidden="false" customHeight="false" outlineLevel="0" collapsed="false">
      <c r="A192" s="32"/>
      <c r="B192" s="33"/>
      <c r="C192" s="32"/>
      <c r="D192" s="37" t="str">
        <f aca="false">IF($C192="","",IFERROR(INDEX(PO!$D$4:$D$203,MATCH($C192,PO!$A$4:$A$203,0)),""))</f>
        <v/>
      </c>
      <c r="E192" s="37" t="str">
        <f aca="false">IF($C192="","",IFERROR(INDEX(PO!$H$4:$H$203,MATCH($C192,PO!$A$4:$A$203,0)),""))</f>
        <v/>
      </c>
      <c r="F192" s="37" t="str">
        <f aca="false">IF($C192="","",IFERROR(INDEX(PO!$I$4:$I$203,MATCH($C192,PO!$A$4:$A$203,0)),""))</f>
        <v/>
      </c>
      <c r="G192" s="38" t="str">
        <f aca="false">IF($C192="","",IFERROR(INDEX(PO!$L$4:$L$203,MATCH($C192,PO!$A$4:$A$203,0)),""))</f>
        <v/>
      </c>
      <c r="H192" s="34"/>
      <c r="I192" s="34"/>
      <c r="J192" s="38" t="str">
        <f aca="false">IF($A192="","",SUMIFS($H$4:$H$203,$C$4:$C$203,$C192))</f>
        <v/>
      </c>
      <c r="K192" s="38" t="str">
        <f aca="false">IF($A192="","",IFERROR($G192-$J192,""))</f>
        <v/>
      </c>
      <c r="L192" s="32"/>
      <c r="M192" s="32"/>
      <c r="N192" s="32"/>
    </row>
    <row r="193" customFormat="false" ht="15" hidden="false" customHeight="false" outlineLevel="0" collapsed="false">
      <c r="A193" s="32"/>
      <c r="B193" s="33"/>
      <c r="C193" s="32"/>
      <c r="D193" s="37" t="str">
        <f aca="false">IF($C193="","",IFERROR(INDEX(PO!$D$4:$D$203,MATCH($C193,PO!$A$4:$A$203,0)),""))</f>
        <v/>
      </c>
      <c r="E193" s="37" t="str">
        <f aca="false">IF($C193="","",IFERROR(INDEX(PO!$H$4:$H$203,MATCH($C193,PO!$A$4:$A$203,0)),""))</f>
        <v/>
      </c>
      <c r="F193" s="37" t="str">
        <f aca="false">IF($C193="","",IFERROR(INDEX(PO!$I$4:$I$203,MATCH($C193,PO!$A$4:$A$203,0)),""))</f>
        <v/>
      </c>
      <c r="G193" s="38" t="str">
        <f aca="false">IF($C193="","",IFERROR(INDEX(PO!$L$4:$L$203,MATCH($C193,PO!$A$4:$A$203,0)),""))</f>
        <v/>
      </c>
      <c r="H193" s="34"/>
      <c r="I193" s="34"/>
      <c r="J193" s="38" t="str">
        <f aca="false">IF($A193="","",SUMIFS($H$4:$H$203,$C$4:$C$203,$C193))</f>
        <v/>
      </c>
      <c r="K193" s="38" t="str">
        <f aca="false">IF($A193="","",IFERROR($G193-$J193,""))</f>
        <v/>
      </c>
      <c r="L193" s="32"/>
      <c r="M193" s="32"/>
      <c r="N193" s="32"/>
    </row>
    <row r="194" customFormat="false" ht="15" hidden="false" customHeight="false" outlineLevel="0" collapsed="false">
      <c r="A194" s="32"/>
      <c r="B194" s="33"/>
      <c r="C194" s="32"/>
      <c r="D194" s="37" t="str">
        <f aca="false">IF($C194="","",IFERROR(INDEX(PO!$D$4:$D$203,MATCH($C194,PO!$A$4:$A$203,0)),""))</f>
        <v/>
      </c>
      <c r="E194" s="37" t="str">
        <f aca="false">IF($C194="","",IFERROR(INDEX(PO!$H$4:$H$203,MATCH($C194,PO!$A$4:$A$203,0)),""))</f>
        <v/>
      </c>
      <c r="F194" s="37" t="str">
        <f aca="false">IF($C194="","",IFERROR(INDEX(PO!$I$4:$I$203,MATCH($C194,PO!$A$4:$A$203,0)),""))</f>
        <v/>
      </c>
      <c r="G194" s="38" t="str">
        <f aca="false">IF($C194="","",IFERROR(INDEX(PO!$L$4:$L$203,MATCH($C194,PO!$A$4:$A$203,0)),""))</f>
        <v/>
      </c>
      <c r="H194" s="34"/>
      <c r="I194" s="34"/>
      <c r="J194" s="38" t="str">
        <f aca="false">IF($A194="","",SUMIFS($H$4:$H$203,$C$4:$C$203,$C194))</f>
        <v/>
      </c>
      <c r="K194" s="38" t="str">
        <f aca="false">IF($A194="","",IFERROR($G194-$J194,""))</f>
        <v/>
      </c>
      <c r="L194" s="32"/>
      <c r="M194" s="32"/>
      <c r="N194" s="32"/>
    </row>
    <row r="195" customFormat="false" ht="15" hidden="false" customHeight="false" outlineLevel="0" collapsed="false">
      <c r="A195" s="32"/>
      <c r="B195" s="33"/>
      <c r="C195" s="32"/>
      <c r="D195" s="37" t="str">
        <f aca="false">IF($C195="","",IFERROR(INDEX(PO!$D$4:$D$203,MATCH($C195,PO!$A$4:$A$203,0)),""))</f>
        <v/>
      </c>
      <c r="E195" s="37" t="str">
        <f aca="false">IF($C195="","",IFERROR(INDEX(PO!$H$4:$H$203,MATCH($C195,PO!$A$4:$A$203,0)),""))</f>
        <v/>
      </c>
      <c r="F195" s="37" t="str">
        <f aca="false">IF($C195="","",IFERROR(INDEX(PO!$I$4:$I$203,MATCH($C195,PO!$A$4:$A$203,0)),""))</f>
        <v/>
      </c>
      <c r="G195" s="38" t="str">
        <f aca="false">IF($C195="","",IFERROR(INDEX(PO!$L$4:$L$203,MATCH($C195,PO!$A$4:$A$203,0)),""))</f>
        <v/>
      </c>
      <c r="H195" s="34"/>
      <c r="I195" s="34"/>
      <c r="J195" s="38" t="str">
        <f aca="false">IF($A195="","",SUMIFS($H$4:$H$203,$C$4:$C$203,$C195))</f>
        <v/>
      </c>
      <c r="K195" s="38" t="str">
        <f aca="false">IF($A195="","",IFERROR($G195-$J195,""))</f>
        <v/>
      </c>
      <c r="L195" s="32"/>
      <c r="M195" s="32"/>
      <c r="N195" s="32"/>
    </row>
    <row r="196" customFormat="false" ht="15" hidden="false" customHeight="false" outlineLevel="0" collapsed="false">
      <c r="A196" s="32"/>
      <c r="B196" s="33"/>
      <c r="C196" s="32"/>
      <c r="D196" s="37" t="str">
        <f aca="false">IF($C196="","",IFERROR(INDEX(PO!$D$4:$D$203,MATCH($C196,PO!$A$4:$A$203,0)),""))</f>
        <v/>
      </c>
      <c r="E196" s="37" t="str">
        <f aca="false">IF($C196="","",IFERROR(INDEX(PO!$H$4:$H$203,MATCH($C196,PO!$A$4:$A$203,0)),""))</f>
        <v/>
      </c>
      <c r="F196" s="37" t="str">
        <f aca="false">IF($C196="","",IFERROR(INDEX(PO!$I$4:$I$203,MATCH($C196,PO!$A$4:$A$203,0)),""))</f>
        <v/>
      </c>
      <c r="G196" s="38" t="str">
        <f aca="false">IF($C196="","",IFERROR(INDEX(PO!$L$4:$L$203,MATCH($C196,PO!$A$4:$A$203,0)),""))</f>
        <v/>
      </c>
      <c r="H196" s="34"/>
      <c r="I196" s="34"/>
      <c r="J196" s="38" t="str">
        <f aca="false">IF($A196="","",SUMIFS($H$4:$H$203,$C$4:$C$203,$C196))</f>
        <v/>
      </c>
      <c r="K196" s="38" t="str">
        <f aca="false">IF($A196="","",IFERROR($G196-$J196,""))</f>
        <v/>
      </c>
      <c r="L196" s="32"/>
      <c r="M196" s="32"/>
      <c r="N196" s="32"/>
    </row>
    <row r="197" customFormat="false" ht="15" hidden="false" customHeight="false" outlineLevel="0" collapsed="false">
      <c r="A197" s="32"/>
      <c r="B197" s="33"/>
      <c r="C197" s="32"/>
      <c r="D197" s="37" t="str">
        <f aca="false">IF($C197="","",IFERROR(INDEX(PO!$D$4:$D$203,MATCH($C197,PO!$A$4:$A$203,0)),""))</f>
        <v/>
      </c>
      <c r="E197" s="37" t="str">
        <f aca="false">IF($C197="","",IFERROR(INDEX(PO!$H$4:$H$203,MATCH($C197,PO!$A$4:$A$203,0)),""))</f>
        <v/>
      </c>
      <c r="F197" s="37" t="str">
        <f aca="false">IF($C197="","",IFERROR(INDEX(PO!$I$4:$I$203,MATCH($C197,PO!$A$4:$A$203,0)),""))</f>
        <v/>
      </c>
      <c r="G197" s="38" t="str">
        <f aca="false">IF($C197="","",IFERROR(INDEX(PO!$L$4:$L$203,MATCH($C197,PO!$A$4:$A$203,0)),""))</f>
        <v/>
      </c>
      <c r="H197" s="34"/>
      <c r="I197" s="34"/>
      <c r="J197" s="38" t="str">
        <f aca="false">IF($A197="","",SUMIFS($H$4:$H$203,$C$4:$C$203,$C197))</f>
        <v/>
      </c>
      <c r="K197" s="38" t="str">
        <f aca="false">IF($A197="","",IFERROR($G197-$J197,""))</f>
        <v/>
      </c>
      <c r="L197" s="32"/>
      <c r="M197" s="32"/>
      <c r="N197" s="32"/>
    </row>
    <row r="198" customFormat="false" ht="15" hidden="false" customHeight="false" outlineLevel="0" collapsed="false">
      <c r="A198" s="32"/>
      <c r="B198" s="33"/>
      <c r="C198" s="32"/>
      <c r="D198" s="37" t="str">
        <f aca="false">IF($C198="","",IFERROR(INDEX(PO!$D$4:$D$203,MATCH($C198,PO!$A$4:$A$203,0)),""))</f>
        <v/>
      </c>
      <c r="E198" s="37" t="str">
        <f aca="false">IF($C198="","",IFERROR(INDEX(PO!$H$4:$H$203,MATCH($C198,PO!$A$4:$A$203,0)),""))</f>
        <v/>
      </c>
      <c r="F198" s="37" t="str">
        <f aca="false">IF($C198="","",IFERROR(INDEX(PO!$I$4:$I$203,MATCH($C198,PO!$A$4:$A$203,0)),""))</f>
        <v/>
      </c>
      <c r="G198" s="38" t="str">
        <f aca="false">IF($C198="","",IFERROR(INDEX(PO!$L$4:$L$203,MATCH($C198,PO!$A$4:$A$203,0)),""))</f>
        <v/>
      </c>
      <c r="H198" s="34"/>
      <c r="I198" s="34"/>
      <c r="J198" s="38" t="str">
        <f aca="false">IF($A198="","",SUMIFS($H$4:$H$203,$C$4:$C$203,$C198))</f>
        <v/>
      </c>
      <c r="K198" s="38" t="str">
        <f aca="false">IF($A198="","",IFERROR($G198-$J198,""))</f>
        <v/>
      </c>
      <c r="L198" s="32"/>
      <c r="M198" s="32"/>
      <c r="N198" s="32"/>
    </row>
    <row r="199" customFormat="false" ht="15" hidden="false" customHeight="false" outlineLevel="0" collapsed="false">
      <c r="A199" s="32"/>
      <c r="B199" s="33"/>
      <c r="C199" s="32"/>
      <c r="D199" s="37" t="str">
        <f aca="false">IF($C199="","",IFERROR(INDEX(PO!$D$4:$D$203,MATCH($C199,PO!$A$4:$A$203,0)),""))</f>
        <v/>
      </c>
      <c r="E199" s="37" t="str">
        <f aca="false">IF($C199="","",IFERROR(INDEX(PO!$H$4:$H$203,MATCH($C199,PO!$A$4:$A$203,0)),""))</f>
        <v/>
      </c>
      <c r="F199" s="37" t="str">
        <f aca="false">IF($C199="","",IFERROR(INDEX(PO!$I$4:$I$203,MATCH($C199,PO!$A$4:$A$203,0)),""))</f>
        <v/>
      </c>
      <c r="G199" s="38" t="str">
        <f aca="false">IF($C199="","",IFERROR(INDEX(PO!$L$4:$L$203,MATCH($C199,PO!$A$4:$A$203,0)),""))</f>
        <v/>
      </c>
      <c r="H199" s="34"/>
      <c r="I199" s="34"/>
      <c r="J199" s="38" t="str">
        <f aca="false">IF($A199="","",SUMIFS($H$4:$H$203,$C$4:$C$203,$C199))</f>
        <v/>
      </c>
      <c r="K199" s="38" t="str">
        <f aca="false">IF($A199="","",IFERROR($G199-$J199,""))</f>
        <v/>
      </c>
      <c r="L199" s="32"/>
      <c r="M199" s="32"/>
      <c r="N199" s="32"/>
    </row>
    <row r="200" customFormat="false" ht="15" hidden="false" customHeight="false" outlineLevel="0" collapsed="false">
      <c r="A200" s="32"/>
      <c r="B200" s="33"/>
      <c r="C200" s="32"/>
      <c r="D200" s="37" t="str">
        <f aca="false">IF($C200="","",IFERROR(INDEX(PO!$D$4:$D$203,MATCH($C200,PO!$A$4:$A$203,0)),""))</f>
        <v/>
      </c>
      <c r="E200" s="37" t="str">
        <f aca="false">IF($C200="","",IFERROR(INDEX(PO!$H$4:$H$203,MATCH($C200,PO!$A$4:$A$203,0)),""))</f>
        <v/>
      </c>
      <c r="F200" s="37" t="str">
        <f aca="false">IF($C200="","",IFERROR(INDEX(PO!$I$4:$I$203,MATCH($C200,PO!$A$4:$A$203,0)),""))</f>
        <v/>
      </c>
      <c r="G200" s="38" t="str">
        <f aca="false">IF($C200="","",IFERROR(INDEX(PO!$L$4:$L$203,MATCH($C200,PO!$A$4:$A$203,0)),""))</f>
        <v/>
      </c>
      <c r="H200" s="34"/>
      <c r="I200" s="34"/>
      <c r="J200" s="38" t="str">
        <f aca="false">IF($A200="","",SUMIFS($H$4:$H$203,$C$4:$C$203,$C200))</f>
        <v/>
      </c>
      <c r="K200" s="38" t="str">
        <f aca="false">IF($A200="","",IFERROR($G200-$J200,""))</f>
        <v/>
      </c>
      <c r="L200" s="32"/>
      <c r="M200" s="32"/>
      <c r="N200" s="32"/>
    </row>
    <row r="201" customFormat="false" ht="15" hidden="false" customHeight="false" outlineLevel="0" collapsed="false">
      <c r="A201" s="32"/>
      <c r="B201" s="33"/>
      <c r="C201" s="32"/>
      <c r="D201" s="37" t="str">
        <f aca="false">IF($C201="","",IFERROR(INDEX(PO!$D$4:$D$203,MATCH($C201,PO!$A$4:$A$203,0)),""))</f>
        <v/>
      </c>
      <c r="E201" s="37" t="str">
        <f aca="false">IF($C201="","",IFERROR(INDEX(PO!$H$4:$H$203,MATCH($C201,PO!$A$4:$A$203,0)),""))</f>
        <v/>
      </c>
      <c r="F201" s="37" t="str">
        <f aca="false">IF($C201="","",IFERROR(INDEX(PO!$I$4:$I$203,MATCH($C201,PO!$A$4:$A$203,0)),""))</f>
        <v/>
      </c>
      <c r="G201" s="38" t="str">
        <f aca="false">IF($C201="","",IFERROR(INDEX(PO!$L$4:$L$203,MATCH($C201,PO!$A$4:$A$203,0)),""))</f>
        <v/>
      </c>
      <c r="H201" s="34"/>
      <c r="I201" s="34"/>
      <c r="J201" s="38" t="str">
        <f aca="false">IF($A201="","",SUMIFS($H$4:$H$203,$C$4:$C$203,$C201))</f>
        <v/>
      </c>
      <c r="K201" s="38" t="str">
        <f aca="false">IF($A201="","",IFERROR($G201-$J201,""))</f>
        <v/>
      </c>
      <c r="L201" s="32"/>
      <c r="M201" s="32"/>
      <c r="N201" s="32"/>
    </row>
    <row r="202" customFormat="false" ht="15" hidden="false" customHeight="false" outlineLevel="0" collapsed="false">
      <c r="A202" s="32"/>
      <c r="B202" s="33"/>
      <c r="C202" s="32"/>
      <c r="D202" s="37" t="str">
        <f aca="false">IF($C202="","",IFERROR(INDEX(PO!$D$4:$D$203,MATCH($C202,PO!$A$4:$A$203,0)),""))</f>
        <v/>
      </c>
      <c r="E202" s="37" t="str">
        <f aca="false">IF($C202="","",IFERROR(INDEX(PO!$H$4:$H$203,MATCH($C202,PO!$A$4:$A$203,0)),""))</f>
        <v/>
      </c>
      <c r="F202" s="37" t="str">
        <f aca="false">IF($C202="","",IFERROR(INDEX(PO!$I$4:$I$203,MATCH($C202,PO!$A$4:$A$203,0)),""))</f>
        <v/>
      </c>
      <c r="G202" s="38" t="str">
        <f aca="false">IF($C202="","",IFERROR(INDEX(PO!$L$4:$L$203,MATCH($C202,PO!$A$4:$A$203,0)),""))</f>
        <v/>
      </c>
      <c r="H202" s="34"/>
      <c r="I202" s="34"/>
      <c r="J202" s="38" t="str">
        <f aca="false">IF($A202="","",SUMIFS($H$4:$H$203,$C$4:$C$203,$C202))</f>
        <v/>
      </c>
      <c r="K202" s="38" t="str">
        <f aca="false">IF($A202="","",IFERROR($G202-$J202,""))</f>
        <v/>
      </c>
      <c r="L202" s="32"/>
      <c r="M202" s="32"/>
      <c r="N202" s="32"/>
    </row>
    <row r="203" customFormat="false" ht="15" hidden="false" customHeight="false" outlineLevel="0" collapsed="false">
      <c r="A203" s="32"/>
      <c r="B203" s="33"/>
      <c r="C203" s="32"/>
      <c r="D203" s="37" t="str">
        <f aca="false">IF($C203="","",IFERROR(INDEX(PO!$D$4:$D$203,MATCH($C203,PO!$A$4:$A$203,0)),""))</f>
        <v/>
      </c>
      <c r="E203" s="37" t="str">
        <f aca="false">IF($C203="","",IFERROR(INDEX(PO!$H$4:$H$203,MATCH($C203,PO!$A$4:$A$203,0)),""))</f>
        <v/>
      </c>
      <c r="F203" s="37" t="str">
        <f aca="false">IF($C203="","",IFERROR(INDEX(PO!$I$4:$I$203,MATCH($C203,PO!$A$4:$A$203,0)),""))</f>
        <v/>
      </c>
      <c r="G203" s="38" t="str">
        <f aca="false">IF($C203="","",IFERROR(INDEX(PO!$L$4:$L$203,MATCH($C203,PO!$A$4:$A$203,0)),""))</f>
        <v/>
      </c>
      <c r="H203" s="34"/>
      <c r="I203" s="34"/>
      <c r="J203" s="38" t="str">
        <f aca="false">IF($A203="","",SUMIFS($H$4:$H$203,$C$4:$C$203,$C203))</f>
        <v/>
      </c>
      <c r="K203" s="38" t="str">
        <f aca="false">IF($A203="","",IFERROR($G203-$J203,""))</f>
        <v/>
      </c>
      <c r="L203" s="32"/>
      <c r="M203" s="32"/>
      <c r="N203" s="32"/>
    </row>
  </sheetData>
  <autoFilter ref="A3:N203"/>
  <dataValidations count="1">
    <dataValidation allowBlank="true" errorStyle="stop" operator="between" showDropDown="false" showErrorMessage="false" showInputMessage="false" sqref="L4:L203" type="list">
      <formula1>"Chuyển khoản,Tiền mặt,L/C,Bù trừ công nợ"</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M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30"/>
    <col collapsed="false" customWidth="true" hidden="false" outlineLevel="0" max="4" min="4" style="0" width="12"/>
    <col collapsed="false" customWidth="true" hidden="false" outlineLevel="0" max="5" min="5" style="0" width="30"/>
    <col collapsed="false" customWidth="true" hidden="false" outlineLevel="0" max="6" min="6" style="0" width="13"/>
    <col collapsed="false" customWidth="true" hidden="false" outlineLevel="0" max="9" min="7" style="0" width="16"/>
    <col collapsed="false" customWidth="true" hidden="false" outlineLevel="0" max="10" min="10" style="0" width="13"/>
    <col collapsed="false" customWidth="true" hidden="false" outlineLevel="0" max="11" min="11" style="0" width="12"/>
    <col collapsed="false" customWidth="true" hidden="false" outlineLevel="0" max="12" min="12" style="0" width="13"/>
    <col collapsed="false" customWidth="true" hidden="false" outlineLevel="0" max="13" min="13" style="0" width="18"/>
  </cols>
  <sheetData>
    <row r="1" customFormat="false" ht="17.35" hidden="false" customHeight="false" outlineLevel="0" collapsed="false">
      <c r="A1" s="30" t="s">
        <v>298</v>
      </c>
    </row>
    <row r="2" customFormat="false" ht="15" hidden="false" customHeight="false" outlineLevel="0" collapsed="false">
      <c r="A2" s="8" t="s">
        <v>299</v>
      </c>
    </row>
    <row r="3" customFormat="false" ht="33.75" hidden="false" customHeight="true" outlineLevel="0" collapsed="false">
      <c r="A3" s="42" t="s">
        <v>259</v>
      </c>
      <c r="B3" s="42" t="s">
        <v>116</v>
      </c>
      <c r="C3" s="42" t="s">
        <v>135</v>
      </c>
      <c r="D3" s="42" t="s">
        <v>156</v>
      </c>
      <c r="E3" s="42" t="s">
        <v>229</v>
      </c>
      <c r="F3" s="42" t="s">
        <v>300</v>
      </c>
      <c r="G3" s="42" t="s">
        <v>264</v>
      </c>
      <c r="H3" s="42" t="s">
        <v>48</v>
      </c>
      <c r="I3" s="42" t="s">
        <v>49</v>
      </c>
      <c r="J3" s="42" t="s">
        <v>100</v>
      </c>
      <c r="K3" s="42" t="s">
        <v>301</v>
      </c>
      <c r="L3" s="42" t="s">
        <v>302</v>
      </c>
      <c r="M3" s="42" t="s">
        <v>303</v>
      </c>
    </row>
    <row r="4" customFormat="false" ht="15" hidden="false" customHeight="false" outlineLevel="0" collapsed="false">
      <c r="A4" s="37" t="str">
        <f aca="false">IF(PO!$A4="","",PO!$A4)</f>
        <v>PO-2026-001</v>
      </c>
      <c r="B4" s="37" t="str">
        <f aca="false">IF($A4="","",PO!$D4)</f>
        <v>DA-2026-01</v>
      </c>
      <c r="C4" s="37" t="str">
        <f aca="false">IF($A4="","",PO!$E4)</f>
        <v>Nhà máy Bao bì Tân Uyên – Giai đoạn 2</v>
      </c>
      <c r="D4" s="37" t="str">
        <f aca="false">IF($A4="","",PO!$H4)</f>
        <v>NCC001</v>
      </c>
      <c r="E4" s="37" t="str">
        <f aca="false">IF($A4="","",PO!$I4)</f>
        <v>Công ty TNHH Thép Việt An</v>
      </c>
      <c r="F4" s="41" t="n">
        <f aca="false">IF($A4="","",IF(PO!$R4="","",PO!$R4))</f>
        <v>46071</v>
      </c>
      <c r="G4" s="38" t="n">
        <f aca="false">IF($A4="","",PO!$L4)</f>
        <v>236000000</v>
      </c>
      <c r="H4" s="38" t="n">
        <f aca="false">IF($A4="","",SUMIFS('Thanh toán'!$H$4:$H$203,'Thanh toán'!$C$4:$C$203,$A4))</f>
        <v>180000000</v>
      </c>
      <c r="I4" s="38" t="n">
        <f aca="false">IF($A4="","",IFERROR($G4-$H4,""))</f>
        <v>56000000</v>
      </c>
      <c r="J4" s="41" t="n">
        <f aca="false">IF($A4="","",IF(PO!$AA4="","",PO!$AA4))</f>
        <v>46101</v>
      </c>
      <c r="K4" s="38" t="n">
        <f aca="true">IF($A4="","",IF($I4&lt;=0,0,IF($J4="",0,MAX(0,TODAY()-$J4))))</f>
        <v>133</v>
      </c>
      <c r="L4" s="37" t="str">
        <f aca="false">IF($A4="","",IF($I4&lt;=0,"Đã thanh toán",IF($K4=0,"Trong hạn",IF($K4&lt;=30,"1-30",IF($K4&lt;=60,"31-60",IF($K4&lt;=90,"61-90","&gt;90"))))))</f>
        <v>&gt;90</v>
      </c>
      <c r="M4" s="37" t="str">
        <f aca="false">IF($A4="","",IF($I4&lt;=0,"Đã thanh toán đủ",IF($K4&gt;0,"QUÁ HẠN","Còn nợ, trong hạn")))</f>
        <v>QUÁ HẠN</v>
      </c>
    </row>
    <row r="5" customFormat="false" ht="15" hidden="false" customHeight="false" outlineLevel="0" collapsed="false">
      <c r="A5" s="37" t="str">
        <f aca="false">IF(PO!$A5="","",PO!$A5)</f>
        <v/>
      </c>
      <c r="B5" s="37" t="str">
        <f aca="false">IF($A5="","",PO!$D5)</f>
        <v/>
      </c>
      <c r="C5" s="37" t="str">
        <f aca="false">IF($A5="","",PO!$E5)</f>
        <v/>
      </c>
      <c r="D5" s="37" t="str">
        <f aca="false">IF($A5="","",PO!$H5)</f>
        <v/>
      </c>
      <c r="E5" s="37" t="str">
        <f aca="false">IF($A5="","",PO!$I5)</f>
        <v/>
      </c>
      <c r="F5" s="41" t="str">
        <f aca="false">IF($A5="","",IF(PO!$R5="","",PO!$R5))</f>
        <v/>
      </c>
      <c r="G5" s="38" t="str">
        <f aca="false">IF($A5="","",PO!$L5)</f>
        <v/>
      </c>
      <c r="H5" s="38" t="str">
        <f aca="false">IF($A5="","",SUMIFS('Thanh toán'!$H$4:$H$203,'Thanh toán'!$C$4:$C$203,$A5))</f>
        <v/>
      </c>
      <c r="I5" s="38" t="str">
        <f aca="false">IF($A5="","",IFERROR($G5-$H5,""))</f>
        <v/>
      </c>
      <c r="J5" s="41" t="str">
        <f aca="false">IF($A5="","",IF(PO!$AA5="","",PO!$AA5))</f>
        <v/>
      </c>
      <c r="K5" s="38" t="str">
        <f aca="true">IF($A5="","",IF($I5&lt;=0,0,IF($J5="",0,MAX(0,TODAY()-$J5))))</f>
        <v/>
      </c>
      <c r="L5" s="37" t="str">
        <f aca="false">IF($A5="","",IF($I5&lt;=0,"Đã thanh toán",IF($K5=0,"Trong hạn",IF($K5&lt;=30,"1-30",IF($K5&lt;=60,"31-60",IF($K5&lt;=90,"61-90","&gt;90"))))))</f>
        <v/>
      </c>
      <c r="M5" s="37" t="str">
        <f aca="false">IF($A5="","",IF($I5&lt;=0,"Đã thanh toán đủ",IF($K5&gt;0,"QUÁ HẠN","Còn nợ, trong hạn")))</f>
        <v/>
      </c>
    </row>
    <row r="6" customFormat="false" ht="15" hidden="false" customHeight="false" outlineLevel="0" collapsed="false">
      <c r="A6" s="37" t="str">
        <f aca="false">IF(PO!$A6="","",PO!$A6)</f>
        <v/>
      </c>
      <c r="B6" s="37" t="str">
        <f aca="false">IF($A6="","",PO!$D6)</f>
        <v/>
      </c>
      <c r="C6" s="37" t="str">
        <f aca="false">IF($A6="","",PO!$E6)</f>
        <v/>
      </c>
      <c r="D6" s="37" t="str">
        <f aca="false">IF($A6="","",PO!$H6)</f>
        <v/>
      </c>
      <c r="E6" s="37" t="str">
        <f aca="false">IF($A6="","",PO!$I6)</f>
        <v/>
      </c>
      <c r="F6" s="41" t="str">
        <f aca="false">IF($A6="","",IF(PO!$R6="","",PO!$R6))</f>
        <v/>
      </c>
      <c r="G6" s="38" t="str">
        <f aca="false">IF($A6="","",PO!$L6)</f>
        <v/>
      </c>
      <c r="H6" s="38" t="str">
        <f aca="false">IF($A6="","",SUMIFS('Thanh toán'!$H$4:$H$203,'Thanh toán'!$C$4:$C$203,$A6))</f>
        <v/>
      </c>
      <c r="I6" s="38" t="str">
        <f aca="false">IF($A6="","",IFERROR($G6-$H6,""))</f>
        <v/>
      </c>
      <c r="J6" s="41" t="str">
        <f aca="false">IF($A6="","",IF(PO!$AA6="","",PO!$AA6))</f>
        <v/>
      </c>
      <c r="K6" s="38" t="str">
        <f aca="true">IF($A6="","",IF($I6&lt;=0,0,IF($J6="",0,MAX(0,TODAY()-$J6))))</f>
        <v/>
      </c>
      <c r="L6" s="37" t="str">
        <f aca="false">IF($A6="","",IF($I6&lt;=0,"Đã thanh toán",IF($K6=0,"Trong hạn",IF($K6&lt;=30,"1-30",IF($K6&lt;=60,"31-60",IF($K6&lt;=90,"61-90","&gt;90"))))))</f>
        <v/>
      </c>
      <c r="M6" s="37" t="str">
        <f aca="false">IF($A6="","",IF($I6&lt;=0,"Đã thanh toán đủ",IF($K6&gt;0,"QUÁ HẠN","Còn nợ, trong hạn")))</f>
        <v/>
      </c>
    </row>
    <row r="7" customFormat="false" ht="15" hidden="false" customHeight="false" outlineLevel="0" collapsed="false">
      <c r="A7" s="37" t="str">
        <f aca="false">IF(PO!$A7="","",PO!$A7)</f>
        <v/>
      </c>
      <c r="B7" s="37" t="str">
        <f aca="false">IF($A7="","",PO!$D7)</f>
        <v/>
      </c>
      <c r="C7" s="37" t="str">
        <f aca="false">IF($A7="","",PO!$E7)</f>
        <v/>
      </c>
      <c r="D7" s="37" t="str">
        <f aca="false">IF($A7="","",PO!$H7)</f>
        <v/>
      </c>
      <c r="E7" s="37" t="str">
        <f aca="false">IF($A7="","",PO!$I7)</f>
        <v/>
      </c>
      <c r="F7" s="41" t="str">
        <f aca="false">IF($A7="","",IF(PO!$R7="","",PO!$R7))</f>
        <v/>
      </c>
      <c r="G7" s="38" t="str">
        <f aca="false">IF($A7="","",PO!$L7)</f>
        <v/>
      </c>
      <c r="H7" s="38" t="str">
        <f aca="false">IF($A7="","",SUMIFS('Thanh toán'!$H$4:$H$203,'Thanh toán'!$C$4:$C$203,$A7))</f>
        <v/>
      </c>
      <c r="I7" s="38" t="str">
        <f aca="false">IF($A7="","",IFERROR($G7-$H7,""))</f>
        <v/>
      </c>
      <c r="J7" s="41" t="str">
        <f aca="false">IF($A7="","",IF(PO!$AA7="","",PO!$AA7))</f>
        <v/>
      </c>
      <c r="K7" s="38" t="str">
        <f aca="true">IF($A7="","",IF($I7&lt;=0,0,IF($J7="",0,MAX(0,TODAY()-$J7))))</f>
        <v/>
      </c>
      <c r="L7" s="37" t="str">
        <f aca="false">IF($A7="","",IF($I7&lt;=0,"Đã thanh toán",IF($K7=0,"Trong hạn",IF($K7&lt;=30,"1-30",IF($K7&lt;=60,"31-60",IF($K7&lt;=90,"61-90","&gt;90"))))))</f>
        <v/>
      </c>
      <c r="M7" s="37" t="str">
        <f aca="false">IF($A7="","",IF($I7&lt;=0,"Đã thanh toán đủ",IF($K7&gt;0,"QUÁ HẠN","Còn nợ, trong hạn")))</f>
        <v/>
      </c>
    </row>
    <row r="8" customFormat="false" ht="15" hidden="false" customHeight="false" outlineLevel="0" collapsed="false">
      <c r="A8" s="37" t="str">
        <f aca="false">IF(PO!$A8="","",PO!$A8)</f>
        <v/>
      </c>
      <c r="B8" s="37" t="str">
        <f aca="false">IF($A8="","",PO!$D8)</f>
        <v/>
      </c>
      <c r="C8" s="37" t="str">
        <f aca="false">IF($A8="","",PO!$E8)</f>
        <v/>
      </c>
      <c r="D8" s="37" t="str">
        <f aca="false">IF($A8="","",PO!$H8)</f>
        <v/>
      </c>
      <c r="E8" s="37" t="str">
        <f aca="false">IF($A8="","",PO!$I8)</f>
        <v/>
      </c>
      <c r="F8" s="41" t="str">
        <f aca="false">IF($A8="","",IF(PO!$R8="","",PO!$R8))</f>
        <v/>
      </c>
      <c r="G8" s="38" t="str">
        <f aca="false">IF($A8="","",PO!$L8)</f>
        <v/>
      </c>
      <c r="H8" s="38" t="str">
        <f aca="false">IF($A8="","",SUMIFS('Thanh toán'!$H$4:$H$203,'Thanh toán'!$C$4:$C$203,$A8))</f>
        <v/>
      </c>
      <c r="I8" s="38" t="str">
        <f aca="false">IF($A8="","",IFERROR($G8-$H8,""))</f>
        <v/>
      </c>
      <c r="J8" s="41" t="str">
        <f aca="false">IF($A8="","",IF(PO!$AA8="","",PO!$AA8))</f>
        <v/>
      </c>
      <c r="K8" s="38" t="str">
        <f aca="true">IF($A8="","",IF($I8&lt;=0,0,IF($J8="",0,MAX(0,TODAY()-$J8))))</f>
        <v/>
      </c>
      <c r="L8" s="37" t="str">
        <f aca="false">IF($A8="","",IF($I8&lt;=0,"Đã thanh toán",IF($K8=0,"Trong hạn",IF($K8&lt;=30,"1-30",IF($K8&lt;=60,"31-60",IF($K8&lt;=90,"61-90","&gt;90"))))))</f>
        <v/>
      </c>
      <c r="M8" s="37" t="str">
        <f aca="false">IF($A8="","",IF($I8&lt;=0,"Đã thanh toán đủ",IF($K8&gt;0,"QUÁ HẠN","Còn nợ, trong hạn")))</f>
        <v/>
      </c>
    </row>
    <row r="9" customFormat="false" ht="15" hidden="false" customHeight="false" outlineLevel="0" collapsed="false">
      <c r="A9" s="37" t="str">
        <f aca="false">IF(PO!$A9="","",PO!$A9)</f>
        <v/>
      </c>
      <c r="B9" s="37" t="str">
        <f aca="false">IF($A9="","",PO!$D9)</f>
        <v/>
      </c>
      <c r="C9" s="37" t="str">
        <f aca="false">IF($A9="","",PO!$E9)</f>
        <v/>
      </c>
      <c r="D9" s="37" t="str">
        <f aca="false">IF($A9="","",PO!$H9)</f>
        <v/>
      </c>
      <c r="E9" s="37" t="str">
        <f aca="false">IF($A9="","",PO!$I9)</f>
        <v/>
      </c>
      <c r="F9" s="41" t="str">
        <f aca="false">IF($A9="","",IF(PO!$R9="","",PO!$R9))</f>
        <v/>
      </c>
      <c r="G9" s="38" t="str">
        <f aca="false">IF($A9="","",PO!$L9)</f>
        <v/>
      </c>
      <c r="H9" s="38" t="str">
        <f aca="false">IF($A9="","",SUMIFS('Thanh toán'!$H$4:$H$203,'Thanh toán'!$C$4:$C$203,$A9))</f>
        <v/>
      </c>
      <c r="I9" s="38" t="str">
        <f aca="false">IF($A9="","",IFERROR($G9-$H9,""))</f>
        <v/>
      </c>
      <c r="J9" s="41" t="str">
        <f aca="false">IF($A9="","",IF(PO!$AA9="","",PO!$AA9))</f>
        <v/>
      </c>
      <c r="K9" s="38" t="str">
        <f aca="true">IF($A9="","",IF($I9&lt;=0,0,IF($J9="",0,MAX(0,TODAY()-$J9))))</f>
        <v/>
      </c>
      <c r="L9" s="37" t="str">
        <f aca="false">IF($A9="","",IF($I9&lt;=0,"Đã thanh toán",IF($K9=0,"Trong hạn",IF($K9&lt;=30,"1-30",IF($K9&lt;=60,"31-60",IF($K9&lt;=90,"61-90","&gt;90"))))))</f>
        <v/>
      </c>
      <c r="M9" s="37" t="str">
        <f aca="false">IF($A9="","",IF($I9&lt;=0,"Đã thanh toán đủ",IF($K9&gt;0,"QUÁ HẠN","Còn nợ, trong hạn")))</f>
        <v/>
      </c>
    </row>
    <row r="10" customFormat="false" ht="15" hidden="false" customHeight="false" outlineLevel="0" collapsed="false">
      <c r="A10" s="37" t="str">
        <f aca="false">IF(PO!$A10="","",PO!$A10)</f>
        <v/>
      </c>
      <c r="B10" s="37" t="str">
        <f aca="false">IF($A10="","",PO!$D10)</f>
        <v/>
      </c>
      <c r="C10" s="37" t="str">
        <f aca="false">IF($A10="","",PO!$E10)</f>
        <v/>
      </c>
      <c r="D10" s="37" t="str">
        <f aca="false">IF($A10="","",PO!$H10)</f>
        <v/>
      </c>
      <c r="E10" s="37" t="str">
        <f aca="false">IF($A10="","",PO!$I10)</f>
        <v/>
      </c>
      <c r="F10" s="41" t="str">
        <f aca="false">IF($A10="","",IF(PO!$R10="","",PO!$R10))</f>
        <v/>
      </c>
      <c r="G10" s="38" t="str">
        <f aca="false">IF($A10="","",PO!$L10)</f>
        <v/>
      </c>
      <c r="H10" s="38" t="str">
        <f aca="false">IF($A10="","",SUMIFS('Thanh toán'!$H$4:$H$203,'Thanh toán'!$C$4:$C$203,$A10))</f>
        <v/>
      </c>
      <c r="I10" s="38" t="str">
        <f aca="false">IF($A10="","",IFERROR($G10-$H10,""))</f>
        <v/>
      </c>
      <c r="J10" s="41" t="str">
        <f aca="false">IF($A10="","",IF(PO!$AA10="","",PO!$AA10))</f>
        <v/>
      </c>
      <c r="K10" s="38" t="str">
        <f aca="true">IF($A10="","",IF($I10&lt;=0,0,IF($J10="",0,MAX(0,TODAY()-$J10))))</f>
        <v/>
      </c>
      <c r="L10" s="37" t="str">
        <f aca="false">IF($A10="","",IF($I10&lt;=0,"Đã thanh toán",IF($K10=0,"Trong hạn",IF($K10&lt;=30,"1-30",IF($K10&lt;=60,"31-60",IF($K10&lt;=90,"61-90","&gt;90"))))))</f>
        <v/>
      </c>
      <c r="M10" s="37" t="str">
        <f aca="false">IF($A10="","",IF($I10&lt;=0,"Đã thanh toán đủ",IF($K10&gt;0,"QUÁ HẠN","Còn nợ, trong hạn")))</f>
        <v/>
      </c>
    </row>
    <row r="11" customFormat="false" ht="15" hidden="false" customHeight="false" outlineLevel="0" collapsed="false">
      <c r="A11" s="37" t="str">
        <f aca="false">IF(PO!$A11="","",PO!$A11)</f>
        <v/>
      </c>
      <c r="B11" s="37" t="str">
        <f aca="false">IF($A11="","",PO!$D11)</f>
        <v/>
      </c>
      <c r="C11" s="37" t="str">
        <f aca="false">IF($A11="","",PO!$E11)</f>
        <v/>
      </c>
      <c r="D11" s="37" t="str">
        <f aca="false">IF($A11="","",PO!$H11)</f>
        <v/>
      </c>
      <c r="E11" s="37" t="str">
        <f aca="false">IF($A11="","",PO!$I11)</f>
        <v/>
      </c>
      <c r="F11" s="41" t="str">
        <f aca="false">IF($A11="","",IF(PO!$R11="","",PO!$R11))</f>
        <v/>
      </c>
      <c r="G11" s="38" t="str">
        <f aca="false">IF($A11="","",PO!$L11)</f>
        <v/>
      </c>
      <c r="H11" s="38" t="str">
        <f aca="false">IF($A11="","",SUMIFS('Thanh toán'!$H$4:$H$203,'Thanh toán'!$C$4:$C$203,$A11))</f>
        <v/>
      </c>
      <c r="I11" s="38" t="str">
        <f aca="false">IF($A11="","",IFERROR($G11-$H11,""))</f>
        <v/>
      </c>
      <c r="J11" s="41" t="str">
        <f aca="false">IF($A11="","",IF(PO!$AA11="","",PO!$AA11))</f>
        <v/>
      </c>
      <c r="K11" s="38" t="str">
        <f aca="true">IF($A11="","",IF($I11&lt;=0,0,IF($J11="",0,MAX(0,TODAY()-$J11))))</f>
        <v/>
      </c>
      <c r="L11" s="37" t="str">
        <f aca="false">IF($A11="","",IF($I11&lt;=0,"Đã thanh toán",IF($K11=0,"Trong hạn",IF($K11&lt;=30,"1-30",IF($K11&lt;=60,"31-60",IF($K11&lt;=90,"61-90","&gt;90"))))))</f>
        <v/>
      </c>
      <c r="M11" s="37" t="str">
        <f aca="false">IF($A11="","",IF($I11&lt;=0,"Đã thanh toán đủ",IF($K11&gt;0,"QUÁ HẠN","Còn nợ, trong hạn")))</f>
        <v/>
      </c>
    </row>
    <row r="12" customFormat="false" ht="15" hidden="false" customHeight="false" outlineLevel="0" collapsed="false">
      <c r="A12" s="37" t="str">
        <f aca="false">IF(PO!$A12="","",PO!$A12)</f>
        <v/>
      </c>
      <c r="B12" s="37" t="str">
        <f aca="false">IF($A12="","",PO!$D12)</f>
        <v/>
      </c>
      <c r="C12" s="37" t="str">
        <f aca="false">IF($A12="","",PO!$E12)</f>
        <v/>
      </c>
      <c r="D12" s="37" t="str">
        <f aca="false">IF($A12="","",PO!$H12)</f>
        <v/>
      </c>
      <c r="E12" s="37" t="str">
        <f aca="false">IF($A12="","",PO!$I12)</f>
        <v/>
      </c>
      <c r="F12" s="41" t="str">
        <f aca="false">IF($A12="","",IF(PO!$R12="","",PO!$R12))</f>
        <v/>
      </c>
      <c r="G12" s="38" t="str">
        <f aca="false">IF($A12="","",PO!$L12)</f>
        <v/>
      </c>
      <c r="H12" s="38" t="str">
        <f aca="false">IF($A12="","",SUMIFS('Thanh toán'!$H$4:$H$203,'Thanh toán'!$C$4:$C$203,$A12))</f>
        <v/>
      </c>
      <c r="I12" s="38" t="str">
        <f aca="false">IF($A12="","",IFERROR($G12-$H12,""))</f>
        <v/>
      </c>
      <c r="J12" s="41" t="str">
        <f aca="false">IF($A12="","",IF(PO!$AA12="","",PO!$AA12))</f>
        <v/>
      </c>
      <c r="K12" s="38" t="str">
        <f aca="true">IF($A12="","",IF($I12&lt;=0,0,IF($J12="",0,MAX(0,TODAY()-$J12))))</f>
        <v/>
      </c>
      <c r="L12" s="37" t="str">
        <f aca="false">IF($A12="","",IF($I12&lt;=0,"Đã thanh toán",IF($K12=0,"Trong hạn",IF($K12&lt;=30,"1-30",IF($K12&lt;=60,"31-60",IF($K12&lt;=90,"61-90","&gt;90"))))))</f>
        <v/>
      </c>
      <c r="M12" s="37" t="str">
        <f aca="false">IF($A12="","",IF($I12&lt;=0,"Đã thanh toán đủ",IF($K12&gt;0,"QUÁ HẠN","Còn nợ, trong hạn")))</f>
        <v/>
      </c>
    </row>
    <row r="13" customFormat="false" ht="15" hidden="false" customHeight="false" outlineLevel="0" collapsed="false">
      <c r="A13" s="37" t="str">
        <f aca="false">IF(PO!$A13="","",PO!$A13)</f>
        <v/>
      </c>
      <c r="B13" s="37" t="str">
        <f aca="false">IF($A13="","",PO!$D13)</f>
        <v/>
      </c>
      <c r="C13" s="37" t="str">
        <f aca="false">IF($A13="","",PO!$E13)</f>
        <v/>
      </c>
      <c r="D13" s="37" t="str">
        <f aca="false">IF($A13="","",PO!$H13)</f>
        <v/>
      </c>
      <c r="E13" s="37" t="str">
        <f aca="false">IF($A13="","",PO!$I13)</f>
        <v/>
      </c>
      <c r="F13" s="41" t="str">
        <f aca="false">IF($A13="","",IF(PO!$R13="","",PO!$R13))</f>
        <v/>
      </c>
      <c r="G13" s="38" t="str">
        <f aca="false">IF($A13="","",PO!$L13)</f>
        <v/>
      </c>
      <c r="H13" s="38" t="str">
        <f aca="false">IF($A13="","",SUMIFS('Thanh toán'!$H$4:$H$203,'Thanh toán'!$C$4:$C$203,$A13))</f>
        <v/>
      </c>
      <c r="I13" s="38" t="str">
        <f aca="false">IF($A13="","",IFERROR($G13-$H13,""))</f>
        <v/>
      </c>
      <c r="J13" s="41" t="str">
        <f aca="false">IF($A13="","",IF(PO!$AA13="","",PO!$AA13))</f>
        <v/>
      </c>
      <c r="K13" s="38" t="str">
        <f aca="true">IF($A13="","",IF($I13&lt;=0,0,IF($J13="",0,MAX(0,TODAY()-$J13))))</f>
        <v/>
      </c>
      <c r="L13" s="37" t="str">
        <f aca="false">IF($A13="","",IF($I13&lt;=0,"Đã thanh toán",IF($K13=0,"Trong hạn",IF($K13&lt;=30,"1-30",IF($K13&lt;=60,"31-60",IF($K13&lt;=90,"61-90","&gt;90"))))))</f>
        <v/>
      </c>
      <c r="M13" s="37" t="str">
        <f aca="false">IF($A13="","",IF($I13&lt;=0,"Đã thanh toán đủ",IF($K13&gt;0,"QUÁ HẠN","Còn nợ, trong hạn")))</f>
        <v/>
      </c>
    </row>
    <row r="14" customFormat="false" ht="15" hidden="false" customHeight="false" outlineLevel="0" collapsed="false">
      <c r="A14" s="37" t="str">
        <f aca="false">IF(PO!$A14="","",PO!$A14)</f>
        <v/>
      </c>
      <c r="B14" s="37" t="str">
        <f aca="false">IF($A14="","",PO!$D14)</f>
        <v/>
      </c>
      <c r="C14" s="37" t="str">
        <f aca="false">IF($A14="","",PO!$E14)</f>
        <v/>
      </c>
      <c r="D14" s="37" t="str">
        <f aca="false">IF($A14="","",PO!$H14)</f>
        <v/>
      </c>
      <c r="E14" s="37" t="str">
        <f aca="false">IF($A14="","",PO!$I14)</f>
        <v/>
      </c>
      <c r="F14" s="41" t="str">
        <f aca="false">IF($A14="","",IF(PO!$R14="","",PO!$R14))</f>
        <v/>
      </c>
      <c r="G14" s="38" t="str">
        <f aca="false">IF($A14="","",PO!$L14)</f>
        <v/>
      </c>
      <c r="H14" s="38" t="str">
        <f aca="false">IF($A14="","",SUMIFS('Thanh toán'!$H$4:$H$203,'Thanh toán'!$C$4:$C$203,$A14))</f>
        <v/>
      </c>
      <c r="I14" s="38" t="str">
        <f aca="false">IF($A14="","",IFERROR($G14-$H14,""))</f>
        <v/>
      </c>
      <c r="J14" s="41" t="str">
        <f aca="false">IF($A14="","",IF(PO!$AA14="","",PO!$AA14))</f>
        <v/>
      </c>
      <c r="K14" s="38" t="str">
        <f aca="true">IF($A14="","",IF($I14&lt;=0,0,IF($J14="",0,MAX(0,TODAY()-$J14))))</f>
        <v/>
      </c>
      <c r="L14" s="37" t="str">
        <f aca="false">IF($A14="","",IF($I14&lt;=0,"Đã thanh toán",IF($K14=0,"Trong hạn",IF($K14&lt;=30,"1-30",IF($K14&lt;=60,"31-60",IF($K14&lt;=90,"61-90","&gt;90"))))))</f>
        <v/>
      </c>
      <c r="M14" s="37" t="str">
        <f aca="false">IF($A14="","",IF($I14&lt;=0,"Đã thanh toán đủ",IF($K14&gt;0,"QUÁ HẠN","Còn nợ, trong hạn")))</f>
        <v/>
      </c>
    </row>
    <row r="15" customFormat="false" ht="15" hidden="false" customHeight="false" outlineLevel="0" collapsed="false">
      <c r="A15" s="37" t="str">
        <f aca="false">IF(PO!$A15="","",PO!$A15)</f>
        <v/>
      </c>
      <c r="B15" s="37" t="str">
        <f aca="false">IF($A15="","",PO!$D15)</f>
        <v/>
      </c>
      <c r="C15" s="37" t="str">
        <f aca="false">IF($A15="","",PO!$E15)</f>
        <v/>
      </c>
      <c r="D15" s="37" t="str">
        <f aca="false">IF($A15="","",PO!$H15)</f>
        <v/>
      </c>
      <c r="E15" s="37" t="str">
        <f aca="false">IF($A15="","",PO!$I15)</f>
        <v/>
      </c>
      <c r="F15" s="41" t="str">
        <f aca="false">IF($A15="","",IF(PO!$R15="","",PO!$R15))</f>
        <v/>
      </c>
      <c r="G15" s="38" t="str">
        <f aca="false">IF($A15="","",PO!$L15)</f>
        <v/>
      </c>
      <c r="H15" s="38" t="str">
        <f aca="false">IF($A15="","",SUMIFS('Thanh toán'!$H$4:$H$203,'Thanh toán'!$C$4:$C$203,$A15))</f>
        <v/>
      </c>
      <c r="I15" s="38" t="str">
        <f aca="false">IF($A15="","",IFERROR($G15-$H15,""))</f>
        <v/>
      </c>
      <c r="J15" s="41" t="str">
        <f aca="false">IF($A15="","",IF(PO!$AA15="","",PO!$AA15))</f>
        <v/>
      </c>
      <c r="K15" s="38" t="str">
        <f aca="true">IF($A15="","",IF($I15&lt;=0,0,IF($J15="",0,MAX(0,TODAY()-$J15))))</f>
        <v/>
      </c>
      <c r="L15" s="37" t="str">
        <f aca="false">IF($A15="","",IF($I15&lt;=0,"Đã thanh toán",IF($K15=0,"Trong hạn",IF($K15&lt;=30,"1-30",IF($K15&lt;=60,"31-60",IF($K15&lt;=90,"61-90","&gt;90"))))))</f>
        <v/>
      </c>
      <c r="M15" s="37" t="str">
        <f aca="false">IF($A15="","",IF($I15&lt;=0,"Đã thanh toán đủ",IF($K15&gt;0,"QUÁ HẠN","Còn nợ, trong hạn")))</f>
        <v/>
      </c>
    </row>
    <row r="16" customFormat="false" ht="15" hidden="false" customHeight="false" outlineLevel="0" collapsed="false">
      <c r="A16" s="37" t="str">
        <f aca="false">IF(PO!$A16="","",PO!$A16)</f>
        <v/>
      </c>
      <c r="B16" s="37" t="str">
        <f aca="false">IF($A16="","",PO!$D16)</f>
        <v/>
      </c>
      <c r="C16" s="37" t="str">
        <f aca="false">IF($A16="","",PO!$E16)</f>
        <v/>
      </c>
      <c r="D16" s="37" t="str">
        <f aca="false">IF($A16="","",PO!$H16)</f>
        <v/>
      </c>
      <c r="E16" s="37" t="str">
        <f aca="false">IF($A16="","",PO!$I16)</f>
        <v/>
      </c>
      <c r="F16" s="41" t="str">
        <f aca="false">IF($A16="","",IF(PO!$R16="","",PO!$R16))</f>
        <v/>
      </c>
      <c r="G16" s="38" t="str">
        <f aca="false">IF($A16="","",PO!$L16)</f>
        <v/>
      </c>
      <c r="H16" s="38" t="str">
        <f aca="false">IF($A16="","",SUMIFS('Thanh toán'!$H$4:$H$203,'Thanh toán'!$C$4:$C$203,$A16))</f>
        <v/>
      </c>
      <c r="I16" s="38" t="str">
        <f aca="false">IF($A16="","",IFERROR($G16-$H16,""))</f>
        <v/>
      </c>
      <c r="J16" s="41" t="str">
        <f aca="false">IF($A16="","",IF(PO!$AA16="","",PO!$AA16))</f>
        <v/>
      </c>
      <c r="K16" s="38" t="str">
        <f aca="true">IF($A16="","",IF($I16&lt;=0,0,IF($J16="",0,MAX(0,TODAY()-$J16))))</f>
        <v/>
      </c>
      <c r="L16" s="37" t="str">
        <f aca="false">IF($A16="","",IF($I16&lt;=0,"Đã thanh toán",IF($K16=0,"Trong hạn",IF($K16&lt;=30,"1-30",IF($K16&lt;=60,"31-60",IF($K16&lt;=90,"61-90","&gt;90"))))))</f>
        <v/>
      </c>
      <c r="M16" s="37" t="str">
        <f aca="false">IF($A16="","",IF($I16&lt;=0,"Đã thanh toán đủ",IF($K16&gt;0,"QUÁ HẠN","Còn nợ, trong hạn")))</f>
        <v/>
      </c>
    </row>
    <row r="17" customFormat="false" ht="15" hidden="false" customHeight="false" outlineLevel="0" collapsed="false">
      <c r="A17" s="37" t="str">
        <f aca="false">IF(PO!$A17="","",PO!$A17)</f>
        <v/>
      </c>
      <c r="B17" s="37" t="str">
        <f aca="false">IF($A17="","",PO!$D17)</f>
        <v/>
      </c>
      <c r="C17" s="37" t="str">
        <f aca="false">IF($A17="","",PO!$E17)</f>
        <v/>
      </c>
      <c r="D17" s="37" t="str">
        <f aca="false">IF($A17="","",PO!$H17)</f>
        <v/>
      </c>
      <c r="E17" s="37" t="str">
        <f aca="false">IF($A17="","",PO!$I17)</f>
        <v/>
      </c>
      <c r="F17" s="41" t="str">
        <f aca="false">IF($A17="","",IF(PO!$R17="","",PO!$R17))</f>
        <v/>
      </c>
      <c r="G17" s="38" t="str">
        <f aca="false">IF($A17="","",PO!$L17)</f>
        <v/>
      </c>
      <c r="H17" s="38" t="str">
        <f aca="false">IF($A17="","",SUMIFS('Thanh toán'!$H$4:$H$203,'Thanh toán'!$C$4:$C$203,$A17))</f>
        <v/>
      </c>
      <c r="I17" s="38" t="str">
        <f aca="false">IF($A17="","",IFERROR($G17-$H17,""))</f>
        <v/>
      </c>
      <c r="J17" s="41" t="str">
        <f aca="false">IF($A17="","",IF(PO!$AA17="","",PO!$AA17))</f>
        <v/>
      </c>
      <c r="K17" s="38" t="str">
        <f aca="true">IF($A17="","",IF($I17&lt;=0,0,IF($J17="",0,MAX(0,TODAY()-$J17))))</f>
        <v/>
      </c>
      <c r="L17" s="37" t="str">
        <f aca="false">IF($A17="","",IF($I17&lt;=0,"Đã thanh toán",IF($K17=0,"Trong hạn",IF($K17&lt;=30,"1-30",IF($K17&lt;=60,"31-60",IF($K17&lt;=90,"61-90","&gt;90"))))))</f>
        <v/>
      </c>
      <c r="M17" s="37" t="str">
        <f aca="false">IF($A17="","",IF($I17&lt;=0,"Đã thanh toán đủ",IF($K17&gt;0,"QUÁ HẠN","Còn nợ, trong hạn")))</f>
        <v/>
      </c>
    </row>
    <row r="18" customFormat="false" ht="15" hidden="false" customHeight="false" outlineLevel="0" collapsed="false">
      <c r="A18" s="37" t="str">
        <f aca="false">IF(PO!$A18="","",PO!$A18)</f>
        <v/>
      </c>
      <c r="B18" s="37" t="str">
        <f aca="false">IF($A18="","",PO!$D18)</f>
        <v/>
      </c>
      <c r="C18" s="37" t="str">
        <f aca="false">IF($A18="","",PO!$E18)</f>
        <v/>
      </c>
      <c r="D18" s="37" t="str">
        <f aca="false">IF($A18="","",PO!$H18)</f>
        <v/>
      </c>
      <c r="E18" s="37" t="str">
        <f aca="false">IF($A18="","",PO!$I18)</f>
        <v/>
      </c>
      <c r="F18" s="41" t="str">
        <f aca="false">IF($A18="","",IF(PO!$R18="","",PO!$R18))</f>
        <v/>
      </c>
      <c r="G18" s="38" t="str">
        <f aca="false">IF($A18="","",PO!$L18)</f>
        <v/>
      </c>
      <c r="H18" s="38" t="str">
        <f aca="false">IF($A18="","",SUMIFS('Thanh toán'!$H$4:$H$203,'Thanh toán'!$C$4:$C$203,$A18))</f>
        <v/>
      </c>
      <c r="I18" s="38" t="str">
        <f aca="false">IF($A18="","",IFERROR($G18-$H18,""))</f>
        <v/>
      </c>
      <c r="J18" s="41" t="str">
        <f aca="false">IF($A18="","",IF(PO!$AA18="","",PO!$AA18))</f>
        <v/>
      </c>
      <c r="K18" s="38" t="str">
        <f aca="true">IF($A18="","",IF($I18&lt;=0,0,IF($J18="",0,MAX(0,TODAY()-$J18))))</f>
        <v/>
      </c>
      <c r="L18" s="37" t="str">
        <f aca="false">IF($A18="","",IF($I18&lt;=0,"Đã thanh toán",IF($K18=0,"Trong hạn",IF($K18&lt;=30,"1-30",IF($K18&lt;=60,"31-60",IF($K18&lt;=90,"61-90","&gt;90"))))))</f>
        <v/>
      </c>
      <c r="M18" s="37" t="str">
        <f aca="false">IF($A18="","",IF($I18&lt;=0,"Đã thanh toán đủ",IF($K18&gt;0,"QUÁ HẠN","Còn nợ, trong hạn")))</f>
        <v/>
      </c>
    </row>
    <row r="19" customFormat="false" ht="15" hidden="false" customHeight="false" outlineLevel="0" collapsed="false">
      <c r="A19" s="37" t="str">
        <f aca="false">IF(PO!$A19="","",PO!$A19)</f>
        <v/>
      </c>
      <c r="B19" s="37" t="str">
        <f aca="false">IF($A19="","",PO!$D19)</f>
        <v/>
      </c>
      <c r="C19" s="37" t="str">
        <f aca="false">IF($A19="","",PO!$E19)</f>
        <v/>
      </c>
      <c r="D19" s="37" t="str">
        <f aca="false">IF($A19="","",PO!$H19)</f>
        <v/>
      </c>
      <c r="E19" s="37" t="str">
        <f aca="false">IF($A19="","",PO!$I19)</f>
        <v/>
      </c>
      <c r="F19" s="41" t="str">
        <f aca="false">IF($A19="","",IF(PO!$R19="","",PO!$R19))</f>
        <v/>
      </c>
      <c r="G19" s="38" t="str">
        <f aca="false">IF($A19="","",PO!$L19)</f>
        <v/>
      </c>
      <c r="H19" s="38" t="str">
        <f aca="false">IF($A19="","",SUMIFS('Thanh toán'!$H$4:$H$203,'Thanh toán'!$C$4:$C$203,$A19))</f>
        <v/>
      </c>
      <c r="I19" s="38" t="str">
        <f aca="false">IF($A19="","",IFERROR($G19-$H19,""))</f>
        <v/>
      </c>
      <c r="J19" s="41" t="str">
        <f aca="false">IF($A19="","",IF(PO!$AA19="","",PO!$AA19))</f>
        <v/>
      </c>
      <c r="K19" s="38" t="str">
        <f aca="true">IF($A19="","",IF($I19&lt;=0,0,IF($J19="",0,MAX(0,TODAY()-$J19))))</f>
        <v/>
      </c>
      <c r="L19" s="37" t="str">
        <f aca="false">IF($A19="","",IF($I19&lt;=0,"Đã thanh toán",IF($K19=0,"Trong hạn",IF($K19&lt;=30,"1-30",IF($K19&lt;=60,"31-60",IF($K19&lt;=90,"61-90","&gt;90"))))))</f>
        <v/>
      </c>
      <c r="M19" s="37" t="str">
        <f aca="false">IF($A19="","",IF($I19&lt;=0,"Đã thanh toán đủ",IF($K19&gt;0,"QUÁ HẠN","Còn nợ, trong hạn")))</f>
        <v/>
      </c>
    </row>
    <row r="20" customFormat="false" ht="15" hidden="false" customHeight="false" outlineLevel="0" collapsed="false">
      <c r="A20" s="37" t="str">
        <f aca="false">IF(PO!$A20="","",PO!$A20)</f>
        <v/>
      </c>
      <c r="B20" s="37" t="str">
        <f aca="false">IF($A20="","",PO!$D20)</f>
        <v/>
      </c>
      <c r="C20" s="37" t="str">
        <f aca="false">IF($A20="","",PO!$E20)</f>
        <v/>
      </c>
      <c r="D20" s="37" t="str">
        <f aca="false">IF($A20="","",PO!$H20)</f>
        <v/>
      </c>
      <c r="E20" s="37" t="str">
        <f aca="false">IF($A20="","",PO!$I20)</f>
        <v/>
      </c>
      <c r="F20" s="41" t="str">
        <f aca="false">IF($A20="","",IF(PO!$R20="","",PO!$R20))</f>
        <v/>
      </c>
      <c r="G20" s="38" t="str">
        <f aca="false">IF($A20="","",PO!$L20)</f>
        <v/>
      </c>
      <c r="H20" s="38" t="str">
        <f aca="false">IF($A20="","",SUMIFS('Thanh toán'!$H$4:$H$203,'Thanh toán'!$C$4:$C$203,$A20))</f>
        <v/>
      </c>
      <c r="I20" s="38" t="str">
        <f aca="false">IF($A20="","",IFERROR($G20-$H20,""))</f>
        <v/>
      </c>
      <c r="J20" s="41" t="str">
        <f aca="false">IF($A20="","",IF(PO!$AA20="","",PO!$AA20))</f>
        <v/>
      </c>
      <c r="K20" s="38" t="str">
        <f aca="true">IF($A20="","",IF($I20&lt;=0,0,IF($J20="",0,MAX(0,TODAY()-$J20))))</f>
        <v/>
      </c>
      <c r="L20" s="37" t="str">
        <f aca="false">IF($A20="","",IF($I20&lt;=0,"Đã thanh toán",IF($K20=0,"Trong hạn",IF($K20&lt;=30,"1-30",IF($K20&lt;=60,"31-60",IF($K20&lt;=90,"61-90","&gt;90"))))))</f>
        <v/>
      </c>
      <c r="M20" s="37" t="str">
        <f aca="false">IF($A20="","",IF($I20&lt;=0,"Đã thanh toán đủ",IF($K20&gt;0,"QUÁ HẠN","Còn nợ, trong hạn")))</f>
        <v/>
      </c>
    </row>
    <row r="21" customFormat="false" ht="15" hidden="false" customHeight="false" outlineLevel="0" collapsed="false">
      <c r="A21" s="37" t="str">
        <f aca="false">IF(PO!$A21="","",PO!$A21)</f>
        <v/>
      </c>
      <c r="B21" s="37" t="str">
        <f aca="false">IF($A21="","",PO!$D21)</f>
        <v/>
      </c>
      <c r="C21" s="37" t="str">
        <f aca="false">IF($A21="","",PO!$E21)</f>
        <v/>
      </c>
      <c r="D21" s="37" t="str">
        <f aca="false">IF($A21="","",PO!$H21)</f>
        <v/>
      </c>
      <c r="E21" s="37" t="str">
        <f aca="false">IF($A21="","",PO!$I21)</f>
        <v/>
      </c>
      <c r="F21" s="41" t="str">
        <f aca="false">IF($A21="","",IF(PO!$R21="","",PO!$R21))</f>
        <v/>
      </c>
      <c r="G21" s="38" t="str">
        <f aca="false">IF($A21="","",PO!$L21)</f>
        <v/>
      </c>
      <c r="H21" s="38" t="str">
        <f aca="false">IF($A21="","",SUMIFS('Thanh toán'!$H$4:$H$203,'Thanh toán'!$C$4:$C$203,$A21))</f>
        <v/>
      </c>
      <c r="I21" s="38" t="str">
        <f aca="false">IF($A21="","",IFERROR($G21-$H21,""))</f>
        <v/>
      </c>
      <c r="J21" s="41" t="str">
        <f aca="false">IF($A21="","",IF(PO!$AA21="","",PO!$AA21))</f>
        <v/>
      </c>
      <c r="K21" s="38" t="str">
        <f aca="true">IF($A21="","",IF($I21&lt;=0,0,IF($J21="",0,MAX(0,TODAY()-$J21))))</f>
        <v/>
      </c>
      <c r="L21" s="37" t="str">
        <f aca="false">IF($A21="","",IF($I21&lt;=0,"Đã thanh toán",IF($K21=0,"Trong hạn",IF($K21&lt;=30,"1-30",IF($K21&lt;=60,"31-60",IF($K21&lt;=90,"61-90","&gt;90"))))))</f>
        <v/>
      </c>
      <c r="M21" s="37" t="str">
        <f aca="false">IF($A21="","",IF($I21&lt;=0,"Đã thanh toán đủ",IF($K21&gt;0,"QUÁ HẠN","Còn nợ, trong hạn")))</f>
        <v/>
      </c>
    </row>
    <row r="22" customFormat="false" ht="15" hidden="false" customHeight="false" outlineLevel="0" collapsed="false">
      <c r="A22" s="37" t="str">
        <f aca="false">IF(PO!$A22="","",PO!$A22)</f>
        <v/>
      </c>
      <c r="B22" s="37" t="str">
        <f aca="false">IF($A22="","",PO!$D22)</f>
        <v/>
      </c>
      <c r="C22" s="37" t="str">
        <f aca="false">IF($A22="","",PO!$E22)</f>
        <v/>
      </c>
      <c r="D22" s="37" t="str">
        <f aca="false">IF($A22="","",PO!$H22)</f>
        <v/>
      </c>
      <c r="E22" s="37" t="str">
        <f aca="false">IF($A22="","",PO!$I22)</f>
        <v/>
      </c>
      <c r="F22" s="41" t="str">
        <f aca="false">IF($A22="","",IF(PO!$R22="","",PO!$R22))</f>
        <v/>
      </c>
      <c r="G22" s="38" t="str">
        <f aca="false">IF($A22="","",PO!$L22)</f>
        <v/>
      </c>
      <c r="H22" s="38" t="str">
        <f aca="false">IF($A22="","",SUMIFS('Thanh toán'!$H$4:$H$203,'Thanh toán'!$C$4:$C$203,$A22))</f>
        <v/>
      </c>
      <c r="I22" s="38" t="str">
        <f aca="false">IF($A22="","",IFERROR($G22-$H22,""))</f>
        <v/>
      </c>
      <c r="J22" s="41" t="str">
        <f aca="false">IF($A22="","",IF(PO!$AA22="","",PO!$AA22))</f>
        <v/>
      </c>
      <c r="K22" s="38" t="str">
        <f aca="true">IF($A22="","",IF($I22&lt;=0,0,IF($J22="",0,MAX(0,TODAY()-$J22))))</f>
        <v/>
      </c>
      <c r="L22" s="37" t="str">
        <f aca="false">IF($A22="","",IF($I22&lt;=0,"Đã thanh toán",IF($K22=0,"Trong hạn",IF($K22&lt;=30,"1-30",IF($K22&lt;=60,"31-60",IF($K22&lt;=90,"61-90","&gt;90"))))))</f>
        <v/>
      </c>
      <c r="M22" s="37" t="str">
        <f aca="false">IF($A22="","",IF($I22&lt;=0,"Đã thanh toán đủ",IF($K22&gt;0,"QUÁ HẠN","Còn nợ, trong hạn")))</f>
        <v/>
      </c>
    </row>
    <row r="23" customFormat="false" ht="15" hidden="false" customHeight="false" outlineLevel="0" collapsed="false">
      <c r="A23" s="37" t="str">
        <f aca="false">IF(PO!$A23="","",PO!$A23)</f>
        <v/>
      </c>
      <c r="B23" s="37" t="str">
        <f aca="false">IF($A23="","",PO!$D23)</f>
        <v/>
      </c>
      <c r="C23" s="37" t="str">
        <f aca="false">IF($A23="","",PO!$E23)</f>
        <v/>
      </c>
      <c r="D23" s="37" t="str">
        <f aca="false">IF($A23="","",PO!$H23)</f>
        <v/>
      </c>
      <c r="E23" s="37" t="str">
        <f aca="false">IF($A23="","",PO!$I23)</f>
        <v/>
      </c>
      <c r="F23" s="41" t="str">
        <f aca="false">IF($A23="","",IF(PO!$R23="","",PO!$R23))</f>
        <v/>
      </c>
      <c r="G23" s="38" t="str">
        <f aca="false">IF($A23="","",PO!$L23)</f>
        <v/>
      </c>
      <c r="H23" s="38" t="str">
        <f aca="false">IF($A23="","",SUMIFS('Thanh toán'!$H$4:$H$203,'Thanh toán'!$C$4:$C$203,$A23))</f>
        <v/>
      </c>
      <c r="I23" s="38" t="str">
        <f aca="false">IF($A23="","",IFERROR($G23-$H23,""))</f>
        <v/>
      </c>
      <c r="J23" s="41" t="str">
        <f aca="false">IF($A23="","",IF(PO!$AA23="","",PO!$AA23))</f>
        <v/>
      </c>
      <c r="K23" s="38" t="str">
        <f aca="true">IF($A23="","",IF($I23&lt;=0,0,IF($J23="",0,MAX(0,TODAY()-$J23))))</f>
        <v/>
      </c>
      <c r="L23" s="37" t="str">
        <f aca="false">IF($A23="","",IF($I23&lt;=0,"Đã thanh toán",IF($K23=0,"Trong hạn",IF($K23&lt;=30,"1-30",IF($K23&lt;=60,"31-60",IF($K23&lt;=90,"61-90","&gt;90"))))))</f>
        <v/>
      </c>
      <c r="M23" s="37" t="str">
        <f aca="false">IF($A23="","",IF($I23&lt;=0,"Đã thanh toán đủ",IF($K23&gt;0,"QUÁ HẠN","Còn nợ, trong hạn")))</f>
        <v/>
      </c>
    </row>
    <row r="24" customFormat="false" ht="15" hidden="false" customHeight="false" outlineLevel="0" collapsed="false">
      <c r="A24" s="37" t="str">
        <f aca="false">IF(PO!$A24="","",PO!$A24)</f>
        <v/>
      </c>
      <c r="B24" s="37" t="str">
        <f aca="false">IF($A24="","",PO!$D24)</f>
        <v/>
      </c>
      <c r="C24" s="37" t="str">
        <f aca="false">IF($A24="","",PO!$E24)</f>
        <v/>
      </c>
      <c r="D24" s="37" t="str">
        <f aca="false">IF($A24="","",PO!$H24)</f>
        <v/>
      </c>
      <c r="E24" s="37" t="str">
        <f aca="false">IF($A24="","",PO!$I24)</f>
        <v/>
      </c>
      <c r="F24" s="41" t="str">
        <f aca="false">IF($A24="","",IF(PO!$R24="","",PO!$R24))</f>
        <v/>
      </c>
      <c r="G24" s="38" t="str">
        <f aca="false">IF($A24="","",PO!$L24)</f>
        <v/>
      </c>
      <c r="H24" s="38" t="str">
        <f aca="false">IF($A24="","",SUMIFS('Thanh toán'!$H$4:$H$203,'Thanh toán'!$C$4:$C$203,$A24))</f>
        <v/>
      </c>
      <c r="I24" s="38" t="str">
        <f aca="false">IF($A24="","",IFERROR($G24-$H24,""))</f>
        <v/>
      </c>
      <c r="J24" s="41" t="str">
        <f aca="false">IF($A24="","",IF(PO!$AA24="","",PO!$AA24))</f>
        <v/>
      </c>
      <c r="K24" s="38" t="str">
        <f aca="true">IF($A24="","",IF($I24&lt;=0,0,IF($J24="",0,MAX(0,TODAY()-$J24))))</f>
        <v/>
      </c>
      <c r="L24" s="37" t="str">
        <f aca="false">IF($A24="","",IF($I24&lt;=0,"Đã thanh toán",IF($K24=0,"Trong hạn",IF($K24&lt;=30,"1-30",IF($K24&lt;=60,"31-60",IF($K24&lt;=90,"61-90","&gt;90"))))))</f>
        <v/>
      </c>
      <c r="M24" s="37" t="str">
        <f aca="false">IF($A24="","",IF($I24&lt;=0,"Đã thanh toán đủ",IF($K24&gt;0,"QUÁ HẠN","Còn nợ, trong hạn")))</f>
        <v/>
      </c>
    </row>
    <row r="25" customFormat="false" ht="15" hidden="false" customHeight="false" outlineLevel="0" collapsed="false">
      <c r="A25" s="37" t="str">
        <f aca="false">IF(PO!$A25="","",PO!$A25)</f>
        <v/>
      </c>
      <c r="B25" s="37" t="str">
        <f aca="false">IF($A25="","",PO!$D25)</f>
        <v/>
      </c>
      <c r="C25" s="37" t="str">
        <f aca="false">IF($A25="","",PO!$E25)</f>
        <v/>
      </c>
      <c r="D25" s="37" t="str">
        <f aca="false">IF($A25="","",PO!$H25)</f>
        <v/>
      </c>
      <c r="E25" s="37" t="str">
        <f aca="false">IF($A25="","",PO!$I25)</f>
        <v/>
      </c>
      <c r="F25" s="41" t="str">
        <f aca="false">IF($A25="","",IF(PO!$R25="","",PO!$R25))</f>
        <v/>
      </c>
      <c r="G25" s="38" t="str">
        <f aca="false">IF($A25="","",PO!$L25)</f>
        <v/>
      </c>
      <c r="H25" s="38" t="str">
        <f aca="false">IF($A25="","",SUMIFS('Thanh toán'!$H$4:$H$203,'Thanh toán'!$C$4:$C$203,$A25))</f>
        <v/>
      </c>
      <c r="I25" s="38" t="str">
        <f aca="false">IF($A25="","",IFERROR($G25-$H25,""))</f>
        <v/>
      </c>
      <c r="J25" s="41" t="str">
        <f aca="false">IF($A25="","",IF(PO!$AA25="","",PO!$AA25))</f>
        <v/>
      </c>
      <c r="K25" s="38" t="str">
        <f aca="true">IF($A25="","",IF($I25&lt;=0,0,IF($J25="",0,MAX(0,TODAY()-$J25))))</f>
        <v/>
      </c>
      <c r="L25" s="37" t="str">
        <f aca="false">IF($A25="","",IF($I25&lt;=0,"Đã thanh toán",IF($K25=0,"Trong hạn",IF($K25&lt;=30,"1-30",IF($K25&lt;=60,"31-60",IF($K25&lt;=90,"61-90","&gt;90"))))))</f>
        <v/>
      </c>
      <c r="M25" s="37" t="str">
        <f aca="false">IF($A25="","",IF($I25&lt;=0,"Đã thanh toán đủ",IF($K25&gt;0,"QUÁ HẠN","Còn nợ, trong hạn")))</f>
        <v/>
      </c>
    </row>
    <row r="26" customFormat="false" ht="15" hidden="false" customHeight="false" outlineLevel="0" collapsed="false">
      <c r="A26" s="37" t="str">
        <f aca="false">IF(PO!$A26="","",PO!$A26)</f>
        <v/>
      </c>
      <c r="B26" s="37" t="str">
        <f aca="false">IF($A26="","",PO!$D26)</f>
        <v/>
      </c>
      <c r="C26" s="37" t="str">
        <f aca="false">IF($A26="","",PO!$E26)</f>
        <v/>
      </c>
      <c r="D26" s="37" t="str">
        <f aca="false">IF($A26="","",PO!$H26)</f>
        <v/>
      </c>
      <c r="E26" s="37" t="str">
        <f aca="false">IF($A26="","",PO!$I26)</f>
        <v/>
      </c>
      <c r="F26" s="41" t="str">
        <f aca="false">IF($A26="","",IF(PO!$R26="","",PO!$R26))</f>
        <v/>
      </c>
      <c r="G26" s="38" t="str">
        <f aca="false">IF($A26="","",PO!$L26)</f>
        <v/>
      </c>
      <c r="H26" s="38" t="str">
        <f aca="false">IF($A26="","",SUMIFS('Thanh toán'!$H$4:$H$203,'Thanh toán'!$C$4:$C$203,$A26))</f>
        <v/>
      </c>
      <c r="I26" s="38" t="str">
        <f aca="false">IF($A26="","",IFERROR($G26-$H26,""))</f>
        <v/>
      </c>
      <c r="J26" s="41" t="str">
        <f aca="false">IF($A26="","",IF(PO!$AA26="","",PO!$AA26))</f>
        <v/>
      </c>
      <c r="K26" s="38" t="str">
        <f aca="true">IF($A26="","",IF($I26&lt;=0,0,IF($J26="",0,MAX(0,TODAY()-$J26))))</f>
        <v/>
      </c>
      <c r="L26" s="37" t="str">
        <f aca="false">IF($A26="","",IF($I26&lt;=0,"Đã thanh toán",IF($K26=0,"Trong hạn",IF($K26&lt;=30,"1-30",IF($K26&lt;=60,"31-60",IF($K26&lt;=90,"61-90","&gt;90"))))))</f>
        <v/>
      </c>
      <c r="M26" s="37" t="str">
        <f aca="false">IF($A26="","",IF($I26&lt;=0,"Đã thanh toán đủ",IF($K26&gt;0,"QUÁ HẠN","Còn nợ, trong hạn")))</f>
        <v/>
      </c>
    </row>
    <row r="27" customFormat="false" ht="15" hidden="false" customHeight="false" outlineLevel="0" collapsed="false">
      <c r="A27" s="37" t="str">
        <f aca="false">IF(PO!$A27="","",PO!$A27)</f>
        <v/>
      </c>
      <c r="B27" s="37" t="str">
        <f aca="false">IF($A27="","",PO!$D27)</f>
        <v/>
      </c>
      <c r="C27" s="37" t="str">
        <f aca="false">IF($A27="","",PO!$E27)</f>
        <v/>
      </c>
      <c r="D27" s="37" t="str">
        <f aca="false">IF($A27="","",PO!$H27)</f>
        <v/>
      </c>
      <c r="E27" s="37" t="str">
        <f aca="false">IF($A27="","",PO!$I27)</f>
        <v/>
      </c>
      <c r="F27" s="41" t="str">
        <f aca="false">IF($A27="","",IF(PO!$R27="","",PO!$R27))</f>
        <v/>
      </c>
      <c r="G27" s="38" t="str">
        <f aca="false">IF($A27="","",PO!$L27)</f>
        <v/>
      </c>
      <c r="H27" s="38" t="str">
        <f aca="false">IF($A27="","",SUMIFS('Thanh toán'!$H$4:$H$203,'Thanh toán'!$C$4:$C$203,$A27))</f>
        <v/>
      </c>
      <c r="I27" s="38" t="str">
        <f aca="false">IF($A27="","",IFERROR($G27-$H27,""))</f>
        <v/>
      </c>
      <c r="J27" s="41" t="str">
        <f aca="false">IF($A27="","",IF(PO!$AA27="","",PO!$AA27))</f>
        <v/>
      </c>
      <c r="K27" s="38" t="str">
        <f aca="true">IF($A27="","",IF($I27&lt;=0,0,IF($J27="",0,MAX(0,TODAY()-$J27))))</f>
        <v/>
      </c>
      <c r="L27" s="37" t="str">
        <f aca="false">IF($A27="","",IF($I27&lt;=0,"Đã thanh toán",IF($K27=0,"Trong hạn",IF($K27&lt;=30,"1-30",IF($K27&lt;=60,"31-60",IF($K27&lt;=90,"61-90","&gt;90"))))))</f>
        <v/>
      </c>
      <c r="M27" s="37" t="str">
        <f aca="false">IF($A27="","",IF($I27&lt;=0,"Đã thanh toán đủ",IF($K27&gt;0,"QUÁ HẠN","Còn nợ, trong hạn")))</f>
        <v/>
      </c>
    </row>
    <row r="28" customFormat="false" ht="15" hidden="false" customHeight="false" outlineLevel="0" collapsed="false">
      <c r="A28" s="37" t="str">
        <f aca="false">IF(PO!$A28="","",PO!$A28)</f>
        <v/>
      </c>
      <c r="B28" s="37" t="str">
        <f aca="false">IF($A28="","",PO!$D28)</f>
        <v/>
      </c>
      <c r="C28" s="37" t="str">
        <f aca="false">IF($A28="","",PO!$E28)</f>
        <v/>
      </c>
      <c r="D28" s="37" t="str">
        <f aca="false">IF($A28="","",PO!$H28)</f>
        <v/>
      </c>
      <c r="E28" s="37" t="str">
        <f aca="false">IF($A28="","",PO!$I28)</f>
        <v/>
      </c>
      <c r="F28" s="41" t="str">
        <f aca="false">IF($A28="","",IF(PO!$R28="","",PO!$R28))</f>
        <v/>
      </c>
      <c r="G28" s="38" t="str">
        <f aca="false">IF($A28="","",PO!$L28)</f>
        <v/>
      </c>
      <c r="H28" s="38" t="str">
        <f aca="false">IF($A28="","",SUMIFS('Thanh toán'!$H$4:$H$203,'Thanh toán'!$C$4:$C$203,$A28))</f>
        <v/>
      </c>
      <c r="I28" s="38" t="str">
        <f aca="false">IF($A28="","",IFERROR($G28-$H28,""))</f>
        <v/>
      </c>
      <c r="J28" s="41" t="str">
        <f aca="false">IF($A28="","",IF(PO!$AA28="","",PO!$AA28))</f>
        <v/>
      </c>
      <c r="K28" s="38" t="str">
        <f aca="true">IF($A28="","",IF($I28&lt;=0,0,IF($J28="",0,MAX(0,TODAY()-$J28))))</f>
        <v/>
      </c>
      <c r="L28" s="37" t="str">
        <f aca="false">IF($A28="","",IF($I28&lt;=0,"Đã thanh toán",IF($K28=0,"Trong hạn",IF($K28&lt;=30,"1-30",IF($K28&lt;=60,"31-60",IF($K28&lt;=90,"61-90","&gt;90"))))))</f>
        <v/>
      </c>
      <c r="M28" s="37" t="str">
        <f aca="false">IF($A28="","",IF($I28&lt;=0,"Đã thanh toán đủ",IF($K28&gt;0,"QUÁ HẠN","Còn nợ, trong hạn")))</f>
        <v/>
      </c>
    </row>
    <row r="29" customFormat="false" ht="15" hidden="false" customHeight="false" outlineLevel="0" collapsed="false">
      <c r="A29" s="37" t="str">
        <f aca="false">IF(PO!$A29="","",PO!$A29)</f>
        <v/>
      </c>
      <c r="B29" s="37" t="str">
        <f aca="false">IF($A29="","",PO!$D29)</f>
        <v/>
      </c>
      <c r="C29" s="37" t="str">
        <f aca="false">IF($A29="","",PO!$E29)</f>
        <v/>
      </c>
      <c r="D29" s="37" t="str">
        <f aca="false">IF($A29="","",PO!$H29)</f>
        <v/>
      </c>
      <c r="E29" s="37" t="str">
        <f aca="false">IF($A29="","",PO!$I29)</f>
        <v/>
      </c>
      <c r="F29" s="41" t="str">
        <f aca="false">IF($A29="","",IF(PO!$R29="","",PO!$R29))</f>
        <v/>
      </c>
      <c r="G29" s="38" t="str">
        <f aca="false">IF($A29="","",PO!$L29)</f>
        <v/>
      </c>
      <c r="H29" s="38" t="str">
        <f aca="false">IF($A29="","",SUMIFS('Thanh toán'!$H$4:$H$203,'Thanh toán'!$C$4:$C$203,$A29))</f>
        <v/>
      </c>
      <c r="I29" s="38" t="str">
        <f aca="false">IF($A29="","",IFERROR($G29-$H29,""))</f>
        <v/>
      </c>
      <c r="J29" s="41" t="str">
        <f aca="false">IF($A29="","",IF(PO!$AA29="","",PO!$AA29))</f>
        <v/>
      </c>
      <c r="K29" s="38" t="str">
        <f aca="true">IF($A29="","",IF($I29&lt;=0,0,IF($J29="",0,MAX(0,TODAY()-$J29))))</f>
        <v/>
      </c>
      <c r="L29" s="37" t="str">
        <f aca="false">IF($A29="","",IF($I29&lt;=0,"Đã thanh toán",IF($K29=0,"Trong hạn",IF($K29&lt;=30,"1-30",IF($K29&lt;=60,"31-60",IF($K29&lt;=90,"61-90","&gt;90"))))))</f>
        <v/>
      </c>
      <c r="M29" s="37" t="str">
        <f aca="false">IF($A29="","",IF($I29&lt;=0,"Đã thanh toán đủ",IF($K29&gt;0,"QUÁ HẠN","Còn nợ, trong hạn")))</f>
        <v/>
      </c>
    </row>
    <row r="30" customFormat="false" ht="15" hidden="false" customHeight="false" outlineLevel="0" collapsed="false">
      <c r="A30" s="37" t="str">
        <f aca="false">IF(PO!$A30="","",PO!$A30)</f>
        <v/>
      </c>
      <c r="B30" s="37" t="str">
        <f aca="false">IF($A30="","",PO!$D30)</f>
        <v/>
      </c>
      <c r="C30" s="37" t="str">
        <f aca="false">IF($A30="","",PO!$E30)</f>
        <v/>
      </c>
      <c r="D30" s="37" t="str">
        <f aca="false">IF($A30="","",PO!$H30)</f>
        <v/>
      </c>
      <c r="E30" s="37" t="str">
        <f aca="false">IF($A30="","",PO!$I30)</f>
        <v/>
      </c>
      <c r="F30" s="41" t="str">
        <f aca="false">IF($A30="","",IF(PO!$R30="","",PO!$R30))</f>
        <v/>
      </c>
      <c r="G30" s="38" t="str">
        <f aca="false">IF($A30="","",PO!$L30)</f>
        <v/>
      </c>
      <c r="H30" s="38" t="str">
        <f aca="false">IF($A30="","",SUMIFS('Thanh toán'!$H$4:$H$203,'Thanh toán'!$C$4:$C$203,$A30))</f>
        <v/>
      </c>
      <c r="I30" s="38" t="str">
        <f aca="false">IF($A30="","",IFERROR($G30-$H30,""))</f>
        <v/>
      </c>
      <c r="J30" s="41" t="str">
        <f aca="false">IF($A30="","",IF(PO!$AA30="","",PO!$AA30))</f>
        <v/>
      </c>
      <c r="K30" s="38" t="str">
        <f aca="true">IF($A30="","",IF($I30&lt;=0,0,IF($J30="",0,MAX(0,TODAY()-$J30))))</f>
        <v/>
      </c>
      <c r="L30" s="37" t="str">
        <f aca="false">IF($A30="","",IF($I30&lt;=0,"Đã thanh toán",IF($K30=0,"Trong hạn",IF($K30&lt;=30,"1-30",IF($K30&lt;=60,"31-60",IF($K30&lt;=90,"61-90","&gt;90"))))))</f>
        <v/>
      </c>
      <c r="M30" s="37" t="str">
        <f aca="false">IF($A30="","",IF($I30&lt;=0,"Đã thanh toán đủ",IF($K30&gt;0,"QUÁ HẠN","Còn nợ, trong hạn")))</f>
        <v/>
      </c>
    </row>
    <row r="31" customFormat="false" ht="15" hidden="false" customHeight="false" outlineLevel="0" collapsed="false">
      <c r="A31" s="37" t="str">
        <f aca="false">IF(PO!$A31="","",PO!$A31)</f>
        <v/>
      </c>
      <c r="B31" s="37" t="str">
        <f aca="false">IF($A31="","",PO!$D31)</f>
        <v/>
      </c>
      <c r="C31" s="37" t="str">
        <f aca="false">IF($A31="","",PO!$E31)</f>
        <v/>
      </c>
      <c r="D31" s="37" t="str">
        <f aca="false">IF($A31="","",PO!$H31)</f>
        <v/>
      </c>
      <c r="E31" s="37" t="str">
        <f aca="false">IF($A31="","",PO!$I31)</f>
        <v/>
      </c>
      <c r="F31" s="41" t="str">
        <f aca="false">IF($A31="","",IF(PO!$R31="","",PO!$R31))</f>
        <v/>
      </c>
      <c r="G31" s="38" t="str">
        <f aca="false">IF($A31="","",PO!$L31)</f>
        <v/>
      </c>
      <c r="H31" s="38" t="str">
        <f aca="false">IF($A31="","",SUMIFS('Thanh toán'!$H$4:$H$203,'Thanh toán'!$C$4:$C$203,$A31))</f>
        <v/>
      </c>
      <c r="I31" s="38" t="str">
        <f aca="false">IF($A31="","",IFERROR($G31-$H31,""))</f>
        <v/>
      </c>
      <c r="J31" s="41" t="str">
        <f aca="false">IF($A31="","",IF(PO!$AA31="","",PO!$AA31))</f>
        <v/>
      </c>
      <c r="K31" s="38" t="str">
        <f aca="true">IF($A31="","",IF($I31&lt;=0,0,IF($J31="",0,MAX(0,TODAY()-$J31))))</f>
        <v/>
      </c>
      <c r="L31" s="37" t="str">
        <f aca="false">IF($A31="","",IF($I31&lt;=0,"Đã thanh toán",IF($K31=0,"Trong hạn",IF($K31&lt;=30,"1-30",IF($K31&lt;=60,"31-60",IF($K31&lt;=90,"61-90","&gt;90"))))))</f>
        <v/>
      </c>
      <c r="M31" s="37" t="str">
        <f aca="false">IF($A31="","",IF($I31&lt;=0,"Đã thanh toán đủ",IF($K31&gt;0,"QUÁ HẠN","Còn nợ, trong hạn")))</f>
        <v/>
      </c>
    </row>
    <row r="32" customFormat="false" ht="15" hidden="false" customHeight="false" outlineLevel="0" collapsed="false">
      <c r="A32" s="37" t="str">
        <f aca="false">IF(PO!$A32="","",PO!$A32)</f>
        <v/>
      </c>
      <c r="B32" s="37" t="str">
        <f aca="false">IF($A32="","",PO!$D32)</f>
        <v/>
      </c>
      <c r="C32" s="37" t="str">
        <f aca="false">IF($A32="","",PO!$E32)</f>
        <v/>
      </c>
      <c r="D32" s="37" t="str">
        <f aca="false">IF($A32="","",PO!$H32)</f>
        <v/>
      </c>
      <c r="E32" s="37" t="str">
        <f aca="false">IF($A32="","",PO!$I32)</f>
        <v/>
      </c>
      <c r="F32" s="41" t="str">
        <f aca="false">IF($A32="","",IF(PO!$R32="","",PO!$R32))</f>
        <v/>
      </c>
      <c r="G32" s="38" t="str">
        <f aca="false">IF($A32="","",PO!$L32)</f>
        <v/>
      </c>
      <c r="H32" s="38" t="str">
        <f aca="false">IF($A32="","",SUMIFS('Thanh toán'!$H$4:$H$203,'Thanh toán'!$C$4:$C$203,$A32))</f>
        <v/>
      </c>
      <c r="I32" s="38" t="str">
        <f aca="false">IF($A32="","",IFERROR($G32-$H32,""))</f>
        <v/>
      </c>
      <c r="J32" s="41" t="str">
        <f aca="false">IF($A32="","",IF(PO!$AA32="","",PO!$AA32))</f>
        <v/>
      </c>
      <c r="K32" s="38" t="str">
        <f aca="true">IF($A32="","",IF($I32&lt;=0,0,IF($J32="",0,MAX(0,TODAY()-$J32))))</f>
        <v/>
      </c>
      <c r="L32" s="37" t="str">
        <f aca="false">IF($A32="","",IF($I32&lt;=0,"Đã thanh toán",IF($K32=0,"Trong hạn",IF($K32&lt;=30,"1-30",IF($K32&lt;=60,"31-60",IF($K32&lt;=90,"61-90","&gt;90"))))))</f>
        <v/>
      </c>
      <c r="M32" s="37" t="str">
        <f aca="false">IF($A32="","",IF($I32&lt;=0,"Đã thanh toán đủ",IF($K32&gt;0,"QUÁ HẠN","Còn nợ, trong hạn")))</f>
        <v/>
      </c>
    </row>
    <row r="33" customFormat="false" ht="15" hidden="false" customHeight="false" outlineLevel="0" collapsed="false">
      <c r="A33" s="37" t="str">
        <f aca="false">IF(PO!$A33="","",PO!$A33)</f>
        <v/>
      </c>
      <c r="B33" s="37" t="str">
        <f aca="false">IF($A33="","",PO!$D33)</f>
        <v/>
      </c>
      <c r="C33" s="37" t="str">
        <f aca="false">IF($A33="","",PO!$E33)</f>
        <v/>
      </c>
      <c r="D33" s="37" t="str">
        <f aca="false">IF($A33="","",PO!$H33)</f>
        <v/>
      </c>
      <c r="E33" s="37" t="str">
        <f aca="false">IF($A33="","",PO!$I33)</f>
        <v/>
      </c>
      <c r="F33" s="41" t="str">
        <f aca="false">IF($A33="","",IF(PO!$R33="","",PO!$R33))</f>
        <v/>
      </c>
      <c r="G33" s="38" t="str">
        <f aca="false">IF($A33="","",PO!$L33)</f>
        <v/>
      </c>
      <c r="H33" s="38" t="str">
        <f aca="false">IF($A33="","",SUMIFS('Thanh toán'!$H$4:$H$203,'Thanh toán'!$C$4:$C$203,$A33))</f>
        <v/>
      </c>
      <c r="I33" s="38" t="str">
        <f aca="false">IF($A33="","",IFERROR($G33-$H33,""))</f>
        <v/>
      </c>
      <c r="J33" s="41" t="str">
        <f aca="false">IF($A33="","",IF(PO!$AA33="","",PO!$AA33))</f>
        <v/>
      </c>
      <c r="K33" s="38" t="str">
        <f aca="true">IF($A33="","",IF($I33&lt;=0,0,IF($J33="",0,MAX(0,TODAY()-$J33))))</f>
        <v/>
      </c>
      <c r="L33" s="37" t="str">
        <f aca="false">IF($A33="","",IF($I33&lt;=0,"Đã thanh toán",IF($K33=0,"Trong hạn",IF($K33&lt;=30,"1-30",IF($K33&lt;=60,"31-60",IF($K33&lt;=90,"61-90","&gt;90"))))))</f>
        <v/>
      </c>
      <c r="M33" s="37" t="str">
        <f aca="false">IF($A33="","",IF($I33&lt;=0,"Đã thanh toán đủ",IF($K33&gt;0,"QUÁ HẠN","Còn nợ, trong hạn")))</f>
        <v/>
      </c>
    </row>
    <row r="34" customFormat="false" ht="15" hidden="false" customHeight="false" outlineLevel="0" collapsed="false">
      <c r="A34" s="37" t="str">
        <f aca="false">IF(PO!$A34="","",PO!$A34)</f>
        <v/>
      </c>
      <c r="B34" s="37" t="str">
        <f aca="false">IF($A34="","",PO!$D34)</f>
        <v/>
      </c>
      <c r="C34" s="37" t="str">
        <f aca="false">IF($A34="","",PO!$E34)</f>
        <v/>
      </c>
      <c r="D34" s="37" t="str">
        <f aca="false">IF($A34="","",PO!$H34)</f>
        <v/>
      </c>
      <c r="E34" s="37" t="str">
        <f aca="false">IF($A34="","",PO!$I34)</f>
        <v/>
      </c>
      <c r="F34" s="41" t="str">
        <f aca="false">IF($A34="","",IF(PO!$R34="","",PO!$R34))</f>
        <v/>
      </c>
      <c r="G34" s="38" t="str">
        <f aca="false">IF($A34="","",PO!$L34)</f>
        <v/>
      </c>
      <c r="H34" s="38" t="str">
        <f aca="false">IF($A34="","",SUMIFS('Thanh toán'!$H$4:$H$203,'Thanh toán'!$C$4:$C$203,$A34))</f>
        <v/>
      </c>
      <c r="I34" s="38" t="str">
        <f aca="false">IF($A34="","",IFERROR($G34-$H34,""))</f>
        <v/>
      </c>
      <c r="J34" s="41" t="str">
        <f aca="false">IF($A34="","",IF(PO!$AA34="","",PO!$AA34))</f>
        <v/>
      </c>
      <c r="K34" s="38" t="str">
        <f aca="true">IF($A34="","",IF($I34&lt;=0,0,IF($J34="",0,MAX(0,TODAY()-$J34))))</f>
        <v/>
      </c>
      <c r="L34" s="37" t="str">
        <f aca="false">IF($A34="","",IF($I34&lt;=0,"Đã thanh toán",IF($K34=0,"Trong hạn",IF($K34&lt;=30,"1-30",IF($K34&lt;=60,"31-60",IF($K34&lt;=90,"61-90","&gt;90"))))))</f>
        <v/>
      </c>
      <c r="M34" s="37" t="str">
        <f aca="false">IF($A34="","",IF($I34&lt;=0,"Đã thanh toán đủ",IF($K34&gt;0,"QUÁ HẠN","Còn nợ, trong hạn")))</f>
        <v/>
      </c>
    </row>
    <row r="35" customFormat="false" ht="15" hidden="false" customHeight="false" outlineLevel="0" collapsed="false">
      <c r="A35" s="37" t="str">
        <f aca="false">IF(PO!$A35="","",PO!$A35)</f>
        <v/>
      </c>
      <c r="B35" s="37" t="str">
        <f aca="false">IF($A35="","",PO!$D35)</f>
        <v/>
      </c>
      <c r="C35" s="37" t="str">
        <f aca="false">IF($A35="","",PO!$E35)</f>
        <v/>
      </c>
      <c r="D35" s="37" t="str">
        <f aca="false">IF($A35="","",PO!$H35)</f>
        <v/>
      </c>
      <c r="E35" s="37" t="str">
        <f aca="false">IF($A35="","",PO!$I35)</f>
        <v/>
      </c>
      <c r="F35" s="41" t="str">
        <f aca="false">IF($A35="","",IF(PO!$R35="","",PO!$R35))</f>
        <v/>
      </c>
      <c r="G35" s="38" t="str">
        <f aca="false">IF($A35="","",PO!$L35)</f>
        <v/>
      </c>
      <c r="H35" s="38" t="str">
        <f aca="false">IF($A35="","",SUMIFS('Thanh toán'!$H$4:$H$203,'Thanh toán'!$C$4:$C$203,$A35))</f>
        <v/>
      </c>
      <c r="I35" s="38" t="str">
        <f aca="false">IF($A35="","",IFERROR($G35-$H35,""))</f>
        <v/>
      </c>
      <c r="J35" s="41" t="str">
        <f aca="false">IF($A35="","",IF(PO!$AA35="","",PO!$AA35))</f>
        <v/>
      </c>
      <c r="K35" s="38" t="str">
        <f aca="true">IF($A35="","",IF($I35&lt;=0,0,IF($J35="",0,MAX(0,TODAY()-$J35))))</f>
        <v/>
      </c>
      <c r="L35" s="37" t="str">
        <f aca="false">IF($A35="","",IF($I35&lt;=0,"Đã thanh toán",IF($K35=0,"Trong hạn",IF($K35&lt;=30,"1-30",IF($K35&lt;=60,"31-60",IF($K35&lt;=90,"61-90","&gt;90"))))))</f>
        <v/>
      </c>
      <c r="M35" s="37" t="str">
        <f aca="false">IF($A35="","",IF($I35&lt;=0,"Đã thanh toán đủ",IF($K35&gt;0,"QUÁ HẠN","Còn nợ, trong hạn")))</f>
        <v/>
      </c>
    </row>
    <row r="36" customFormat="false" ht="15" hidden="false" customHeight="false" outlineLevel="0" collapsed="false">
      <c r="A36" s="37" t="str">
        <f aca="false">IF(PO!$A36="","",PO!$A36)</f>
        <v/>
      </c>
      <c r="B36" s="37" t="str">
        <f aca="false">IF($A36="","",PO!$D36)</f>
        <v/>
      </c>
      <c r="C36" s="37" t="str">
        <f aca="false">IF($A36="","",PO!$E36)</f>
        <v/>
      </c>
      <c r="D36" s="37" t="str">
        <f aca="false">IF($A36="","",PO!$H36)</f>
        <v/>
      </c>
      <c r="E36" s="37" t="str">
        <f aca="false">IF($A36="","",PO!$I36)</f>
        <v/>
      </c>
      <c r="F36" s="41" t="str">
        <f aca="false">IF($A36="","",IF(PO!$R36="","",PO!$R36))</f>
        <v/>
      </c>
      <c r="G36" s="38" t="str">
        <f aca="false">IF($A36="","",PO!$L36)</f>
        <v/>
      </c>
      <c r="H36" s="38" t="str">
        <f aca="false">IF($A36="","",SUMIFS('Thanh toán'!$H$4:$H$203,'Thanh toán'!$C$4:$C$203,$A36))</f>
        <v/>
      </c>
      <c r="I36" s="38" t="str">
        <f aca="false">IF($A36="","",IFERROR($G36-$H36,""))</f>
        <v/>
      </c>
      <c r="J36" s="41" t="str">
        <f aca="false">IF($A36="","",IF(PO!$AA36="","",PO!$AA36))</f>
        <v/>
      </c>
      <c r="K36" s="38" t="str">
        <f aca="true">IF($A36="","",IF($I36&lt;=0,0,IF($J36="",0,MAX(0,TODAY()-$J36))))</f>
        <v/>
      </c>
      <c r="L36" s="37" t="str">
        <f aca="false">IF($A36="","",IF($I36&lt;=0,"Đã thanh toán",IF($K36=0,"Trong hạn",IF($K36&lt;=30,"1-30",IF($K36&lt;=60,"31-60",IF($K36&lt;=90,"61-90","&gt;90"))))))</f>
        <v/>
      </c>
      <c r="M36" s="37" t="str">
        <f aca="false">IF($A36="","",IF($I36&lt;=0,"Đã thanh toán đủ",IF($K36&gt;0,"QUÁ HẠN","Còn nợ, trong hạn")))</f>
        <v/>
      </c>
    </row>
    <row r="37" customFormat="false" ht="15" hidden="false" customHeight="false" outlineLevel="0" collapsed="false">
      <c r="A37" s="37" t="str">
        <f aca="false">IF(PO!$A37="","",PO!$A37)</f>
        <v/>
      </c>
      <c r="B37" s="37" t="str">
        <f aca="false">IF($A37="","",PO!$D37)</f>
        <v/>
      </c>
      <c r="C37" s="37" t="str">
        <f aca="false">IF($A37="","",PO!$E37)</f>
        <v/>
      </c>
      <c r="D37" s="37" t="str">
        <f aca="false">IF($A37="","",PO!$H37)</f>
        <v/>
      </c>
      <c r="E37" s="37" t="str">
        <f aca="false">IF($A37="","",PO!$I37)</f>
        <v/>
      </c>
      <c r="F37" s="41" t="str">
        <f aca="false">IF($A37="","",IF(PO!$R37="","",PO!$R37))</f>
        <v/>
      </c>
      <c r="G37" s="38" t="str">
        <f aca="false">IF($A37="","",PO!$L37)</f>
        <v/>
      </c>
      <c r="H37" s="38" t="str">
        <f aca="false">IF($A37="","",SUMIFS('Thanh toán'!$H$4:$H$203,'Thanh toán'!$C$4:$C$203,$A37))</f>
        <v/>
      </c>
      <c r="I37" s="38" t="str">
        <f aca="false">IF($A37="","",IFERROR($G37-$H37,""))</f>
        <v/>
      </c>
      <c r="J37" s="41" t="str">
        <f aca="false">IF($A37="","",IF(PO!$AA37="","",PO!$AA37))</f>
        <v/>
      </c>
      <c r="K37" s="38" t="str">
        <f aca="true">IF($A37="","",IF($I37&lt;=0,0,IF($J37="",0,MAX(0,TODAY()-$J37))))</f>
        <v/>
      </c>
      <c r="L37" s="37" t="str">
        <f aca="false">IF($A37="","",IF($I37&lt;=0,"Đã thanh toán",IF($K37=0,"Trong hạn",IF($K37&lt;=30,"1-30",IF($K37&lt;=60,"31-60",IF($K37&lt;=90,"61-90","&gt;90"))))))</f>
        <v/>
      </c>
      <c r="M37" s="37" t="str">
        <f aca="false">IF($A37="","",IF($I37&lt;=0,"Đã thanh toán đủ",IF($K37&gt;0,"QUÁ HẠN","Còn nợ, trong hạn")))</f>
        <v/>
      </c>
    </row>
    <row r="38" customFormat="false" ht="15" hidden="false" customHeight="false" outlineLevel="0" collapsed="false">
      <c r="A38" s="37" t="str">
        <f aca="false">IF(PO!$A38="","",PO!$A38)</f>
        <v/>
      </c>
      <c r="B38" s="37" t="str">
        <f aca="false">IF($A38="","",PO!$D38)</f>
        <v/>
      </c>
      <c r="C38" s="37" t="str">
        <f aca="false">IF($A38="","",PO!$E38)</f>
        <v/>
      </c>
      <c r="D38" s="37" t="str">
        <f aca="false">IF($A38="","",PO!$H38)</f>
        <v/>
      </c>
      <c r="E38" s="37" t="str">
        <f aca="false">IF($A38="","",PO!$I38)</f>
        <v/>
      </c>
      <c r="F38" s="41" t="str">
        <f aca="false">IF($A38="","",IF(PO!$R38="","",PO!$R38))</f>
        <v/>
      </c>
      <c r="G38" s="38" t="str">
        <f aca="false">IF($A38="","",PO!$L38)</f>
        <v/>
      </c>
      <c r="H38" s="38" t="str">
        <f aca="false">IF($A38="","",SUMIFS('Thanh toán'!$H$4:$H$203,'Thanh toán'!$C$4:$C$203,$A38))</f>
        <v/>
      </c>
      <c r="I38" s="38" t="str">
        <f aca="false">IF($A38="","",IFERROR($G38-$H38,""))</f>
        <v/>
      </c>
      <c r="J38" s="41" t="str">
        <f aca="false">IF($A38="","",IF(PO!$AA38="","",PO!$AA38))</f>
        <v/>
      </c>
      <c r="K38" s="38" t="str">
        <f aca="true">IF($A38="","",IF($I38&lt;=0,0,IF($J38="",0,MAX(0,TODAY()-$J38))))</f>
        <v/>
      </c>
      <c r="L38" s="37" t="str">
        <f aca="false">IF($A38="","",IF($I38&lt;=0,"Đã thanh toán",IF($K38=0,"Trong hạn",IF($K38&lt;=30,"1-30",IF($K38&lt;=60,"31-60",IF($K38&lt;=90,"61-90","&gt;90"))))))</f>
        <v/>
      </c>
      <c r="M38" s="37" t="str">
        <f aca="false">IF($A38="","",IF($I38&lt;=0,"Đã thanh toán đủ",IF($K38&gt;0,"QUÁ HẠN","Còn nợ, trong hạn")))</f>
        <v/>
      </c>
    </row>
    <row r="39" customFormat="false" ht="15" hidden="false" customHeight="false" outlineLevel="0" collapsed="false">
      <c r="A39" s="37" t="str">
        <f aca="false">IF(PO!$A39="","",PO!$A39)</f>
        <v/>
      </c>
      <c r="B39" s="37" t="str">
        <f aca="false">IF($A39="","",PO!$D39)</f>
        <v/>
      </c>
      <c r="C39" s="37" t="str">
        <f aca="false">IF($A39="","",PO!$E39)</f>
        <v/>
      </c>
      <c r="D39" s="37" t="str">
        <f aca="false">IF($A39="","",PO!$H39)</f>
        <v/>
      </c>
      <c r="E39" s="37" t="str">
        <f aca="false">IF($A39="","",PO!$I39)</f>
        <v/>
      </c>
      <c r="F39" s="41" t="str">
        <f aca="false">IF($A39="","",IF(PO!$R39="","",PO!$R39))</f>
        <v/>
      </c>
      <c r="G39" s="38" t="str">
        <f aca="false">IF($A39="","",PO!$L39)</f>
        <v/>
      </c>
      <c r="H39" s="38" t="str">
        <f aca="false">IF($A39="","",SUMIFS('Thanh toán'!$H$4:$H$203,'Thanh toán'!$C$4:$C$203,$A39))</f>
        <v/>
      </c>
      <c r="I39" s="38" t="str">
        <f aca="false">IF($A39="","",IFERROR($G39-$H39,""))</f>
        <v/>
      </c>
      <c r="J39" s="41" t="str">
        <f aca="false">IF($A39="","",IF(PO!$AA39="","",PO!$AA39))</f>
        <v/>
      </c>
      <c r="K39" s="38" t="str">
        <f aca="true">IF($A39="","",IF($I39&lt;=0,0,IF($J39="",0,MAX(0,TODAY()-$J39))))</f>
        <v/>
      </c>
      <c r="L39" s="37" t="str">
        <f aca="false">IF($A39="","",IF($I39&lt;=0,"Đã thanh toán",IF($K39=0,"Trong hạn",IF($K39&lt;=30,"1-30",IF($K39&lt;=60,"31-60",IF($K39&lt;=90,"61-90","&gt;90"))))))</f>
        <v/>
      </c>
      <c r="M39" s="37" t="str">
        <f aca="false">IF($A39="","",IF($I39&lt;=0,"Đã thanh toán đủ",IF($K39&gt;0,"QUÁ HẠN","Còn nợ, trong hạn")))</f>
        <v/>
      </c>
    </row>
    <row r="40" customFormat="false" ht="15" hidden="false" customHeight="false" outlineLevel="0" collapsed="false">
      <c r="A40" s="37" t="str">
        <f aca="false">IF(PO!$A40="","",PO!$A40)</f>
        <v/>
      </c>
      <c r="B40" s="37" t="str">
        <f aca="false">IF($A40="","",PO!$D40)</f>
        <v/>
      </c>
      <c r="C40" s="37" t="str">
        <f aca="false">IF($A40="","",PO!$E40)</f>
        <v/>
      </c>
      <c r="D40" s="37" t="str">
        <f aca="false">IF($A40="","",PO!$H40)</f>
        <v/>
      </c>
      <c r="E40" s="37" t="str">
        <f aca="false">IF($A40="","",PO!$I40)</f>
        <v/>
      </c>
      <c r="F40" s="41" t="str">
        <f aca="false">IF($A40="","",IF(PO!$R40="","",PO!$R40))</f>
        <v/>
      </c>
      <c r="G40" s="38" t="str">
        <f aca="false">IF($A40="","",PO!$L40)</f>
        <v/>
      </c>
      <c r="H40" s="38" t="str">
        <f aca="false">IF($A40="","",SUMIFS('Thanh toán'!$H$4:$H$203,'Thanh toán'!$C$4:$C$203,$A40))</f>
        <v/>
      </c>
      <c r="I40" s="38" t="str">
        <f aca="false">IF($A40="","",IFERROR($G40-$H40,""))</f>
        <v/>
      </c>
      <c r="J40" s="41" t="str">
        <f aca="false">IF($A40="","",IF(PO!$AA40="","",PO!$AA40))</f>
        <v/>
      </c>
      <c r="K40" s="38" t="str">
        <f aca="true">IF($A40="","",IF($I40&lt;=0,0,IF($J40="",0,MAX(0,TODAY()-$J40))))</f>
        <v/>
      </c>
      <c r="L40" s="37" t="str">
        <f aca="false">IF($A40="","",IF($I40&lt;=0,"Đã thanh toán",IF($K40=0,"Trong hạn",IF($K40&lt;=30,"1-30",IF($K40&lt;=60,"31-60",IF($K40&lt;=90,"61-90","&gt;90"))))))</f>
        <v/>
      </c>
      <c r="M40" s="37" t="str">
        <f aca="false">IF($A40="","",IF($I40&lt;=0,"Đã thanh toán đủ",IF($K40&gt;0,"QUÁ HẠN","Còn nợ, trong hạn")))</f>
        <v/>
      </c>
    </row>
    <row r="41" customFormat="false" ht="15" hidden="false" customHeight="false" outlineLevel="0" collapsed="false">
      <c r="A41" s="37" t="str">
        <f aca="false">IF(PO!$A41="","",PO!$A41)</f>
        <v/>
      </c>
      <c r="B41" s="37" t="str">
        <f aca="false">IF($A41="","",PO!$D41)</f>
        <v/>
      </c>
      <c r="C41" s="37" t="str">
        <f aca="false">IF($A41="","",PO!$E41)</f>
        <v/>
      </c>
      <c r="D41" s="37" t="str">
        <f aca="false">IF($A41="","",PO!$H41)</f>
        <v/>
      </c>
      <c r="E41" s="37" t="str">
        <f aca="false">IF($A41="","",PO!$I41)</f>
        <v/>
      </c>
      <c r="F41" s="41" t="str">
        <f aca="false">IF($A41="","",IF(PO!$R41="","",PO!$R41))</f>
        <v/>
      </c>
      <c r="G41" s="38" t="str">
        <f aca="false">IF($A41="","",PO!$L41)</f>
        <v/>
      </c>
      <c r="H41" s="38" t="str">
        <f aca="false">IF($A41="","",SUMIFS('Thanh toán'!$H$4:$H$203,'Thanh toán'!$C$4:$C$203,$A41))</f>
        <v/>
      </c>
      <c r="I41" s="38" t="str">
        <f aca="false">IF($A41="","",IFERROR($G41-$H41,""))</f>
        <v/>
      </c>
      <c r="J41" s="41" t="str">
        <f aca="false">IF($A41="","",IF(PO!$AA41="","",PO!$AA41))</f>
        <v/>
      </c>
      <c r="K41" s="38" t="str">
        <f aca="true">IF($A41="","",IF($I41&lt;=0,0,IF($J41="",0,MAX(0,TODAY()-$J41))))</f>
        <v/>
      </c>
      <c r="L41" s="37" t="str">
        <f aca="false">IF($A41="","",IF($I41&lt;=0,"Đã thanh toán",IF($K41=0,"Trong hạn",IF($K41&lt;=30,"1-30",IF($K41&lt;=60,"31-60",IF($K41&lt;=90,"61-90","&gt;90"))))))</f>
        <v/>
      </c>
      <c r="M41" s="37" t="str">
        <f aca="false">IF($A41="","",IF($I41&lt;=0,"Đã thanh toán đủ",IF($K41&gt;0,"QUÁ HẠN","Còn nợ, trong hạn")))</f>
        <v/>
      </c>
    </row>
    <row r="42" customFormat="false" ht="15" hidden="false" customHeight="false" outlineLevel="0" collapsed="false">
      <c r="A42" s="37" t="str">
        <f aca="false">IF(PO!$A42="","",PO!$A42)</f>
        <v/>
      </c>
      <c r="B42" s="37" t="str">
        <f aca="false">IF($A42="","",PO!$D42)</f>
        <v/>
      </c>
      <c r="C42" s="37" t="str">
        <f aca="false">IF($A42="","",PO!$E42)</f>
        <v/>
      </c>
      <c r="D42" s="37" t="str">
        <f aca="false">IF($A42="","",PO!$H42)</f>
        <v/>
      </c>
      <c r="E42" s="37" t="str">
        <f aca="false">IF($A42="","",PO!$I42)</f>
        <v/>
      </c>
      <c r="F42" s="41" t="str">
        <f aca="false">IF($A42="","",IF(PO!$R42="","",PO!$R42))</f>
        <v/>
      </c>
      <c r="G42" s="38" t="str">
        <f aca="false">IF($A42="","",PO!$L42)</f>
        <v/>
      </c>
      <c r="H42" s="38" t="str">
        <f aca="false">IF($A42="","",SUMIFS('Thanh toán'!$H$4:$H$203,'Thanh toán'!$C$4:$C$203,$A42))</f>
        <v/>
      </c>
      <c r="I42" s="38" t="str">
        <f aca="false">IF($A42="","",IFERROR($G42-$H42,""))</f>
        <v/>
      </c>
      <c r="J42" s="41" t="str">
        <f aca="false">IF($A42="","",IF(PO!$AA42="","",PO!$AA42))</f>
        <v/>
      </c>
      <c r="K42" s="38" t="str">
        <f aca="true">IF($A42="","",IF($I42&lt;=0,0,IF($J42="",0,MAX(0,TODAY()-$J42))))</f>
        <v/>
      </c>
      <c r="L42" s="37" t="str">
        <f aca="false">IF($A42="","",IF($I42&lt;=0,"Đã thanh toán",IF($K42=0,"Trong hạn",IF($K42&lt;=30,"1-30",IF($K42&lt;=60,"31-60",IF($K42&lt;=90,"61-90","&gt;90"))))))</f>
        <v/>
      </c>
      <c r="M42" s="37" t="str">
        <f aca="false">IF($A42="","",IF($I42&lt;=0,"Đã thanh toán đủ",IF($K42&gt;0,"QUÁ HẠN","Còn nợ, trong hạn")))</f>
        <v/>
      </c>
    </row>
    <row r="43" customFormat="false" ht="15" hidden="false" customHeight="false" outlineLevel="0" collapsed="false">
      <c r="A43" s="37" t="str">
        <f aca="false">IF(PO!$A43="","",PO!$A43)</f>
        <v/>
      </c>
      <c r="B43" s="37" t="str">
        <f aca="false">IF($A43="","",PO!$D43)</f>
        <v/>
      </c>
      <c r="C43" s="37" t="str">
        <f aca="false">IF($A43="","",PO!$E43)</f>
        <v/>
      </c>
      <c r="D43" s="37" t="str">
        <f aca="false">IF($A43="","",PO!$H43)</f>
        <v/>
      </c>
      <c r="E43" s="37" t="str">
        <f aca="false">IF($A43="","",PO!$I43)</f>
        <v/>
      </c>
      <c r="F43" s="41" t="str">
        <f aca="false">IF($A43="","",IF(PO!$R43="","",PO!$R43))</f>
        <v/>
      </c>
      <c r="G43" s="38" t="str">
        <f aca="false">IF($A43="","",PO!$L43)</f>
        <v/>
      </c>
      <c r="H43" s="38" t="str">
        <f aca="false">IF($A43="","",SUMIFS('Thanh toán'!$H$4:$H$203,'Thanh toán'!$C$4:$C$203,$A43))</f>
        <v/>
      </c>
      <c r="I43" s="38" t="str">
        <f aca="false">IF($A43="","",IFERROR($G43-$H43,""))</f>
        <v/>
      </c>
      <c r="J43" s="41" t="str">
        <f aca="false">IF($A43="","",IF(PO!$AA43="","",PO!$AA43))</f>
        <v/>
      </c>
      <c r="K43" s="38" t="str">
        <f aca="true">IF($A43="","",IF($I43&lt;=0,0,IF($J43="",0,MAX(0,TODAY()-$J43))))</f>
        <v/>
      </c>
      <c r="L43" s="37" t="str">
        <f aca="false">IF($A43="","",IF($I43&lt;=0,"Đã thanh toán",IF($K43=0,"Trong hạn",IF($K43&lt;=30,"1-30",IF($K43&lt;=60,"31-60",IF($K43&lt;=90,"61-90","&gt;90"))))))</f>
        <v/>
      </c>
      <c r="M43" s="37" t="str">
        <f aca="false">IF($A43="","",IF($I43&lt;=0,"Đã thanh toán đủ",IF($K43&gt;0,"QUÁ HẠN","Còn nợ, trong hạn")))</f>
        <v/>
      </c>
    </row>
    <row r="44" customFormat="false" ht="15" hidden="false" customHeight="false" outlineLevel="0" collapsed="false">
      <c r="A44" s="37" t="str">
        <f aca="false">IF(PO!$A44="","",PO!$A44)</f>
        <v/>
      </c>
      <c r="B44" s="37" t="str">
        <f aca="false">IF($A44="","",PO!$D44)</f>
        <v/>
      </c>
      <c r="C44" s="37" t="str">
        <f aca="false">IF($A44="","",PO!$E44)</f>
        <v/>
      </c>
      <c r="D44" s="37" t="str">
        <f aca="false">IF($A44="","",PO!$H44)</f>
        <v/>
      </c>
      <c r="E44" s="37" t="str">
        <f aca="false">IF($A44="","",PO!$I44)</f>
        <v/>
      </c>
      <c r="F44" s="41" t="str">
        <f aca="false">IF($A44="","",IF(PO!$R44="","",PO!$R44))</f>
        <v/>
      </c>
      <c r="G44" s="38" t="str">
        <f aca="false">IF($A44="","",PO!$L44)</f>
        <v/>
      </c>
      <c r="H44" s="38" t="str">
        <f aca="false">IF($A44="","",SUMIFS('Thanh toán'!$H$4:$H$203,'Thanh toán'!$C$4:$C$203,$A44))</f>
        <v/>
      </c>
      <c r="I44" s="38" t="str">
        <f aca="false">IF($A44="","",IFERROR($G44-$H44,""))</f>
        <v/>
      </c>
      <c r="J44" s="41" t="str">
        <f aca="false">IF($A44="","",IF(PO!$AA44="","",PO!$AA44))</f>
        <v/>
      </c>
      <c r="K44" s="38" t="str">
        <f aca="true">IF($A44="","",IF($I44&lt;=0,0,IF($J44="",0,MAX(0,TODAY()-$J44))))</f>
        <v/>
      </c>
      <c r="L44" s="37" t="str">
        <f aca="false">IF($A44="","",IF($I44&lt;=0,"Đã thanh toán",IF($K44=0,"Trong hạn",IF($K44&lt;=30,"1-30",IF($K44&lt;=60,"31-60",IF($K44&lt;=90,"61-90","&gt;90"))))))</f>
        <v/>
      </c>
      <c r="M44" s="37" t="str">
        <f aca="false">IF($A44="","",IF($I44&lt;=0,"Đã thanh toán đủ",IF($K44&gt;0,"QUÁ HẠN","Còn nợ, trong hạn")))</f>
        <v/>
      </c>
    </row>
    <row r="45" customFormat="false" ht="15" hidden="false" customHeight="false" outlineLevel="0" collapsed="false">
      <c r="A45" s="37" t="str">
        <f aca="false">IF(PO!$A45="","",PO!$A45)</f>
        <v/>
      </c>
      <c r="B45" s="37" t="str">
        <f aca="false">IF($A45="","",PO!$D45)</f>
        <v/>
      </c>
      <c r="C45" s="37" t="str">
        <f aca="false">IF($A45="","",PO!$E45)</f>
        <v/>
      </c>
      <c r="D45" s="37" t="str">
        <f aca="false">IF($A45="","",PO!$H45)</f>
        <v/>
      </c>
      <c r="E45" s="37" t="str">
        <f aca="false">IF($A45="","",PO!$I45)</f>
        <v/>
      </c>
      <c r="F45" s="41" t="str">
        <f aca="false">IF($A45="","",IF(PO!$R45="","",PO!$R45))</f>
        <v/>
      </c>
      <c r="G45" s="38" t="str">
        <f aca="false">IF($A45="","",PO!$L45)</f>
        <v/>
      </c>
      <c r="H45" s="38" t="str">
        <f aca="false">IF($A45="","",SUMIFS('Thanh toán'!$H$4:$H$203,'Thanh toán'!$C$4:$C$203,$A45))</f>
        <v/>
      </c>
      <c r="I45" s="38" t="str">
        <f aca="false">IF($A45="","",IFERROR($G45-$H45,""))</f>
        <v/>
      </c>
      <c r="J45" s="41" t="str">
        <f aca="false">IF($A45="","",IF(PO!$AA45="","",PO!$AA45))</f>
        <v/>
      </c>
      <c r="K45" s="38" t="str">
        <f aca="true">IF($A45="","",IF($I45&lt;=0,0,IF($J45="",0,MAX(0,TODAY()-$J45))))</f>
        <v/>
      </c>
      <c r="L45" s="37" t="str">
        <f aca="false">IF($A45="","",IF($I45&lt;=0,"Đã thanh toán",IF($K45=0,"Trong hạn",IF($K45&lt;=30,"1-30",IF($K45&lt;=60,"31-60",IF($K45&lt;=90,"61-90","&gt;90"))))))</f>
        <v/>
      </c>
      <c r="M45" s="37" t="str">
        <f aca="false">IF($A45="","",IF($I45&lt;=0,"Đã thanh toán đủ",IF($K45&gt;0,"QUÁ HẠN","Còn nợ, trong hạn")))</f>
        <v/>
      </c>
    </row>
    <row r="46" customFormat="false" ht="15" hidden="false" customHeight="false" outlineLevel="0" collapsed="false">
      <c r="A46" s="37" t="str">
        <f aca="false">IF(PO!$A46="","",PO!$A46)</f>
        <v/>
      </c>
      <c r="B46" s="37" t="str">
        <f aca="false">IF($A46="","",PO!$D46)</f>
        <v/>
      </c>
      <c r="C46" s="37" t="str">
        <f aca="false">IF($A46="","",PO!$E46)</f>
        <v/>
      </c>
      <c r="D46" s="37" t="str">
        <f aca="false">IF($A46="","",PO!$H46)</f>
        <v/>
      </c>
      <c r="E46" s="37" t="str">
        <f aca="false">IF($A46="","",PO!$I46)</f>
        <v/>
      </c>
      <c r="F46" s="41" t="str">
        <f aca="false">IF($A46="","",IF(PO!$R46="","",PO!$R46))</f>
        <v/>
      </c>
      <c r="G46" s="38" t="str">
        <f aca="false">IF($A46="","",PO!$L46)</f>
        <v/>
      </c>
      <c r="H46" s="38" t="str">
        <f aca="false">IF($A46="","",SUMIFS('Thanh toán'!$H$4:$H$203,'Thanh toán'!$C$4:$C$203,$A46))</f>
        <v/>
      </c>
      <c r="I46" s="38" t="str">
        <f aca="false">IF($A46="","",IFERROR($G46-$H46,""))</f>
        <v/>
      </c>
      <c r="J46" s="41" t="str">
        <f aca="false">IF($A46="","",IF(PO!$AA46="","",PO!$AA46))</f>
        <v/>
      </c>
      <c r="K46" s="38" t="str">
        <f aca="true">IF($A46="","",IF($I46&lt;=0,0,IF($J46="",0,MAX(0,TODAY()-$J46))))</f>
        <v/>
      </c>
      <c r="L46" s="37" t="str">
        <f aca="false">IF($A46="","",IF($I46&lt;=0,"Đã thanh toán",IF($K46=0,"Trong hạn",IF($K46&lt;=30,"1-30",IF($K46&lt;=60,"31-60",IF($K46&lt;=90,"61-90","&gt;90"))))))</f>
        <v/>
      </c>
      <c r="M46" s="37" t="str">
        <f aca="false">IF($A46="","",IF($I46&lt;=0,"Đã thanh toán đủ",IF($K46&gt;0,"QUÁ HẠN","Còn nợ, trong hạn")))</f>
        <v/>
      </c>
    </row>
    <row r="47" customFormat="false" ht="15" hidden="false" customHeight="false" outlineLevel="0" collapsed="false">
      <c r="A47" s="37" t="str">
        <f aca="false">IF(PO!$A47="","",PO!$A47)</f>
        <v/>
      </c>
      <c r="B47" s="37" t="str">
        <f aca="false">IF($A47="","",PO!$D47)</f>
        <v/>
      </c>
      <c r="C47" s="37" t="str">
        <f aca="false">IF($A47="","",PO!$E47)</f>
        <v/>
      </c>
      <c r="D47" s="37" t="str">
        <f aca="false">IF($A47="","",PO!$H47)</f>
        <v/>
      </c>
      <c r="E47" s="37" t="str">
        <f aca="false">IF($A47="","",PO!$I47)</f>
        <v/>
      </c>
      <c r="F47" s="41" t="str">
        <f aca="false">IF($A47="","",IF(PO!$R47="","",PO!$R47))</f>
        <v/>
      </c>
      <c r="G47" s="38" t="str">
        <f aca="false">IF($A47="","",PO!$L47)</f>
        <v/>
      </c>
      <c r="H47" s="38" t="str">
        <f aca="false">IF($A47="","",SUMIFS('Thanh toán'!$H$4:$H$203,'Thanh toán'!$C$4:$C$203,$A47))</f>
        <v/>
      </c>
      <c r="I47" s="38" t="str">
        <f aca="false">IF($A47="","",IFERROR($G47-$H47,""))</f>
        <v/>
      </c>
      <c r="J47" s="41" t="str">
        <f aca="false">IF($A47="","",IF(PO!$AA47="","",PO!$AA47))</f>
        <v/>
      </c>
      <c r="K47" s="38" t="str">
        <f aca="true">IF($A47="","",IF($I47&lt;=0,0,IF($J47="",0,MAX(0,TODAY()-$J47))))</f>
        <v/>
      </c>
      <c r="L47" s="37" t="str">
        <f aca="false">IF($A47="","",IF($I47&lt;=0,"Đã thanh toán",IF($K47=0,"Trong hạn",IF($K47&lt;=30,"1-30",IF($K47&lt;=60,"31-60",IF($K47&lt;=90,"61-90","&gt;90"))))))</f>
        <v/>
      </c>
      <c r="M47" s="37" t="str">
        <f aca="false">IF($A47="","",IF($I47&lt;=0,"Đã thanh toán đủ",IF($K47&gt;0,"QUÁ HẠN","Còn nợ, trong hạn")))</f>
        <v/>
      </c>
    </row>
    <row r="48" customFormat="false" ht="15" hidden="false" customHeight="false" outlineLevel="0" collapsed="false">
      <c r="A48" s="37" t="str">
        <f aca="false">IF(PO!$A48="","",PO!$A48)</f>
        <v/>
      </c>
      <c r="B48" s="37" t="str">
        <f aca="false">IF($A48="","",PO!$D48)</f>
        <v/>
      </c>
      <c r="C48" s="37" t="str">
        <f aca="false">IF($A48="","",PO!$E48)</f>
        <v/>
      </c>
      <c r="D48" s="37" t="str">
        <f aca="false">IF($A48="","",PO!$H48)</f>
        <v/>
      </c>
      <c r="E48" s="37" t="str">
        <f aca="false">IF($A48="","",PO!$I48)</f>
        <v/>
      </c>
      <c r="F48" s="41" t="str">
        <f aca="false">IF($A48="","",IF(PO!$R48="","",PO!$R48))</f>
        <v/>
      </c>
      <c r="G48" s="38" t="str">
        <f aca="false">IF($A48="","",PO!$L48)</f>
        <v/>
      </c>
      <c r="H48" s="38" t="str">
        <f aca="false">IF($A48="","",SUMIFS('Thanh toán'!$H$4:$H$203,'Thanh toán'!$C$4:$C$203,$A48))</f>
        <v/>
      </c>
      <c r="I48" s="38" t="str">
        <f aca="false">IF($A48="","",IFERROR($G48-$H48,""))</f>
        <v/>
      </c>
      <c r="J48" s="41" t="str">
        <f aca="false">IF($A48="","",IF(PO!$AA48="","",PO!$AA48))</f>
        <v/>
      </c>
      <c r="K48" s="38" t="str">
        <f aca="true">IF($A48="","",IF($I48&lt;=0,0,IF($J48="",0,MAX(0,TODAY()-$J48))))</f>
        <v/>
      </c>
      <c r="L48" s="37" t="str">
        <f aca="false">IF($A48="","",IF($I48&lt;=0,"Đã thanh toán",IF($K48=0,"Trong hạn",IF($K48&lt;=30,"1-30",IF($K48&lt;=60,"31-60",IF($K48&lt;=90,"61-90","&gt;90"))))))</f>
        <v/>
      </c>
      <c r="M48" s="37" t="str">
        <f aca="false">IF($A48="","",IF($I48&lt;=0,"Đã thanh toán đủ",IF($K48&gt;0,"QUÁ HẠN","Còn nợ, trong hạn")))</f>
        <v/>
      </c>
    </row>
    <row r="49" customFormat="false" ht="15" hidden="false" customHeight="false" outlineLevel="0" collapsed="false">
      <c r="A49" s="37" t="str">
        <f aca="false">IF(PO!$A49="","",PO!$A49)</f>
        <v/>
      </c>
      <c r="B49" s="37" t="str">
        <f aca="false">IF($A49="","",PO!$D49)</f>
        <v/>
      </c>
      <c r="C49" s="37" t="str">
        <f aca="false">IF($A49="","",PO!$E49)</f>
        <v/>
      </c>
      <c r="D49" s="37" t="str">
        <f aca="false">IF($A49="","",PO!$H49)</f>
        <v/>
      </c>
      <c r="E49" s="37" t="str">
        <f aca="false">IF($A49="","",PO!$I49)</f>
        <v/>
      </c>
      <c r="F49" s="41" t="str">
        <f aca="false">IF($A49="","",IF(PO!$R49="","",PO!$R49))</f>
        <v/>
      </c>
      <c r="G49" s="38" t="str">
        <f aca="false">IF($A49="","",PO!$L49)</f>
        <v/>
      </c>
      <c r="H49" s="38" t="str">
        <f aca="false">IF($A49="","",SUMIFS('Thanh toán'!$H$4:$H$203,'Thanh toán'!$C$4:$C$203,$A49))</f>
        <v/>
      </c>
      <c r="I49" s="38" t="str">
        <f aca="false">IF($A49="","",IFERROR($G49-$H49,""))</f>
        <v/>
      </c>
      <c r="J49" s="41" t="str">
        <f aca="false">IF($A49="","",IF(PO!$AA49="","",PO!$AA49))</f>
        <v/>
      </c>
      <c r="K49" s="38" t="str">
        <f aca="true">IF($A49="","",IF($I49&lt;=0,0,IF($J49="",0,MAX(0,TODAY()-$J49))))</f>
        <v/>
      </c>
      <c r="L49" s="37" t="str">
        <f aca="false">IF($A49="","",IF($I49&lt;=0,"Đã thanh toán",IF($K49=0,"Trong hạn",IF($K49&lt;=30,"1-30",IF($K49&lt;=60,"31-60",IF($K49&lt;=90,"61-90","&gt;90"))))))</f>
        <v/>
      </c>
      <c r="M49" s="37" t="str">
        <f aca="false">IF($A49="","",IF($I49&lt;=0,"Đã thanh toán đủ",IF($K49&gt;0,"QUÁ HẠN","Còn nợ, trong hạn")))</f>
        <v/>
      </c>
    </row>
    <row r="50" customFormat="false" ht="15" hidden="false" customHeight="false" outlineLevel="0" collapsed="false">
      <c r="A50" s="37" t="str">
        <f aca="false">IF(PO!$A50="","",PO!$A50)</f>
        <v/>
      </c>
      <c r="B50" s="37" t="str">
        <f aca="false">IF($A50="","",PO!$D50)</f>
        <v/>
      </c>
      <c r="C50" s="37" t="str">
        <f aca="false">IF($A50="","",PO!$E50)</f>
        <v/>
      </c>
      <c r="D50" s="37" t="str">
        <f aca="false">IF($A50="","",PO!$H50)</f>
        <v/>
      </c>
      <c r="E50" s="37" t="str">
        <f aca="false">IF($A50="","",PO!$I50)</f>
        <v/>
      </c>
      <c r="F50" s="41" t="str">
        <f aca="false">IF($A50="","",IF(PO!$R50="","",PO!$R50))</f>
        <v/>
      </c>
      <c r="G50" s="38" t="str">
        <f aca="false">IF($A50="","",PO!$L50)</f>
        <v/>
      </c>
      <c r="H50" s="38" t="str">
        <f aca="false">IF($A50="","",SUMIFS('Thanh toán'!$H$4:$H$203,'Thanh toán'!$C$4:$C$203,$A50))</f>
        <v/>
      </c>
      <c r="I50" s="38" t="str">
        <f aca="false">IF($A50="","",IFERROR($G50-$H50,""))</f>
        <v/>
      </c>
      <c r="J50" s="41" t="str">
        <f aca="false">IF($A50="","",IF(PO!$AA50="","",PO!$AA50))</f>
        <v/>
      </c>
      <c r="K50" s="38" t="str">
        <f aca="true">IF($A50="","",IF($I50&lt;=0,0,IF($J50="",0,MAX(0,TODAY()-$J50))))</f>
        <v/>
      </c>
      <c r="L50" s="37" t="str">
        <f aca="false">IF($A50="","",IF($I50&lt;=0,"Đã thanh toán",IF($K50=0,"Trong hạn",IF($K50&lt;=30,"1-30",IF($K50&lt;=60,"31-60",IF($K50&lt;=90,"61-90","&gt;90"))))))</f>
        <v/>
      </c>
      <c r="M50" s="37" t="str">
        <f aca="false">IF($A50="","",IF($I50&lt;=0,"Đã thanh toán đủ",IF($K50&gt;0,"QUÁ HẠN","Còn nợ, trong hạn")))</f>
        <v/>
      </c>
    </row>
    <row r="51" customFormat="false" ht="15" hidden="false" customHeight="false" outlineLevel="0" collapsed="false">
      <c r="A51" s="37" t="str">
        <f aca="false">IF(PO!$A51="","",PO!$A51)</f>
        <v/>
      </c>
      <c r="B51" s="37" t="str">
        <f aca="false">IF($A51="","",PO!$D51)</f>
        <v/>
      </c>
      <c r="C51" s="37" t="str">
        <f aca="false">IF($A51="","",PO!$E51)</f>
        <v/>
      </c>
      <c r="D51" s="37" t="str">
        <f aca="false">IF($A51="","",PO!$H51)</f>
        <v/>
      </c>
      <c r="E51" s="37" t="str">
        <f aca="false">IF($A51="","",PO!$I51)</f>
        <v/>
      </c>
      <c r="F51" s="41" t="str">
        <f aca="false">IF($A51="","",IF(PO!$R51="","",PO!$R51))</f>
        <v/>
      </c>
      <c r="G51" s="38" t="str">
        <f aca="false">IF($A51="","",PO!$L51)</f>
        <v/>
      </c>
      <c r="H51" s="38" t="str">
        <f aca="false">IF($A51="","",SUMIFS('Thanh toán'!$H$4:$H$203,'Thanh toán'!$C$4:$C$203,$A51))</f>
        <v/>
      </c>
      <c r="I51" s="38" t="str">
        <f aca="false">IF($A51="","",IFERROR($G51-$H51,""))</f>
        <v/>
      </c>
      <c r="J51" s="41" t="str">
        <f aca="false">IF($A51="","",IF(PO!$AA51="","",PO!$AA51))</f>
        <v/>
      </c>
      <c r="K51" s="38" t="str">
        <f aca="true">IF($A51="","",IF($I51&lt;=0,0,IF($J51="",0,MAX(0,TODAY()-$J51))))</f>
        <v/>
      </c>
      <c r="L51" s="37" t="str">
        <f aca="false">IF($A51="","",IF($I51&lt;=0,"Đã thanh toán",IF($K51=0,"Trong hạn",IF($K51&lt;=30,"1-30",IF($K51&lt;=60,"31-60",IF($K51&lt;=90,"61-90","&gt;90"))))))</f>
        <v/>
      </c>
      <c r="M51" s="37" t="str">
        <f aca="false">IF($A51="","",IF($I51&lt;=0,"Đã thanh toán đủ",IF($K51&gt;0,"QUÁ HẠN","Còn nợ, trong hạn")))</f>
        <v/>
      </c>
    </row>
    <row r="52" customFormat="false" ht="15" hidden="false" customHeight="false" outlineLevel="0" collapsed="false">
      <c r="A52" s="37" t="str">
        <f aca="false">IF(PO!$A52="","",PO!$A52)</f>
        <v/>
      </c>
      <c r="B52" s="37" t="str">
        <f aca="false">IF($A52="","",PO!$D52)</f>
        <v/>
      </c>
      <c r="C52" s="37" t="str">
        <f aca="false">IF($A52="","",PO!$E52)</f>
        <v/>
      </c>
      <c r="D52" s="37" t="str">
        <f aca="false">IF($A52="","",PO!$H52)</f>
        <v/>
      </c>
      <c r="E52" s="37" t="str">
        <f aca="false">IF($A52="","",PO!$I52)</f>
        <v/>
      </c>
      <c r="F52" s="41" t="str">
        <f aca="false">IF($A52="","",IF(PO!$R52="","",PO!$R52))</f>
        <v/>
      </c>
      <c r="G52" s="38" t="str">
        <f aca="false">IF($A52="","",PO!$L52)</f>
        <v/>
      </c>
      <c r="H52" s="38" t="str">
        <f aca="false">IF($A52="","",SUMIFS('Thanh toán'!$H$4:$H$203,'Thanh toán'!$C$4:$C$203,$A52))</f>
        <v/>
      </c>
      <c r="I52" s="38" t="str">
        <f aca="false">IF($A52="","",IFERROR($G52-$H52,""))</f>
        <v/>
      </c>
      <c r="J52" s="41" t="str">
        <f aca="false">IF($A52="","",IF(PO!$AA52="","",PO!$AA52))</f>
        <v/>
      </c>
      <c r="K52" s="38" t="str">
        <f aca="true">IF($A52="","",IF($I52&lt;=0,0,IF($J52="",0,MAX(0,TODAY()-$J52))))</f>
        <v/>
      </c>
      <c r="L52" s="37" t="str">
        <f aca="false">IF($A52="","",IF($I52&lt;=0,"Đã thanh toán",IF($K52=0,"Trong hạn",IF($K52&lt;=30,"1-30",IF($K52&lt;=60,"31-60",IF($K52&lt;=90,"61-90","&gt;90"))))))</f>
        <v/>
      </c>
      <c r="M52" s="37" t="str">
        <f aca="false">IF($A52="","",IF($I52&lt;=0,"Đã thanh toán đủ",IF($K52&gt;0,"QUÁ HẠN","Còn nợ, trong hạn")))</f>
        <v/>
      </c>
    </row>
    <row r="53" customFormat="false" ht="15" hidden="false" customHeight="false" outlineLevel="0" collapsed="false">
      <c r="A53" s="37" t="str">
        <f aca="false">IF(PO!$A53="","",PO!$A53)</f>
        <v/>
      </c>
      <c r="B53" s="37" t="str">
        <f aca="false">IF($A53="","",PO!$D53)</f>
        <v/>
      </c>
      <c r="C53" s="37" t="str">
        <f aca="false">IF($A53="","",PO!$E53)</f>
        <v/>
      </c>
      <c r="D53" s="37" t="str">
        <f aca="false">IF($A53="","",PO!$H53)</f>
        <v/>
      </c>
      <c r="E53" s="37" t="str">
        <f aca="false">IF($A53="","",PO!$I53)</f>
        <v/>
      </c>
      <c r="F53" s="41" t="str">
        <f aca="false">IF($A53="","",IF(PO!$R53="","",PO!$R53))</f>
        <v/>
      </c>
      <c r="G53" s="38" t="str">
        <f aca="false">IF($A53="","",PO!$L53)</f>
        <v/>
      </c>
      <c r="H53" s="38" t="str">
        <f aca="false">IF($A53="","",SUMIFS('Thanh toán'!$H$4:$H$203,'Thanh toán'!$C$4:$C$203,$A53))</f>
        <v/>
      </c>
      <c r="I53" s="38" t="str">
        <f aca="false">IF($A53="","",IFERROR($G53-$H53,""))</f>
        <v/>
      </c>
      <c r="J53" s="41" t="str">
        <f aca="false">IF($A53="","",IF(PO!$AA53="","",PO!$AA53))</f>
        <v/>
      </c>
      <c r="K53" s="38" t="str">
        <f aca="true">IF($A53="","",IF($I53&lt;=0,0,IF($J53="",0,MAX(0,TODAY()-$J53))))</f>
        <v/>
      </c>
      <c r="L53" s="37" t="str">
        <f aca="false">IF($A53="","",IF($I53&lt;=0,"Đã thanh toán",IF($K53=0,"Trong hạn",IF($K53&lt;=30,"1-30",IF($K53&lt;=60,"31-60",IF($K53&lt;=90,"61-90","&gt;90"))))))</f>
        <v/>
      </c>
      <c r="M53" s="37" t="str">
        <f aca="false">IF($A53="","",IF($I53&lt;=0,"Đã thanh toán đủ",IF($K53&gt;0,"QUÁ HẠN","Còn nợ, trong hạn")))</f>
        <v/>
      </c>
    </row>
    <row r="54" customFormat="false" ht="15" hidden="false" customHeight="false" outlineLevel="0" collapsed="false">
      <c r="A54" s="37" t="str">
        <f aca="false">IF(PO!$A54="","",PO!$A54)</f>
        <v/>
      </c>
      <c r="B54" s="37" t="str">
        <f aca="false">IF($A54="","",PO!$D54)</f>
        <v/>
      </c>
      <c r="C54" s="37" t="str">
        <f aca="false">IF($A54="","",PO!$E54)</f>
        <v/>
      </c>
      <c r="D54" s="37" t="str">
        <f aca="false">IF($A54="","",PO!$H54)</f>
        <v/>
      </c>
      <c r="E54" s="37" t="str">
        <f aca="false">IF($A54="","",PO!$I54)</f>
        <v/>
      </c>
      <c r="F54" s="41" t="str">
        <f aca="false">IF($A54="","",IF(PO!$R54="","",PO!$R54))</f>
        <v/>
      </c>
      <c r="G54" s="38" t="str">
        <f aca="false">IF($A54="","",PO!$L54)</f>
        <v/>
      </c>
      <c r="H54" s="38" t="str">
        <f aca="false">IF($A54="","",SUMIFS('Thanh toán'!$H$4:$H$203,'Thanh toán'!$C$4:$C$203,$A54))</f>
        <v/>
      </c>
      <c r="I54" s="38" t="str">
        <f aca="false">IF($A54="","",IFERROR($G54-$H54,""))</f>
        <v/>
      </c>
      <c r="J54" s="41" t="str">
        <f aca="false">IF($A54="","",IF(PO!$AA54="","",PO!$AA54))</f>
        <v/>
      </c>
      <c r="K54" s="38" t="str">
        <f aca="true">IF($A54="","",IF($I54&lt;=0,0,IF($J54="",0,MAX(0,TODAY()-$J54))))</f>
        <v/>
      </c>
      <c r="L54" s="37" t="str">
        <f aca="false">IF($A54="","",IF($I54&lt;=0,"Đã thanh toán",IF($K54=0,"Trong hạn",IF($K54&lt;=30,"1-30",IF($K54&lt;=60,"31-60",IF($K54&lt;=90,"61-90","&gt;90"))))))</f>
        <v/>
      </c>
      <c r="M54" s="37" t="str">
        <f aca="false">IF($A54="","",IF($I54&lt;=0,"Đã thanh toán đủ",IF($K54&gt;0,"QUÁ HẠN","Còn nợ, trong hạn")))</f>
        <v/>
      </c>
    </row>
    <row r="55" customFormat="false" ht="15" hidden="false" customHeight="false" outlineLevel="0" collapsed="false">
      <c r="A55" s="37" t="str">
        <f aca="false">IF(PO!$A55="","",PO!$A55)</f>
        <v/>
      </c>
      <c r="B55" s="37" t="str">
        <f aca="false">IF($A55="","",PO!$D55)</f>
        <v/>
      </c>
      <c r="C55" s="37" t="str">
        <f aca="false">IF($A55="","",PO!$E55)</f>
        <v/>
      </c>
      <c r="D55" s="37" t="str">
        <f aca="false">IF($A55="","",PO!$H55)</f>
        <v/>
      </c>
      <c r="E55" s="37" t="str">
        <f aca="false">IF($A55="","",PO!$I55)</f>
        <v/>
      </c>
      <c r="F55" s="41" t="str">
        <f aca="false">IF($A55="","",IF(PO!$R55="","",PO!$R55))</f>
        <v/>
      </c>
      <c r="G55" s="38" t="str">
        <f aca="false">IF($A55="","",PO!$L55)</f>
        <v/>
      </c>
      <c r="H55" s="38" t="str">
        <f aca="false">IF($A55="","",SUMIFS('Thanh toán'!$H$4:$H$203,'Thanh toán'!$C$4:$C$203,$A55))</f>
        <v/>
      </c>
      <c r="I55" s="38" t="str">
        <f aca="false">IF($A55="","",IFERROR($G55-$H55,""))</f>
        <v/>
      </c>
      <c r="J55" s="41" t="str">
        <f aca="false">IF($A55="","",IF(PO!$AA55="","",PO!$AA55))</f>
        <v/>
      </c>
      <c r="K55" s="38" t="str">
        <f aca="true">IF($A55="","",IF($I55&lt;=0,0,IF($J55="",0,MAX(0,TODAY()-$J55))))</f>
        <v/>
      </c>
      <c r="L55" s="37" t="str">
        <f aca="false">IF($A55="","",IF($I55&lt;=0,"Đã thanh toán",IF($K55=0,"Trong hạn",IF($K55&lt;=30,"1-30",IF($K55&lt;=60,"31-60",IF($K55&lt;=90,"61-90","&gt;90"))))))</f>
        <v/>
      </c>
      <c r="M55" s="37" t="str">
        <f aca="false">IF($A55="","",IF($I55&lt;=0,"Đã thanh toán đủ",IF($K55&gt;0,"QUÁ HẠN","Còn nợ, trong hạn")))</f>
        <v/>
      </c>
    </row>
    <row r="56" customFormat="false" ht="15" hidden="false" customHeight="false" outlineLevel="0" collapsed="false">
      <c r="A56" s="37" t="str">
        <f aca="false">IF(PO!$A56="","",PO!$A56)</f>
        <v/>
      </c>
      <c r="B56" s="37" t="str">
        <f aca="false">IF($A56="","",PO!$D56)</f>
        <v/>
      </c>
      <c r="C56" s="37" t="str">
        <f aca="false">IF($A56="","",PO!$E56)</f>
        <v/>
      </c>
      <c r="D56" s="37" t="str">
        <f aca="false">IF($A56="","",PO!$H56)</f>
        <v/>
      </c>
      <c r="E56" s="37" t="str">
        <f aca="false">IF($A56="","",PO!$I56)</f>
        <v/>
      </c>
      <c r="F56" s="41" t="str">
        <f aca="false">IF($A56="","",IF(PO!$R56="","",PO!$R56))</f>
        <v/>
      </c>
      <c r="G56" s="38" t="str">
        <f aca="false">IF($A56="","",PO!$L56)</f>
        <v/>
      </c>
      <c r="H56" s="38" t="str">
        <f aca="false">IF($A56="","",SUMIFS('Thanh toán'!$H$4:$H$203,'Thanh toán'!$C$4:$C$203,$A56))</f>
        <v/>
      </c>
      <c r="I56" s="38" t="str">
        <f aca="false">IF($A56="","",IFERROR($G56-$H56,""))</f>
        <v/>
      </c>
      <c r="J56" s="41" t="str">
        <f aca="false">IF($A56="","",IF(PO!$AA56="","",PO!$AA56))</f>
        <v/>
      </c>
      <c r="K56" s="38" t="str">
        <f aca="true">IF($A56="","",IF($I56&lt;=0,0,IF($J56="",0,MAX(0,TODAY()-$J56))))</f>
        <v/>
      </c>
      <c r="L56" s="37" t="str">
        <f aca="false">IF($A56="","",IF($I56&lt;=0,"Đã thanh toán",IF($K56=0,"Trong hạn",IF($K56&lt;=30,"1-30",IF($K56&lt;=60,"31-60",IF($K56&lt;=90,"61-90","&gt;90"))))))</f>
        <v/>
      </c>
      <c r="M56" s="37" t="str">
        <f aca="false">IF($A56="","",IF($I56&lt;=0,"Đã thanh toán đủ",IF($K56&gt;0,"QUÁ HẠN","Còn nợ, trong hạn")))</f>
        <v/>
      </c>
    </row>
    <row r="57" customFormat="false" ht="15" hidden="false" customHeight="false" outlineLevel="0" collapsed="false">
      <c r="A57" s="37" t="str">
        <f aca="false">IF(PO!$A57="","",PO!$A57)</f>
        <v/>
      </c>
      <c r="B57" s="37" t="str">
        <f aca="false">IF($A57="","",PO!$D57)</f>
        <v/>
      </c>
      <c r="C57" s="37" t="str">
        <f aca="false">IF($A57="","",PO!$E57)</f>
        <v/>
      </c>
      <c r="D57" s="37" t="str">
        <f aca="false">IF($A57="","",PO!$H57)</f>
        <v/>
      </c>
      <c r="E57" s="37" t="str">
        <f aca="false">IF($A57="","",PO!$I57)</f>
        <v/>
      </c>
      <c r="F57" s="41" t="str">
        <f aca="false">IF($A57="","",IF(PO!$R57="","",PO!$R57))</f>
        <v/>
      </c>
      <c r="G57" s="38" t="str">
        <f aca="false">IF($A57="","",PO!$L57)</f>
        <v/>
      </c>
      <c r="H57" s="38" t="str">
        <f aca="false">IF($A57="","",SUMIFS('Thanh toán'!$H$4:$H$203,'Thanh toán'!$C$4:$C$203,$A57))</f>
        <v/>
      </c>
      <c r="I57" s="38" t="str">
        <f aca="false">IF($A57="","",IFERROR($G57-$H57,""))</f>
        <v/>
      </c>
      <c r="J57" s="41" t="str">
        <f aca="false">IF($A57="","",IF(PO!$AA57="","",PO!$AA57))</f>
        <v/>
      </c>
      <c r="K57" s="38" t="str">
        <f aca="true">IF($A57="","",IF($I57&lt;=0,0,IF($J57="",0,MAX(0,TODAY()-$J57))))</f>
        <v/>
      </c>
      <c r="L57" s="37" t="str">
        <f aca="false">IF($A57="","",IF($I57&lt;=0,"Đã thanh toán",IF($K57=0,"Trong hạn",IF($K57&lt;=30,"1-30",IF($K57&lt;=60,"31-60",IF($K57&lt;=90,"61-90","&gt;90"))))))</f>
        <v/>
      </c>
      <c r="M57" s="37" t="str">
        <f aca="false">IF($A57="","",IF($I57&lt;=0,"Đã thanh toán đủ",IF($K57&gt;0,"QUÁ HẠN","Còn nợ, trong hạn")))</f>
        <v/>
      </c>
    </row>
    <row r="58" customFormat="false" ht="15" hidden="false" customHeight="false" outlineLevel="0" collapsed="false">
      <c r="A58" s="37" t="str">
        <f aca="false">IF(PO!$A58="","",PO!$A58)</f>
        <v/>
      </c>
      <c r="B58" s="37" t="str">
        <f aca="false">IF($A58="","",PO!$D58)</f>
        <v/>
      </c>
      <c r="C58" s="37" t="str">
        <f aca="false">IF($A58="","",PO!$E58)</f>
        <v/>
      </c>
      <c r="D58" s="37" t="str">
        <f aca="false">IF($A58="","",PO!$H58)</f>
        <v/>
      </c>
      <c r="E58" s="37" t="str">
        <f aca="false">IF($A58="","",PO!$I58)</f>
        <v/>
      </c>
      <c r="F58" s="41" t="str">
        <f aca="false">IF($A58="","",IF(PO!$R58="","",PO!$R58))</f>
        <v/>
      </c>
      <c r="G58" s="38" t="str">
        <f aca="false">IF($A58="","",PO!$L58)</f>
        <v/>
      </c>
      <c r="H58" s="38" t="str">
        <f aca="false">IF($A58="","",SUMIFS('Thanh toán'!$H$4:$H$203,'Thanh toán'!$C$4:$C$203,$A58))</f>
        <v/>
      </c>
      <c r="I58" s="38" t="str">
        <f aca="false">IF($A58="","",IFERROR($G58-$H58,""))</f>
        <v/>
      </c>
      <c r="J58" s="41" t="str">
        <f aca="false">IF($A58="","",IF(PO!$AA58="","",PO!$AA58))</f>
        <v/>
      </c>
      <c r="K58" s="38" t="str">
        <f aca="true">IF($A58="","",IF($I58&lt;=0,0,IF($J58="",0,MAX(0,TODAY()-$J58))))</f>
        <v/>
      </c>
      <c r="L58" s="37" t="str">
        <f aca="false">IF($A58="","",IF($I58&lt;=0,"Đã thanh toán",IF($K58=0,"Trong hạn",IF($K58&lt;=30,"1-30",IF($K58&lt;=60,"31-60",IF($K58&lt;=90,"61-90","&gt;90"))))))</f>
        <v/>
      </c>
      <c r="M58" s="37" t="str">
        <f aca="false">IF($A58="","",IF($I58&lt;=0,"Đã thanh toán đủ",IF($K58&gt;0,"QUÁ HẠN","Còn nợ, trong hạn")))</f>
        <v/>
      </c>
    </row>
    <row r="59" customFormat="false" ht="15" hidden="false" customHeight="false" outlineLevel="0" collapsed="false">
      <c r="A59" s="37" t="str">
        <f aca="false">IF(PO!$A59="","",PO!$A59)</f>
        <v/>
      </c>
      <c r="B59" s="37" t="str">
        <f aca="false">IF($A59="","",PO!$D59)</f>
        <v/>
      </c>
      <c r="C59" s="37" t="str">
        <f aca="false">IF($A59="","",PO!$E59)</f>
        <v/>
      </c>
      <c r="D59" s="37" t="str">
        <f aca="false">IF($A59="","",PO!$H59)</f>
        <v/>
      </c>
      <c r="E59" s="37" t="str">
        <f aca="false">IF($A59="","",PO!$I59)</f>
        <v/>
      </c>
      <c r="F59" s="41" t="str">
        <f aca="false">IF($A59="","",IF(PO!$R59="","",PO!$R59))</f>
        <v/>
      </c>
      <c r="G59" s="38" t="str">
        <f aca="false">IF($A59="","",PO!$L59)</f>
        <v/>
      </c>
      <c r="H59" s="38" t="str">
        <f aca="false">IF($A59="","",SUMIFS('Thanh toán'!$H$4:$H$203,'Thanh toán'!$C$4:$C$203,$A59))</f>
        <v/>
      </c>
      <c r="I59" s="38" t="str">
        <f aca="false">IF($A59="","",IFERROR($G59-$H59,""))</f>
        <v/>
      </c>
      <c r="J59" s="41" t="str">
        <f aca="false">IF($A59="","",IF(PO!$AA59="","",PO!$AA59))</f>
        <v/>
      </c>
      <c r="K59" s="38" t="str">
        <f aca="true">IF($A59="","",IF($I59&lt;=0,0,IF($J59="",0,MAX(0,TODAY()-$J59))))</f>
        <v/>
      </c>
      <c r="L59" s="37" t="str">
        <f aca="false">IF($A59="","",IF($I59&lt;=0,"Đã thanh toán",IF($K59=0,"Trong hạn",IF($K59&lt;=30,"1-30",IF($K59&lt;=60,"31-60",IF($K59&lt;=90,"61-90","&gt;90"))))))</f>
        <v/>
      </c>
      <c r="M59" s="37" t="str">
        <f aca="false">IF($A59="","",IF($I59&lt;=0,"Đã thanh toán đủ",IF($K59&gt;0,"QUÁ HẠN","Còn nợ, trong hạn")))</f>
        <v/>
      </c>
    </row>
    <row r="60" customFormat="false" ht="15" hidden="false" customHeight="false" outlineLevel="0" collapsed="false">
      <c r="A60" s="37" t="str">
        <f aca="false">IF(PO!$A60="","",PO!$A60)</f>
        <v/>
      </c>
      <c r="B60" s="37" t="str">
        <f aca="false">IF($A60="","",PO!$D60)</f>
        <v/>
      </c>
      <c r="C60" s="37" t="str">
        <f aca="false">IF($A60="","",PO!$E60)</f>
        <v/>
      </c>
      <c r="D60" s="37" t="str">
        <f aca="false">IF($A60="","",PO!$H60)</f>
        <v/>
      </c>
      <c r="E60" s="37" t="str">
        <f aca="false">IF($A60="","",PO!$I60)</f>
        <v/>
      </c>
      <c r="F60" s="41" t="str">
        <f aca="false">IF($A60="","",IF(PO!$R60="","",PO!$R60))</f>
        <v/>
      </c>
      <c r="G60" s="38" t="str">
        <f aca="false">IF($A60="","",PO!$L60)</f>
        <v/>
      </c>
      <c r="H60" s="38" t="str">
        <f aca="false">IF($A60="","",SUMIFS('Thanh toán'!$H$4:$H$203,'Thanh toán'!$C$4:$C$203,$A60))</f>
        <v/>
      </c>
      <c r="I60" s="38" t="str">
        <f aca="false">IF($A60="","",IFERROR($G60-$H60,""))</f>
        <v/>
      </c>
      <c r="J60" s="41" t="str">
        <f aca="false">IF($A60="","",IF(PO!$AA60="","",PO!$AA60))</f>
        <v/>
      </c>
      <c r="K60" s="38" t="str">
        <f aca="true">IF($A60="","",IF($I60&lt;=0,0,IF($J60="",0,MAX(0,TODAY()-$J60))))</f>
        <v/>
      </c>
      <c r="L60" s="37" t="str">
        <f aca="false">IF($A60="","",IF($I60&lt;=0,"Đã thanh toán",IF($K60=0,"Trong hạn",IF($K60&lt;=30,"1-30",IF($K60&lt;=60,"31-60",IF($K60&lt;=90,"61-90","&gt;90"))))))</f>
        <v/>
      </c>
      <c r="M60" s="37" t="str">
        <f aca="false">IF($A60="","",IF($I60&lt;=0,"Đã thanh toán đủ",IF($K60&gt;0,"QUÁ HẠN","Còn nợ, trong hạn")))</f>
        <v/>
      </c>
    </row>
    <row r="61" customFormat="false" ht="15" hidden="false" customHeight="false" outlineLevel="0" collapsed="false">
      <c r="A61" s="37" t="str">
        <f aca="false">IF(PO!$A61="","",PO!$A61)</f>
        <v/>
      </c>
      <c r="B61" s="37" t="str">
        <f aca="false">IF($A61="","",PO!$D61)</f>
        <v/>
      </c>
      <c r="C61" s="37" t="str">
        <f aca="false">IF($A61="","",PO!$E61)</f>
        <v/>
      </c>
      <c r="D61" s="37" t="str">
        <f aca="false">IF($A61="","",PO!$H61)</f>
        <v/>
      </c>
      <c r="E61" s="37" t="str">
        <f aca="false">IF($A61="","",PO!$I61)</f>
        <v/>
      </c>
      <c r="F61" s="41" t="str">
        <f aca="false">IF($A61="","",IF(PO!$R61="","",PO!$R61))</f>
        <v/>
      </c>
      <c r="G61" s="38" t="str">
        <f aca="false">IF($A61="","",PO!$L61)</f>
        <v/>
      </c>
      <c r="H61" s="38" t="str">
        <f aca="false">IF($A61="","",SUMIFS('Thanh toán'!$H$4:$H$203,'Thanh toán'!$C$4:$C$203,$A61))</f>
        <v/>
      </c>
      <c r="I61" s="38" t="str">
        <f aca="false">IF($A61="","",IFERROR($G61-$H61,""))</f>
        <v/>
      </c>
      <c r="J61" s="41" t="str">
        <f aca="false">IF($A61="","",IF(PO!$AA61="","",PO!$AA61))</f>
        <v/>
      </c>
      <c r="K61" s="38" t="str">
        <f aca="true">IF($A61="","",IF($I61&lt;=0,0,IF($J61="",0,MAX(0,TODAY()-$J61))))</f>
        <v/>
      </c>
      <c r="L61" s="37" t="str">
        <f aca="false">IF($A61="","",IF($I61&lt;=0,"Đã thanh toán",IF($K61=0,"Trong hạn",IF($K61&lt;=30,"1-30",IF($K61&lt;=60,"31-60",IF($K61&lt;=90,"61-90","&gt;90"))))))</f>
        <v/>
      </c>
      <c r="M61" s="37" t="str">
        <f aca="false">IF($A61="","",IF($I61&lt;=0,"Đã thanh toán đủ",IF($K61&gt;0,"QUÁ HẠN","Còn nợ, trong hạn")))</f>
        <v/>
      </c>
    </row>
    <row r="62" customFormat="false" ht="15" hidden="false" customHeight="false" outlineLevel="0" collapsed="false">
      <c r="A62" s="37" t="str">
        <f aca="false">IF(PO!$A62="","",PO!$A62)</f>
        <v/>
      </c>
      <c r="B62" s="37" t="str">
        <f aca="false">IF($A62="","",PO!$D62)</f>
        <v/>
      </c>
      <c r="C62" s="37" t="str">
        <f aca="false">IF($A62="","",PO!$E62)</f>
        <v/>
      </c>
      <c r="D62" s="37" t="str">
        <f aca="false">IF($A62="","",PO!$H62)</f>
        <v/>
      </c>
      <c r="E62" s="37" t="str">
        <f aca="false">IF($A62="","",PO!$I62)</f>
        <v/>
      </c>
      <c r="F62" s="41" t="str">
        <f aca="false">IF($A62="","",IF(PO!$R62="","",PO!$R62))</f>
        <v/>
      </c>
      <c r="G62" s="38" t="str">
        <f aca="false">IF($A62="","",PO!$L62)</f>
        <v/>
      </c>
      <c r="H62" s="38" t="str">
        <f aca="false">IF($A62="","",SUMIFS('Thanh toán'!$H$4:$H$203,'Thanh toán'!$C$4:$C$203,$A62))</f>
        <v/>
      </c>
      <c r="I62" s="38" t="str">
        <f aca="false">IF($A62="","",IFERROR($G62-$H62,""))</f>
        <v/>
      </c>
      <c r="J62" s="41" t="str">
        <f aca="false">IF($A62="","",IF(PO!$AA62="","",PO!$AA62))</f>
        <v/>
      </c>
      <c r="K62" s="38" t="str">
        <f aca="true">IF($A62="","",IF($I62&lt;=0,0,IF($J62="",0,MAX(0,TODAY()-$J62))))</f>
        <v/>
      </c>
      <c r="L62" s="37" t="str">
        <f aca="false">IF($A62="","",IF($I62&lt;=0,"Đã thanh toán",IF($K62=0,"Trong hạn",IF($K62&lt;=30,"1-30",IF($K62&lt;=60,"31-60",IF($K62&lt;=90,"61-90","&gt;90"))))))</f>
        <v/>
      </c>
      <c r="M62" s="37" t="str">
        <f aca="false">IF($A62="","",IF($I62&lt;=0,"Đã thanh toán đủ",IF($K62&gt;0,"QUÁ HẠN","Còn nợ, trong hạn")))</f>
        <v/>
      </c>
    </row>
    <row r="63" customFormat="false" ht="15" hidden="false" customHeight="false" outlineLevel="0" collapsed="false">
      <c r="A63" s="37" t="str">
        <f aca="false">IF(PO!$A63="","",PO!$A63)</f>
        <v/>
      </c>
      <c r="B63" s="37" t="str">
        <f aca="false">IF($A63="","",PO!$D63)</f>
        <v/>
      </c>
      <c r="C63" s="37" t="str">
        <f aca="false">IF($A63="","",PO!$E63)</f>
        <v/>
      </c>
      <c r="D63" s="37" t="str">
        <f aca="false">IF($A63="","",PO!$H63)</f>
        <v/>
      </c>
      <c r="E63" s="37" t="str">
        <f aca="false">IF($A63="","",PO!$I63)</f>
        <v/>
      </c>
      <c r="F63" s="41" t="str">
        <f aca="false">IF($A63="","",IF(PO!$R63="","",PO!$R63))</f>
        <v/>
      </c>
      <c r="G63" s="38" t="str">
        <f aca="false">IF($A63="","",PO!$L63)</f>
        <v/>
      </c>
      <c r="H63" s="38" t="str">
        <f aca="false">IF($A63="","",SUMIFS('Thanh toán'!$H$4:$H$203,'Thanh toán'!$C$4:$C$203,$A63))</f>
        <v/>
      </c>
      <c r="I63" s="38" t="str">
        <f aca="false">IF($A63="","",IFERROR($G63-$H63,""))</f>
        <v/>
      </c>
      <c r="J63" s="41" t="str">
        <f aca="false">IF($A63="","",IF(PO!$AA63="","",PO!$AA63))</f>
        <v/>
      </c>
      <c r="K63" s="38" t="str">
        <f aca="true">IF($A63="","",IF($I63&lt;=0,0,IF($J63="",0,MAX(0,TODAY()-$J63))))</f>
        <v/>
      </c>
      <c r="L63" s="37" t="str">
        <f aca="false">IF($A63="","",IF($I63&lt;=0,"Đã thanh toán",IF($K63=0,"Trong hạn",IF($K63&lt;=30,"1-30",IF($K63&lt;=60,"31-60",IF($K63&lt;=90,"61-90","&gt;90"))))))</f>
        <v/>
      </c>
      <c r="M63" s="37" t="str">
        <f aca="false">IF($A63="","",IF($I63&lt;=0,"Đã thanh toán đủ",IF($K63&gt;0,"QUÁ HẠN","Còn nợ, trong hạn")))</f>
        <v/>
      </c>
    </row>
    <row r="64" customFormat="false" ht="15" hidden="false" customHeight="false" outlineLevel="0" collapsed="false">
      <c r="A64" s="37" t="str">
        <f aca="false">IF(PO!$A64="","",PO!$A64)</f>
        <v/>
      </c>
      <c r="B64" s="37" t="str">
        <f aca="false">IF($A64="","",PO!$D64)</f>
        <v/>
      </c>
      <c r="C64" s="37" t="str">
        <f aca="false">IF($A64="","",PO!$E64)</f>
        <v/>
      </c>
      <c r="D64" s="37" t="str">
        <f aca="false">IF($A64="","",PO!$H64)</f>
        <v/>
      </c>
      <c r="E64" s="37" t="str">
        <f aca="false">IF($A64="","",PO!$I64)</f>
        <v/>
      </c>
      <c r="F64" s="41" t="str">
        <f aca="false">IF($A64="","",IF(PO!$R64="","",PO!$R64))</f>
        <v/>
      </c>
      <c r="G64" s="38" t="str">
        <f aca="false">IF($A64="","",PO!$L64)</f>
        <v/>
      </c>
      <c r="H64" s="38" t="str">
        <f aca="false">IF($A64="","",SUMIFS('Thanh toán'!$H$4:$H$203,'Thanh toán'!$C$4:$C$203,$A64))</f>
        <v/>
      </c>
      <c r="I64" s="38" t="str">
        <f aca="false">IF($A64="","",IFERROR($G64-$H64,""))</f>
        <v/>
      </c>
      <c r="J64" s="41" t="str">
        <f aca="false">IF($A64="","",IF(PO!$AA64="","",PO!$AA64))</f>
        <v/>
      </c>
      <c r="K64" s="38" t="str">
        <f aca="true">IF($A64="","",IF($I64&lt;=0,0,IF($J64="",0,MAX(0,TODAY()-$J64))))</f>
        <v/>
      </c>
      <c r="L64" s="37" t="str">
        <f aca="false">IF($A64="","",IF($I64&lt;=0,"Đã thanh toán",IF($K64=0,"Trong hạn",IF($K64&lt;=30,"1-30",IF($K64&lt;=60,"31-60",IF($K64&lt;=90,"61-90","&gt;90"))))))</f>
        <v/>
      </c>
      <c r="M64" s="37" t="str">
        <f aca="false">IF($A64="","",IF($I64&lt;=0,"Đã thanh toán đủ",IF($K64&gt;0,"QUÁ HẠN","Còn nợ, trong hạn")))</f>
        <v/>
      </c>
    </row>
    <row r="65" customFormat="false" ht="15" hidden="false" customHeight="false" outlineLevel="0" collapsed="false">
      <c r="A65" s="37" t="str">
        <f aca="false">IF(PO!$A65="","",PO!$A65)</f>
        <v/>
      </c>
      <c r="B65" s="37" t="str">
        <f aca="false">IF($A65="","",PO!$D65)</f>
        <v/>
      </c>
      <c r="C65" s="37" t="str">
        <f aca="false">IF($A65="","",PO!$E65)</f>
        <v/>
      </c>
      <c r="D65" s="37" t="str">
        <f aca="false">IF($A65="","",PO!$H65)</f>
        <v/>
      </c>
      <c r="E65" s="37" t="str">
        <f aca="false">IF($A65="","",PO!$I65)</f>
        <v/>
      </c>
      <c r="F65" s="41" t="str">
        <f aca="false">IF($A65="","",IF(PO!$R65="","",PO!$R65))</f>
        <v/>
      </c>
      <c r="G65" s="38" t="str">
        <f aca="false">IF($A65="","",PO!$L65)</f>
        <v/>
      </c>
      <c r="H65" s="38" t="str">
        <f aca="false">IF($A65="","",SUMIFS('Thanh toán'!$H$4:$H$203,'Thanh toán'!$C$4:$C$203,$A65))</f>
        <v/>
      </c>
      <c r="I65" s="38" t="str">
        <f aca="false">IF($A65="","",IFERROR($G65-$H65,""))</f>
        <v/>
      </c>
      <c r="J65" s="41" t="str">
        <f aca="false">IF($A65="","",IF(PO!$AA65="","",PO!$AA65))</f>
        <v/>
      </c>
      <c r="K65" s="38" t="str">
        <f aca="true">IF($A65="","",IF($I65&lt;=0,0,IF($J65="",0,MAX(0,TODAY()-$J65))))</f>
        <v/>
      </c>
      <c r="L65" s="37" t="str">
        <f aca="false">IF($A65="","",IF($I65&lt;=0,"Đã thanh toán",IF($K65=0,"Trong hạn",IF($K65&lt;=30,"1-30",IF($K65&lt;=60,"31-60",IF($K65&lt;=90,"61-90","&gt;90"))))))</f>
        <v/>
      </c>
      <c r="M65" s="37" t="str">
        <f aca="false">IF($A65="","",IF($I65&lt;=0,"Đã thanh toán đủ",IF($K65&gt;0,"QUÁ HẠN","Còn nợ, trong hạn")))</f>
        <v/>
      </c>
    </row>
    <row r="66" customFormat="false" ht="15" hidden="false" customHeight="false" outlineLevel="0" collapsed="false">
      <c r="A66" s="37" t="str">
        <f aca="false">IF(PO!$A66="","",PO!$A66)</f>
        <v/>
      </c>
      <c r="B66" s="37" t="str">
        <f aca="false">IF($A66="","",PO!$D66)</f>
        <v/>
      </c>
      <c r="C66" s="37" t="str">
        <f aca="false">IF($A66="","",PO!$E66)</f>
        <v/>
      </c>
      <c r="D66" s="37" t="str">
        <f aca="false">IF($A66="","",PO!$H66)</f>
        <v/>
      </c>
      <c r="E66" s="37" t="str">
        <f aca="false">IF($A66="","",PO!$I66)</f>
        <v/>
      </c>
      <c r="F66" s="41" t="str">
        <f aca="false">IF($A66="","",IF(PO!$R66="","",PO!$R66))</f>
        <v/>
      </c>
      <c r="G66" s="38" t="str">
        <f aca="false">IF($A66="","",PO!$L66)</f>
        <v/>
      </c>
      <c r="H66" s="38" t="str">
        <f aca="false">IF($A66="","",SUMIFS('Thanh toán'!$H$4:$H$203,'Thanh toán'!$C$4:$C$203,$A66))</f>
        <v/>
      </c>
      <c r="I66" s="38" t="str">
        <f aca="false">IF($A66="","",IFERROR($G66-$H66,""))</f>
        <v/>
      </c>
      <c r="J66" s="41" t="str">
        <f aca="false">IF($A66="","",IF(PO!$AA66="","",PO!$AA66))</f>
        <v/>
      </c>
      <c r="K66" s="38" t="str">
        <f aca="true">IF($A66="","",IF($I66&lt;=0,0,IF($J66="",0,MAX(0,TODAY()-$J66))))</f>
        <v/>
      </c>
      <c r="L66" s="37" t="str">
        <f aca="false">IF($A66="","",IF($I66&lt;=0,"Đã thanh toán",IF($K66=0,"Trong hạn",IF($K66&lt;=30,"1-30",IF($K66&lt;=60,"31-60",IF($K66&lt;=90,"61-90","&gt;90"))))))</f>
        <v/>
      </c>
      <c r="M66" s="37" t="str">
        <f aca="false">IF($A66="","",IF($I66&lt;=0,"Đã thanh toán đủ",IF($K66&gt;0,"QUÁ HẠN","Còn nợ, trong hạn")))</f>
        <v/>
      </c>
    </row>
    <row r="67" customFormat="false" ht="15" hidden="false" customHeight="false" outlineLevel="0" collapsed="false">
      <c r="A67" s="37" t="str">
        <f aca="false">IF(PO!$A67="","",PO!$A67)</f>
        <v/>
      </c>
      <c r="B67" s="37" t="str">
        <f aca="false">IF($A67="","",PO!$D67)</f>
        <v/>
      </c>
      <c r="C67" s="37" t="str">
        <f aca="false">IF($A67="","",PO!$E67)</f>
        <v/>
      </c>
      <c r="D67" s="37" t="str">
        <f aca="false">IF($A67="","",PO!$H67)</f>
        <v/>
      </c>
      <c r="E67" s="37" t="str">
        <f aca="false">IF($A67="","",PO!$I67)</f>
        <v/>
      </c>
      <c r="F67" s="41" t="str">
        <f aca="false">IF($A67="","",IF(PO!$R67="","",PO!$R67))</f>
        <v/>
      </c>
      <c r="G67" s="38" t="str">
        <f aca="false">IF($A67="","",PO!$L67)</f>
        <v/>
      </c>
      <c r="H67" s="38" t="str">
        <f aca="false">IF($A67="","",SUMIFS('Thanh toán'!$H$4:$H$203,'Thanh toán'!$C$4:$C$203,$A67))</f>
        <v/>
      </c>
      <c r="I67" s="38" t="str">
        <f aca="false">IF($A67="","",IFERROR($G67-$H67,""))</f>
        <v/>
      </c>
      <c r="J67" s="41" t="str">
        <f aca="false">IF($A67="","",IF(PO!$AA67="","",PO!$AA67))</f>
        <v/>
      </c>
      <c r="K67" s="38" t="str">
        <f aca="true">IF($A67="","",IF($I67&lt;=0,0,IF($J67="",0,MAX(0,TODAY()-$J67))))</f>
        <v/>
      </c>
      <c r="L67" s="37" t="str">
        <f aca="false">IF($A67="","",IF($I67&lt;=0,"Đã thanh toán",IF($K67=0,"Trong hạn",IF($K67&lt;=30,"1-30",IF($K67&lt;=60,"31-60",IF($K67&lt;=90,"61-90","&gt;90"))))))</f>
        <v/>
      </c>
      <c r="M67" s="37" t="str">
        <f aca="false">IF($A67="","",IF($I67&lt;=0,"Đã thanh toán đủ",IF($K67&gt;0,"QUÁ HẠN","Còn nợ, trong hạn")))</f>
        <v/>
      </c>
    </row>
    <row r="68" customFormat="false" ht="15" hidden="false" customHeight="false" outlineLevel="0" collapsed="false">
      <c r="A68" s="37" t="str">
        <f aca="false">IF(PO!$A68="","",PO!$A68)</f>
        <v/>
      </c>
      <c r="B68" s="37" t="str">
        <f aca="false">IF($A68="","",PO!$D68)</f>
        <v/>
      </c>
      <c r="C68" s="37" t="str">
        <f aca="false">IF($A68="","",PO!$E68)</f>
        <v/>
      </c>
      <c r="D68" s="37" t="str">
        <f aca="false">IF($A68="","",PO!$H68)</f>
        <v/>
      </c>
      <c r="E68" s="37" t="str">
        <f aca="false">IF($A68="","",PO!$I68)</f>
        <v/>
      </c>
      <c r="F68" s="41" t="str">
        <f aca="false">IF($A68="","",IF(PO!$R68="","",PO!$R68))</f>
        <v/>
      </c>
      <c r="G68" s="38" t="str">
        <f aca="false">IF($A68="","",PO!$L68)</f>
        <v/>
      </c>
      <c r="H68" s="38" t="str">
        <f aca="false">IF($A68="","",SUMIFS('Thanh toán'!$H$4:$H$203,'Thanh toán'!$C$4:$C$203,$A68))</f>
        <v/>
      </c>
      <c r="I68" s="38" t="str">
        <f aca="false">IF($A68="","",IFERROR($G68-$H68,""))</f>
        <v/>
      </c>
      <c r="J68" s="41" t="str">
        <f aca="false">IF($A68="","",IF(PO!$AA68="","",PO!$AA68))</f>
        <v/>
      </c>
      <c r="K68" s="38" t="str">
        <f aca="true">IF($A68="","",IF($I68&lt;=0,0,IF($J68="",0,MAX(0,TODAY()-$J68))))</f>
        <v/>
      </c>
      <c r="L68" s="37" t="str">
        <f aca="false">IF($A68="","",IF($I68&lt;=0,"Đã thanh toán",IF($K68=0,"Trong hạn",IF($K68&lt;=30,"1-30",IF($K68&lt;=60,"31-60",IF($K68&lt;=90,"61-90","&gt;90"))))))</f>
        <v/>
      </c>
      <c r="M68" s="37" t="str">
        <f aca="false">IF($A68="","",IF($I68&lt;=0,"Đã thanh toán đủ",IF($K68&gt;0,"QUÁ HẠN","Còn nợ, trong hạn")))</f>
        <v/>
      </c>
    </row>
    <row r="69" customFormat="false" ht="15" hidden="false" customHeight="false" outlineLevel="0" collapsed="false">
      <c r="A69" s="37" t="str">
        <f aca="false">IF(PO!$A69="","",PO!$A69)</f>
        <v/>
      </c>
      <c r="B69" s="37" t="str">
        <f aca="false">IF($A69="","",PO!$D69)</f>
        <v/>
      </c>
      <c r="C69" s="37" t="str">
        <f aca="false">IF($A69="","",PO!$E69)</f>
        <v/>
      </c>
      <c r="D69" s="37" t="str">
        <f aca="false">IF($A69="","",PO!$H69)</f>
        <v/>
      </c>
      <c r="E69" s="37" t="str">
        <f aca="false">IF($A69="","",PO!$I69)</f>
        <v/>
      </c>
      <c r="F69" s="41" t="str">
        <f aca="false">IF($A69="","",IF(PO!$R69="","",PO!$R69))</f>
        <v/>
      </c>
      <c r="G69" s="38" t="str">
        <f aca="false">IF($A69="","",PO!$L69)</f>
        <v/>
      </c>
      <c r="H69" s="38" t="str">
        <f aca="false">IF($A69="","",SUMIFS('Thanh toán'!$H$4:$H$203,'Thanh toán'!$C$4:$C$203,$A69))</f>
        <v/>
      </c>
      <c r="I69" s="38" t="str">
        <f aca="false">IF($A69="","",IFERROR($G69-$H69,""))</f>
        <v/>
      </c>
      <c r="J69" s="41" t="str">
        <f aca="false">IF($A69="","",IF(PO!$AA69="","",PO!$AA69))</f>
        <v/>
      </c>
      <c r="K69" s="38" t="str">
        <f aca="true">IF($A69="","",IF($I69&lt;=0,0,IF($J69="",0,MAX(0,TODAY()-$J69))))</f>
        <v/>
      </c>
      <c r="L69" s="37" t="str">
        <f aca="false">IF($A69="","",IF($I69&lt;=0,"Đã thanh toán",IF($K69=0,"Trong hạn",IF($K69&lt;=30,"1-30",IF($K69&lt;=60,"31-60",IF($K69&lt;=90,"61-90","&gt;90"))))))</f>
        <v/>
      </c>
      <c r="M69" s="37" t="str">
        <f aca="false">IF($A69="","",IF($I69&lt;=0,"Đã thanh toán đủ",IF($K69&gt;0,"QUÁ HẠN","Còn nợ, trong hạn")))</f>
        <v/>
      </c>
    </row>
    <row r="70" customFormat="false" ht="15" hidden="false" customHeight="false" outlineLevel="0" collapsed="false">
      <c r="A70" s="37" t="str">
        <f aca="false">IF(PO!$A70="","",PO!$A70)</f>
        <v/>
      </c>
      <c r="B70" s="37" t="str">
        <f aca="false">IF($A70="","",PO!$D70)</f>
        <v/>
      </c>
      <c r="C70" s="37" t="str">
        <f aca="false">IF($A70="","",PO!$E70)</f>
        <v/>
      </c>
      <c r="D70" s="37" t="str">
        <f aca="false">IF($A70="","",PO!$H70)</f>
        <v/>
      </c>
      <c r="E70" s="37" t="str">
        <f aca="false">IF($A70="","",PO!$I70)</f>
        <v/>
      </c>
      <c r="F70" s="41" t="str">
        <f aca="false">IF($A70="","",IF(PO!$R70="","",PO!$R70))</f>
        <v/>
      </c>
      <c r="G70" s="38" t="str">
        <f aca="false">IF($A70="","",PO!$L70)</f>
        <v/>
      </c>
      <c r="H70" s="38" t="str">
        <f aca="false">IF($A70="","",SUMIFS('Thanh toán'!$H$4:$H$203,'Thanh toán'!$C$4:$C$203,$A70))</f>
        <v/>
      </c>
      <c r="I70" s="38" t="str">
        <f aca="false">IF($A70="","",IFERROR($G70-$H70,""))</f>
        <v/>
      </c>
      <c r="J70" s="41" t="str">
        <f aca="false">IF($A70="","",IF(PO!$AA70="","",PO!$AA70))</f>
        <v/>
      </c>
      <c r="K70" s="38" t="str">
        <f aca="true">IF($A70="","",IF($I70&lt;=0,0,IF($J70="",0,MAX(0,TODAY()-$J70))))</f>
        <v/>
      </c>
      <c r="L70" s="37" t="str">
        <f aca="false">IF($A70="","",IF($I70&lt;=0,"Đã thanh toán",IF($K70=0,"Trong hạn",IF($K70&lt;=30,"1-30",IF($K70&lt;=60,"31-60",IF($K70&lt;=90,"61-90","&gt;90"))))))</f>
        <v/>
      </c>
      <c r="M70" s="37" t="str">
        <f aca="false">IF($A70="","",IF($I70&lt;=0,"Đã thanh toán đủ",IF($K70&gt;0,"QUÁ HẠN","Còn nợ, trong hạn")))</f>
        <v/>
      </c>
    </row>
    <row r="71" customFormat="false" ht="15" hidden="false" customHeight="false" outlineLevel="0" collapsed="false">
      <c r="A71" s="37" t="str">
        <f aca="false">IF(PO!$A71="","",PO!$A71)</f>
        <v/>
      </c>
      <c r="B71" s="37" t="str">
        <f aca="false">IF($A71="","",PO!$D71)</f>
        <v/>
      </c>
      <c r="C71" s="37" t="str">
        <f aca="false">IF($A71="","",PO!$E71)</f>
        <v/>
      </c>
      <c r="D71" s="37" t="str">
        <f aca="false">IF($A71="","",PO!$H71)</f>
        <v/>
      </c>
      <c r="E71" s="37" t="str">
        <f aca="false">IF($A71="","",PO!$I71)</f>
        <v/>
      </c>
      <c r="F71" s="41" t="str">
        <f aca="false">IF($A71="","",IF(PO!$R71="","",PO!$R71))</f>
        <v/>
      </c>
      <c r="G71" s="38" t="str">
        <f aca="false">IF($A71="","",PO!$L71)</f>
        <v/>
      </c>
      <c r="H71" s="38" t="str">
        <f aca="false">IF($A71="","",SUMIFS('Thanh toán'!$H$4:$H$203,'Thanh toán'!$C$4:$C$203,$A71))</f>
        <v/>
      </c>
      <c r="I71" s="38" t="str">
        <f aca="false">IF($A71="","",IFERROR($G71-$H71,""))</f>
        <v/>
      </c>
      <c r="J71" s="41" t="str">
        <f aca="false">IF($A71="","",IF(PO!$AA71="","",PO!$AA71))</f>
        <v/>
      </c>
      <c r="K71" s="38" t="str">
        <f aca="true">IF($A71="","",IF($I71&lt;=0,0,IF($J71="",0,MAX(0,TODAY()-$J71))))</f>
        <v/>
      </c>
      <c r="L71" s="37" t="str">
        <f aca="false">IF($A71="","",IF($I71&lt;=0,"Đã thanh toán",IF($K71=0,"Trong hạn",IF($K71&lt;=30,"1-30",IF($K71&lt;=60,"31-60",IF($K71&lt;=90,"61-90","&gt;90"))))))</f>
        <v/>
      </c>
      <c r="M71" s="37" t="str">
        <f aca="false">IF($A71="","",IF($I71&lt;=0,"Đã thanh toán đủ",IF($K71&gt;0,"QUÁ HẠN","Còn nợ, trong hạn")))</f>
        <v/>
      </c>
    </row>
    <row r="72" customFormat="false" ht="15" hidden="false" customHeight="false" outlineLevel="0" collapsed="false">
      <c r="A72" s="37" t="str">
        <f aca="false">IF(PO!$A72="","",PO!$A72)</f>
        <v/>
      </c>
      <c r="B72" s="37" t="str">
        <f aca="false">IF($A72="","",PO!$D72)</f>
        <v/>
      </c>
      <c r="C72" s="37" t="str">
        <f aca="false">IF($A72="","",PO!$E72)</f>
        <v/>
      </c>
      <c r="D72" s="37" t="str">
        <f aca="false">IF($A72="","",PO!$H72)</f>
        <v/>
      </c>
      <c r="E72" s="37" t="str">
        <f aca="false">IF($A72="","",PO!$I72)</f>
        <v/>
      </c>
      <c r="F72" s="41" t="str">
        <f aca="false">IF($A72="","",IF(PO!$R72="","",PO!$R72))</f>
        <v/>
      </c>
      <c r="G72" s="38" t="str">
        <f aca="false">IF($A72="","",PO!$L72)</f>
        <v/>
      </c>
      <c r="H72" s="38" t="str">
        <f aca="false">IF($A72="","",SUMIFS('Thanh toán'!$H$4:$H$203,'Thanh toán'!$C$4:$C$203,$A72))</f>
        <v/>
      </c>
      <c r="I72" s="38" t="str">
        <f aca="false">IF($A72="","",IFERROR($G72-$H72,""))</f>
        <v/>
      </c>
      <c r="J72" s="41" t="str">
        <f aca="false">IF($A72="","",IF(PO!$AA72="","",PO!$AA72))</f>
        <v/>
      </c>
      <c r="K72" s="38" t="str">
        <f aca="true">IF($A72="","",IF($I72&lt;=0,0,IF($J72="",0,MAX(0,TODAY()-$J72))))</f>
        <v/>
      </c>
      <c r="L72" s="37" t="str">
        <f aca="false">IF($A72="","",IF($I72&lt;=0,"Đã thanh toán",IF($K72=0,"Trong hạn",IF($K72&lt;=30,"1-30",IF($K72&lt;=60,"31-60",IF($K72&lt;=90,"61-90","&gt;90"))))))</f>
        <v/>
      </c>
      <c r="M72" s="37" t="str">
        <f aca="false">IF($A72="","",IF($I72&lt;=0,"Đã thanh toán đủ",IF($K72&gt;0,"QUÁ HẠN","Còn nợ, trong hạn")))</f>
        <v/>
      </c>
    </row>
    <row r="73" customFormat="false" ht="15" hidden="false" customHeight="false" outlineLevel="0" collapsed="false">
      <c r="A73" s="37" t="str">
        <f aca="false">IF(PO!$A73="","",PO!$A73)</f>
        <v/>
      </c>
      <c r="B73" s="37" t="str">
        <f aca="false">IF($A73="","",PO!$D73)</f>
        <v/>
      </c>
      <c r="C73" s="37" t="str">
        <f aca="false">IF($A73="","",PO!$E73)</f>
        <v/>
      </c>
      <c r="D73" s="37" t="str">
        <f aca="false">IF($A73="","",PO!$H73)</f>
        <v/>
      </c>
      <c r="E73" s="37" t="str">
        <f aca="false">IF($A73="","",PO!$I73)</f>
        <v/>
      </c>
      <c r="F73" s="41" t="str">
        <f aca="false">IF($A73="","",IF(PO!$R73="","",PO!$R73))</f>
        <v/>
      </c>
      <c r="G73" s="38" t="str">
        <f aca="false">IF($A73="","",PO!$L73)</f>
        <v/>
      </c>
      <c r="H73" s="38" t="str">
        <f aca="false">IF($A73="","",SUMIFS('Thanh toán'!$H$4:$H$203,'Thanh toán'!$C$4:$C$203,$A73))</f>
        <v/>
      </c>
      <c r="I73" s="38" t="str">
        <f aca="false">IF($A73="","",IFERROR($G73-$H73,""))</f>
        <v/>
      </c>
      <c r="J73" s="41" t="str">
        <f aca="false">IF($A73="","",IF(PO!$AA73="","",PO!$AA73))</f>
        <v/>
      </c>
      <c r="K73" s="38" t="str">
        <f aca="true">IF($A73="","",IF($I73&lt;=0,0,IF($J73="",0,MAX(0,TODAY()-$J73))))</f>
        <v/>
      </c>
      <c r="L73" s="37" t="str">
        <f aca="false">IF($A73="","",IF($I73&lt;=0,"Đã thanh toán",IF($K73=0,"Trong hạn",IF($K73&lt;=30,"1-30",IF($K73&lt;=60,"31-60",IF($K73&lt;=90,"61-90","&gt;90"))))))</f>
        <v/>
      </c>
      <c r="M73" s="37" t="str">
        <f aca="false">IF($A73="","",IF($I73&lt;=0,"Đã thanh toán đủ",IF($K73&gt;0,"QUÁ HẠN","Còn nợ, trong hạn")))</f>
        <v/>
      </c>
    </row>
    <row r="74" customFormat="false" ht="15" hidden="false" customHeight="false" outlineLevel="0" collapsed="false">
      <c r="A74" s="37" t="str">
        <f aca="false">IF(PO!$A74="","",PO!$A74)</f>
        <v/>
      </c>
      <c r="B74" s="37" t="str">
        <f aca="false">IF($A74="","",PO!$D74)</f>
        <v/>
      </c>
      <c r="C74" s="37" t="str">
        <f aca="false">IF($A74="","",PO!$E74)</f>
        <v/>
      </c>
      <c r="D74" s="37" t="str">
        <f aca="false">IF($A74="","",PO!$H74)</f>
        <v/>
      </c>
      <c r="E74" s="37" t="str">
        <f aca="false">IF($A74="","",PO!$I74)</f>
        <v/>
      </c>
      <c r="F74" s="41" t="str">
        <f aca="false">IF($A74="","",IF(PO!$R74="","",PO!$R74))</f>
        <v/>
      </c>
      <c r="G74" s="38" t="str">
        <f aca="false">IF($A74="","",PO!$L74)</f>
        <v/>
      </c>
      <c r="H74" s="38" t="str">
        <f aca="false">IF($A74="","",SUMIFS('Thanh toán'!$H$4:$H$203,'Thanh toán'!$C$4:$C$203,$A74))</f>
        <v/>
      </c>
      <c r="I74" s="38" t="str">
        <f aca="false">IF($A74="","",IFERROR($G74-$H74,""))</f>
        <v/>
      </c>
      <c r="J74" s="41" t="str">
        <f aca="false">IF($A74="","",IF(PO!$AA74="","",PO!$AA74))</f>
        <v/>
      </c>
      <c r="K74" s="38" t="str">
        <f aca="true">IF($A74="","",IF($I74&lt;=0,0,IF($J74="",0,MAX(0,TODAY()-$J74))))</f>
        <v/>
      </c>
      <c r="L74" s="37" t="str">
        <f aca="false">IF($A74="","",IF($I74&lt;=0,"Đã thanh toán",IF($K74=0,"Trong hạn",IF($K74&lt;=30,"1-30",IF($K74&lt;=60,"31-60",IF($K74&lt;=90,"61-90","&gt;90"))))))</f>
        <v/>
      </c>
      <c r="M74" s="37" t="str">
        <f aca="false">IF($A74="","",IF($I74&lt;=0,"Đã thanh toán đủ",IF($K74&gt;0,"QUÁ HẠN","Còn nợ, trong hạn")))</f>
        <v/>
      </c>
    </row>
    <row r="75" customFormat="false" ht="15" hidden="false" customHeight="false" outlineLevel="0" collapsed="false">
      <c r="A75" s="37" t="str">
        <f aca="false">IF(PO!$A75="","",PO!$A75)</f>
        <v/>
      </c>
      <c r="B75" s="37" t="str">
        <f aca="false">IF($A75="","",PO!$D75)</f>
        <v/>
      </c>
      <c r="C75" s="37" t="str">
        <f aca="false">IF($A75="","",PO!$E75)</f>
        <v/>
      </c>
      <c r="D75" s="37" t="str">
        <f aca="false">IF($A75="","",PO!$H75)</f>
        <v/>
      </c>
      <c r="E75" s="37" t="str">
        <f aca="false">IF($A75="","",PO!$I75)</f>
        <v/>
      </c>
      <c r="F75" s="41" t="str">
        <f aca="false">IF($A75="","",IF(PO!$R75="","",PO!$R75))</f>
        <v/>
      </c>
      <c r="G75" s="38" t="str">
        <f aca="false">IF($A75="","",PO!$L75)</f>
        <v/>
      </c>
      <c r="H75" s="38" t="str">
        <f aca="false">IF($A75="","",SUMIFS('Thanh toán'!$H$4:$H$203,'Thanh toán'!$C$4:$C$203,$A75))</f>
        <v/>
      </c>
      <c r="I75" s="38" t="str">
        <f aca="false">IF($A75="","",IFERROR($G75-$H75,""))</f>
        <v/>
      </c>
      <c r="J75" s="41" t="str">
        <f aca="false">IF($A75="","",IF(PO!$AA75="","",PO!$AA75))</f>
        <v/>
      </c>
      <c r="K75" s="38" t="str">
        <f aca="true">IF($A75="","",IF($I75&lt;=0,0,IF($J75="",0,MAX(0,TODAY()-$J75))))</f>
        <v/>
      </c>
      <c r="L75" s="37" t="str">
        <f aca="false">IF($A75="","",IF($I75&lt;=0,"Đã thanh toán",IF($K75=0,"Trong hạn",IF($K75&lt;=30,"1-30",IF($K75&lt;=60,"31-60",IF($K75&lt;=90,"61-90","&gt;90"))))))</f>
        <v/>
      </c>
      <c r="M75" s="37" t="str">
        <f aca="false">IF($A75="","",IF($I75&lt;=0,"Đã thanh toán đủ",IF($K75&gt;0,"QUÁ HẠN","Còn nợ, trong hạn")))</f>
        <v/>
      </c>
    </row>
    <row r="76" customFormat="false" ht="15" hidden="false" customHeight="false" outlineLevel="0" collapsed="false">
      <c r="A76" s="37" t="str">
        <f aca="false">IF(PO!$A76="","",PO!$A76)</f>
        <v/>
      </c>
      <c r="B76" s="37" t="str">
        <f aca="false">IF($A76="","",PO!$D76)</f>
        <v/>
      </c>
      <c r="C76" s="37" t="str">
        <f aca="false">IF($A76="","",PO!$E76)</f>
        <v/>
      </c>
      <c r="D76" s="37" t="str">
        <f aca="false">IF($A76="","",PO!$H76)</f>
        <v/>
      </c>
      <c r="E76" s="37" t="str">
        <f aca="false">IF($A76="","",PO!$I76)</f>
        <v/>
      </c>
      <c r="F76" s="41" t="str">
        <f aca="false">IF($A76="","",IF(PO!$R76="","",PO!$R76))</f>
        <v/>
      </c>
      <c r="G76" s="38" t="str">
        <f aca="false">IF($A76="","",PO!$L76)</f>
        <v/>
      </c>
      <c r="H76" s="38" t="str">
        <f aca="false">IF($A76="","",SUMIFS('Thanh toán'!$H$4:$H$203,'Thanh toán'!$C$4:$C$203,$A76))</f>
        <v/>
      </c>
      <c r="I76" s="38" t="str">
        <f aca="false">IF($A76="","",IFERROR($G76-$H76,""))</f>
        <v/>
      </c>
      <c r="J76" s="41" t="str">
        <f aca="false">IF($A76="","",IF(PO!$AA76="","",PO!$AA76))</f>
        <v/>
      </c>
      <c r="K76" s="38" t="str">
        <f aca="true">IF($A76="","",IF($I76&lt;=0,0,IF($J76="",0,MAX(0,TODAY()-$J76))))</f>
        <v/>
      </c>
      <c r="L76" s="37" t="str">
        <f aca="false">IF($A76="","",IF($I76&lt;=0,"Đã thanh toán",IF($K76=0,"Trong hạn",IF($K76&lt;=30,"1-30",IF($K76&lt;=60,"31-60",IF($K76&lt;=90,"61-90","&gt;90"))))))</f>
        <v/>
      </c>
      <c r="M76" s="37" t="str">
        <f aca="false">IF($A76="","",IF($I76&lt;=0,"Đã thanh toán đủ",IF($K76&gt;0,"QUÁ HẠN","Còn nợ, trong hạn")))</f>
        <v/>
      </c>
    </row>
    <row r="77" customFormat="false" ht="15" hidden="false" customHeight="false" outlineLevel="0" collapsed="false">
      <c r="A77" s="37" t="str">
        <f aca="false">IF(PO!$A77="","",PO!$A77)</f>
        <v/>
      </c>
      <c r="B77" s="37" t="str">
        <f aca="false">IF($A77="","",PO!$D77)</f>
        <v/>
      </c>
      <c r="C77" s="37" t="str">
        <f aca="false">IF($A77="","",PO!$E77)</f>
        <v/>
      </c>
      <c r="D77" s="37" t="str">
        <f aca="false">IF($A77="","",PO!$H77)</f>
        <v/>
      </c>
      <c r="E77" s="37" t="str">
        <f aca="false">IF($A77="","",PO!$I77)</f>
        <v/>
      </c>
      <c r="F77" s="41" t="str">
        <f aca="false">IF($A77="","",IF(PO!$R77="","",PO!$R77))</f>
        <v/>
      </c>
      <c r="G77" s="38" t="str">
        <f aca="false">IF($A77="","",PO!$L77)</f>
        <v/>
      </c>
      <c r="H77" s="38" t="str">
        <f aca="false">IF($A77="","",SUMIFS('Thanh toán'!$H$4:$H$203,'Thanh toán'!$C$4:$C$203,$A77))</f>
        <v/>
      </c>
      <c r="I77" s="38" t="str">
        <f aca="false">IF($A77="","",IFERROR($G77-$H77,""))</f>
        <v/>
      </c>
      <c r="J77" s="41" t="str">
        <f aca="false">IF($A77="","",IF(PO!$AA77="","",PO!$AA77))</f>
        <v/>
      </c>
      <c r="K77" s="38" t="str">
        <f aca="true">IF($A77="","",IF($I77&lt;=0,0,IF($J77="",0,MAX(0,TODAY()-$J77))))</f>
        <v/>
      </c>
      <c r="L77" s="37" t="str">
        <f aca="false">IF($A77="","",IF($I77&lt;=0,"Đã thanh toán",IF($K77=0,"Trong hạn",IF($K77&lt;=30,"1-30",IF($K77&lt;=60,"31-60",IF($K77&lt;=90,"61-90","&gt;90"))))))</f>
        <v/>
      </c>
      <c r="M77" s="37" t="str">
        <f aca="false">IF($A77="","",IF($I77&lt;=0,"Đã thanh toán đủ",IF($K77&gt;0,"QUÁ HẠN","Còn nợ, trong hạn")))</f>
        <v/>
      </c>
    </row>
    <row r="78" customFormat="false" ht="15" hidden="false" customHeight="false" outlineLevel="0" collapsed="false">
      <c r="A78" s="37" t="str">
        <f aca="false">IF(PO!$A78="","",PO!$A78)</f>
        <v/>
      </c>
      <c r="B78" s="37" t="str">
        <f aca="false">IF($A78="","",PO!$D78)</f>
        <v/>
      </c>
      <c r="C78" s="37" t="str">
        <f aca="false">IF($A78="","",PO!$E78)</f>
        <v/>
      </c>
      <c r="D78" s="37" t="str">
        <f aca="false">IF($A78="","",PO!$H78)</f>
        <v/>
      </c>
      <c r="E78" s="37" t="str">
        <f aca="false">IF($A78="","",PO!$I78)</f>
        <v/>
      </c>
      <c r="F78" s="41" t="str">
        <f aca="false">IF($A78="","",IF(PO!$R78="","",PO!$R78))</f>
        <v/>
      </c>
      <c r="G78" s="38" t="str">
        <f aca="false">IF($A78="","",PO!$L78)</f>
        <v/>
      </c>
      <c r="H78" s="38" t="str">
        <f aca="false">IF($A78="","",SUMIFS('Thanh toán'!$H$4:$H$203,'Thanh toán'!$C$4:$C$203,$A78))</f>
        <v/>
      </c>
      <c r="I78" s="38" t="str">
        <f aca="false">IF($A78="","",IFERROR($G78-$H78,""))</f>
        <v/>
      </c>
      <c r="J78" s="41" t="str">
        <f aca="false">IF($A78="","",IF(PO!$AA78="","",PO!$AA78))</f>
        <v/>
      </c>
      <c r="K78" s="38" t="str">
        <f aca="true">IF($A78="","",IF($I78&lt;=0,0,IF($J78="",0,MAX(0,TODAY()-$J78))))</f>
        <v/>
      </c>
      <c r="L78" s="37" t="str">
        <f aca="false">IF($A78="","",IF($I78&lt;=0,"Đã thanh toán",IF($K78=0,"Trong hạn",IF($K78&lt;=30,"1-30",IF($K78&lt;=60,"31-60",IF($K78&lt;=90,"61-90","&gt;90"))))))</f>
        <v/>
      </c>
      <c r="M78" s="37" t="str">
        <f aca="false">IF($A78="","",IF($I78&lt;=0,"Đã thanh toán đủ",IF($K78&gt;0,"QUÁ HẠN","Còn nợ, trong hạn")))</f>
        <v/>
      </c>
    </row>
    <row r="79" customFormat="false" ht="15" hidden="false" customHeight="false" outlineLevel="0" collapsed="false">
      <c r="A79" s="37" t="str">
        <f aca="false">IF(PO!$A79="","",PO!$A79)</f>
        <v/>
      </c>
      <c r="B79" s="37" t="str">
        <f aca="false">IF($A79="","",PO!$D79)</f>
        <v/>
      </c>
      <c r="C79" s="37" t="str">
        <f aca="false">IF($A79="","",PO!$E79)</f>
        <v/>
      </c>
      <c r="D79" s="37" t="str">
        <f aca="false">IF($A79="","",PO!$H79)</f>
        <v/>
      </c>
      <c r="E79" s="37" t="str">
        <f aca="false">IF($A79="","",PO!$I79)</f>
        <v/>
      </c>
      <c r="F79" s="41" t="str">
        <f aca="false">IF($A79="","",IF(PO!$R79="","",PO!$R79))</f>
        <v/>
      </c>
      <c r="G79" s="38" t="str">
        <f aca="false">IF($A79="","",PO!$L79)</f>
        <v/>
      </c>
      <c r="H79" s="38" t="str">
        <f aca="false">IF($A79="","",SUMIFS('Thanh toán'!$H$4:$H$203,'Thanh toán'!$C$4:$C$203,$A79))</f>
        <v/>
      </c>
      <c r="I79" s="38" t="str">
        <f aca="false">IF($A79="","",IFERROR($G79-$H79,""))</f>
        <v/>
      </c>
      <c r="J79" s="41" t="str">
        <f aca="false">IF($A79="","",IF(PO!$AA79="","",PO!$AA79))</f>
        <v/>
      </c>
      <c r="K79" s="38" t="str">
        <f aca="true">IF($A79="","",IF($I79&lt;=0,0,IF($J79="",0,MAX(0,TODAY()-$J79))))</f>
        <v/>
      </c>
      <c r="L79" s="37" t="str">
        <f aca="false">IF($A79="","",IF($I79&lt;=0,"Đã thanh toán",IF($K79=0,"Trong hạn",IF($K79&lt;=30,"1-30",IF($K79&lt;=60,"31-60",IF($K79&lt;=90,"61-90","&gt;90"))))))</f>
        <v/>
      </c>
      <c r="M79" s="37" t="str">
        <f aca="false">IF($A79="","",IF($I79&lt;=0,"Đã thanh toán đủ",IF($K79&gt;0,"QUÁ HẠN","Còn nợ, trong hạn")))</f>
        <v/>
      </c>
    </row>
    <row r="80" customFormat="false" ht="15" hidden="false" customHeight="false" outlineLevel="0" collapsed="false">
      <c r="A80" s="37" t="str">
        <f aca="false">IF(PO!$A80="","",PO!$A80)</f>
        <v/>
      </c>
      <c r="B80" s="37" t="str">
        <f aca="false">IF($A80="","",PO!$D80)</f>
        <v/>
      </c>
      <c r="C80" s="37" t="str">
        <f aca="false">IF($A80="","",PO!$E80)</f>
        <v/>
      </c>
      <c r="D80" s="37" t="str">
        <f aca="false">IF($A80="","",PO!$H80)</f>
        <v/>
      </c>
      <c r="E80" s="37" t="str">
        <f aca="false">IF($A80="","",PO!$I80)</f>
        <v/>
      </c>
      <c r="F80" s="41" t="str">
        <f aca="false">IF($A80="","",IF(PO!$R80="","",PO!$R80))</f>
        <v/>
      </c>
      <c r="G80" s="38" t="str">
        <f aca="false">IF($A80="","",PO!$L80)</f>
        <v/>
      </c>
      <c r="H80" s="38" t="str">
        <f aca="false">IF($A80="","",SUMIFS('Thanh toán'!$H$4:$H$203,'Thanh toán'!$C$4:$C$203,$A80))</f>
        <v/>
      </c>
      <c r="I80" s="38" t="str">
        <f aca="false">IF($A80="","",IFERROR($G80-$H80,""))</f>
        <v/>
      </c>
      <c r="J80" s="41" t="str">
        <f aca="false">IF($A80="","",IF(PO!$AA80="","",PO!$AA80))</f>
        <v/>
      </c>
      <c r="K80" s="38" t="str">
        <f aca="true">IF($A80="","",IF($I80&lt;=0,0,IF($J80="",0,MAX(0,TODAY()-$J80))))</f>
        <v/>
      </c>
      <c r="L80" s="37" t="str">
        <f aca="false">IF($A80="","",IF($I80&lt;=0,"Đã thanh toán",IF($K80=0,"Trong hạn",IF($K80&lt;=30,"1-30",IF($K80&lt;=60,"31-60",IF($K80&lt;=90,"61-90","&gt;90"))))))</f>
        <v/>
      </c>
      <c r="M80" s="37" t="str">
        <f aca="false">IF($A80="","",IF($I80&lt;=0,"Đã thanh toán đủ",IF($K80&gt;0,"QUÁ HẠN","Còn nợ, trong hạn")))</f>
        <v/>
      </c>
    </row>
    <row r="81" customFormat="false" ht="15" hidden="false" customHeight="false" outlineLevel="0" collapsed="false">
      <c r="A81" s="37" t="str">
        <f aca="false">IF(PO!$A81="","",PO!$A81)</f>
        <v/>
      </c>
      <c r="B81" s="37" t="str">
        <f aca="false">IF($A81="","",PO!$D81)</f>
        <v/>
      </c>
      <c r="C81" s="37" t="str">
        <f aca="false">IF($A81="","",PO!$E81)</f>
        <v/>
      </c>
      <c r="D81" s="37" t="str">
        <f aca="false">IF($A81="","",PO!$H81)</f>
        <v/>
      </c>
      <c r="E81" s="37" t="str">
        <f aca="false">IF($A81="","",PO!$I81)</f>
        <v/>
      </c>
      <c r="F81" s="41" t="str">
        <f aca="false">IF($A81="","",IF(PO!$R81="","",PO!$R81))</f>
        <v/>
      </c>
      <c r="G81" s="38" t="str">
        <f aca="false">IF($A81="","",PO!$L81)</f>
        <v/>
      </c>
      <c r="H81" s="38" t="str">
        <f aca="false">IF($A81="","",SUMIFS('Thanh toán'!$H$4:$H$203,'Thanh toán'!$C$4:$C$203,$A81))</f>
        <v/>
      </c>
      <c r="I81" s="38" t="str">
        <f aca="false">IF($A81="","",IFERROR($G81-$H81,""))</f>
        <v/>
      </c>
      <c r="J81" s="41" t="str">
        <f aca="false">IF($A81="","",IF(PO!$AA81="","",PO!$AA81))</f>
        <v/>
      </c>
      <c r="K81" s="38" t="str">
        <f aca="true">IF($A81="","",IF($I81&lt;=0,0,IF($J81="",0,MAX(0,TODAY()-$J81))))</f>
        <v/>
      </c>
      <c r="L81" s="37" t="str">
        <f aca="false">IF($A81="","",IF($I81&lt;=0,"Đã thanh toán",IF($K81=0,"Trong hạn",IF($K81&lt;=30,"1-30",IF($K81&lt;=60,"31-60",IF($K81&lt;=90,"61-90","&gt;90"))))))</f>
        <v/>
      </c>
      <c r="M81" s="37" t="str">
        <f aca="false">IF($A81="","",IF($I81&lt;=0,"Đã thanh toán đủ",IF($K81&gt;0,"QUÁ HẠN","Còn nợ, trong hạn")))</f>
        <v/>
      </c>
    </row>
    <row r="82" customFormat="false" ht="15" hidden="false" customHeight="false" outlineLevel="0" collapsed="false">
      <c r="A82" s="37" t="str">
        <f aca="false">IF(PO!$A82="","",PO!$A82)</f>
        <v/>
      </c>
      <c r="B82" s="37" t="str">
        <f aca="false">IF($A82="","",PO!$D82)</f>
        <v/>
      </c>
      <c r="C82" s="37" t="str">
        <f aca="false">IF($A82="","",PO!$E82)</f>
        <v/>
      </c>
      <c r="D82" s="37" t="str">
        <f aca="false">IF($A82="","",PO!$H82)</f>
        <v/>
      </c>
      <c r="E82" s="37" t="str">
        <f aca="false">IF($A82="","",PO!$I82)</f>
        <v/>
      </c>
      <c r="F82" s="41" t="str">
        <f aca="false">IF($A82="","",IF(PO!$R82="","",PO!$R82))</f>
        <v/>
      </c>
      <c r="G82" s="38" t="str">
        <f aca="false">IF($A82="","",PO!$L82)</f>
        <v/>
      </c>
      <c r="H82" s="38" t="str">
        <f aca="false">IF($A82="","",SUMIFS('Thanh toán'!$H$4:$H$203,'Thanh toán'!$C$4:$C$203,$A82))</f>
        <v/>
      </c>
      <c r="I82" s="38" t="str">
        <f aca="false">IF($A82="","",IFERROR($G82-$H82,""))</f>
        <v/>
      </c>
      <c r="J82" s="41" t="str">
        <f aca="false">IF($A82="","",IF(PO!$AA82="","",PO!$AA82))</f>
        <v/>
      </c>
      <c r="K82" s="38" t="str">
        <f aca="true">IF($A82="","",IF($I82&lt;=0,0,IF($J82="",0,MAX(0,TODAY()-$J82))))</f>
        <v/>
      </c>
      <c r="L82" s="37" t="str">
        <f aca="false">IF($A82="","",IF($I82&lt;=0,"Đã thanh toán",IF($K82=0,"Trong hạn",IF($K82&lt;=30,"1-30",IF($K82&lt;=60,"31-60",IF($K82&lt;=90,"61-90","&gt;90"))))))</f>
        <v/>
      </c>
      <c r="M82" s="37" t="str">
        <f aca="false">IF($A82="","",IF($I82&lt;=0,"Đã thanh toán đủ",IF($K82&gt;0,"QUÁ HẠN","Còn nợ, trong hạn")))</f>
        <v/>
      </c>
    </row>
    <row r="83" customFormat="false" ht="15" hidden="false" customHeight="false" outlineLevel="0" collapsed="false">
      <c r="A83" s="37" t="str">
        <f aca="false">IF(PO!$A83="","",PO!$A83)</f>
        <v/>
      </c>
      <c r="B83" s="37" t="str">
        <f aca="false">IF($A83="","",PO!$D83)</f>
        <v/>
      </c>
      <c r="C83" s="37" t="str">
        <f aca="false">IF($A83="","",PO!$E83)</f>
        <v/>
      </c>
      <c r="D83" s="37" t="str">
        <f aca="false">IF($A83="","",PO!$H83)</f>
        <v/>
      </c>
      <c r="E83" s="37" t="str">
        <f aca="false">IF($A83="","",PO!$I83)</f>
        <v/>
      </c>
      <c r="F83" s="41" t="str">
        <f aca="false">IF($A83="","",IF(PO!$R83="","",PO!$R83))</f>
        <v/>
      </c>
      <c r="G83" s="38" t="str">
        <f aca="false">IF($A83="","",PO!$L83)</f>
        <v/>
      </c>
      <c r="H83" s="38" t="str">
        <f aca="false">IF($A83="","",SUMIFS('Thanh toán'!$H$4:$H$203,'Thanh toán'!$C$4:$C$203,$A83))</f>
        <v/>
      </c>
      <c r="I83" s="38" t="str">
        <f aca="false">IF($A83="","",IFERROR($G83-$H83,""))</f>
        <v/>
      </c>
      <c r="J83" s="41" t="str">
        <f aca="false">IF($A83="","",IF(PO!$AA83="","",PO!$AA83))</f>
        <v/>
      </c>
      <c r="K83" s="38" t="str">
        <f aca="true">IF($A83="","",IF($I83&lt;=0,0,IF($J83="",0,MAX(0,TODAY()-$J83))))</f>
        <v/>
      </c>
      <c r="L83" s="37" t="str">
        <f aca="false">IF($A83="","",IF($I83&lt;=0,"Đã thanh toán",IF($K83=0,"Trong hạn",IF($K83&lt;=30,"1-30",IF($K83&lt;=60,"31-60",IF($K83&lt;=90,"61-90","&gt;90"))))))</f>
        <v/>
      </c>
      <c r="M83" s="37" t="str">
        <f aca="false">IF($A83="","",IF($I83&lt;=0,"Đã thanh toán đủ",IF($K83&gt;0,"QUÁ HẠN","Còn nợ, trong hạn")))</f>
        <v/>
      </c>
    </row>
    <row r="84" customFormat="false" ht="15" hidden="false" customHeight="false" outlineLevel="0" collapsed="false">
      <c r="A84" s="37" t="str">
        <f aca="false">IF(PO!$A84="","",PO!$A84)</f>
        <v/>
      </c>
      <c r="B84" s="37" t="str">
        <f aca="false">IF($A84="","",PO!$D84)</f>
        <v/>
      </c>
      <c r="C84" s="37" t="str">
        <f aca="false">IF($A84="","",PO!$E84)</f>
        <v/>
      </c>
      <c r="D84" s="37" t="str">
        <f aca="false">IF($A84="","",PO!$H84)</f>
        <v/>
      </c>
      <c r="E84" s="37" t="str">
        <f aca="false">IF($A84="","",PO!$I84)</f>
        <v/>
      </c>
      <c r="F84" s="41" t="str">
        <f aca="false">IF($A84="","",IF(PO!$R84="","",PO!$R84))</f>
        <v/>
      </c>
      <c r="G84" s="38" t="str">
        <f aca="false">IF($A84="","",PO!$L84)</f>
        <v/>
      </c>
      <c r="H84" s="38" t="str">
        <f aca="false">IF($A84="","",SUMIFS('Thanh toán'!$H$4:$H$203,'Thanh toán'!$C$4:$C$203,$A84))</f>
        <v/>
      </c>
      <c r="I84" s="38" t="str">
        <f aca="false">IF($A84="","",IFERROR($G84-$H84,""))</f>
        <v/>
      </c>
      <c r="J84" s="41" t="str">
        <f aca="false">IF($A84="","",IF(PO!$AA84="","",PO!$AA84))</f>
        <v/>
      </c>
      <c r="K84" s="38" t="str">
        <f aca="true">IF($A84="","",IF($I84&lt;=0,0,IF($J84="",0,MAX(0,TODAY()-$J84))))</f>
        <v/>
      </c>
      <c r="L84" s="37" t="str">
        <f aca="false">IF($A84="","",IF($I84&lt;=0,"Đã thanh toán",IF($K84=0,"Trong hạn",IF($K84&lt;=30,"1-30",IF($K84&lt;=60,"31-60",IF($K84&lt;=90,"61-90","&gt;90"))))))</f>
        <v/>
      </c>
      <c r="M84" s="37" t="str">
        <f aca="false">IF($A84="","",IF($I84&lt;=0,"Đã thanh toán đủ",IF($K84&gt;0,"QUÁ HẠN","Còn nợ, trong hạn")))</f>
        <v/>
      </c>
    </row>
    <row r="85" customFormat="false" ht="15" hidden="false" customHeight="false" outlineLevel="0" collapsed="false">
      <c r="A85" s="37" t="str">
        <f aca="false">IF(PO!$A85="","",PO!$A85)</f>
        <v/>
      </c>
      <c r="B85" s="37" t="str">
        <f aca="false">IF($A85="","",PO!$D85)</f>
        <v/>
      </c>
      <c r="C85" s="37" t="str">
        <f aca="false">IF($A85="","",PO!$E85)</f>
        <v/>
      </c>
      <c r="D85" s="37" t="str">
        <f aca="false">IF($A85="","",PO!$H85)</f>
        <v/>
      </c>
      <c r="E85" s="37" t="str">
        <f aca="false">IF($A85="","",PO!$I85)</f>
        <v/>
      </c>
      <c r="F85" s="41" t="str">
        <f aca="false">IF($A85="","",IF(PO!$R85="","",PO!$R85))</f>
        <v/>
      </c>
      <c r="G85" s="38" t="str">
        <f aca="false">IF($A85="","",PO!$L85)</f>
        <v/>
      </c>
      <c r="H85" s="38" t="str">
        <f aca="false">IF($A85="","",SUMIFS('Thanh toán'!$H$4:$H$203,'Thanh toán'!$C$4:$C$203,$A85))</f>
        <v/>
      </c>
      <c r="I85" s="38" t="str">
        <f aca="false">IF($A85="","",IFERROR($G85-$H85,""))</f>
        <v/>
      </c>
      <c r="J85" s="41" t="str">
        <f aca="false">IF($A85="","",IF(PO!$AA85="","",PO!$AA85))</f>
        <v/>
      </c>
      <c r="K85" s="38" t="str">
        <f aca="true">IF($A85="","",IF($I85&lt;=0,0,IF($J85="",0,MAX(0,TODAY()-$J85))))</f>
        <v/>
      </c>
      <c r="L85" s="37" t="str">
        <f aca="false">IF($A85="","",IF($I85&lt;=0,"Đã thanh toán",IF($K85=0,"Trong hạn",IF($K85&lt;=30,"1-30",IF($K85&lt;=60,"31-60",IF($K85&lt;=90,"61-90","&gt;90"))))))</f>
        <v/>
      </c>
      <c r="M85" s="37" t="str">
        <f aca="false">IF($A85="","",IF($I85&lt;=0,"Đã thanh toán đủ",IF($K85&gt;0,"QUÁ HẠN","Còn nợ, trong hạn")))</f>
        <v/>
      </c>
    </row>
    <row r="86" customFormat="false" ht="15" hidden="false" customHeight="false" outlineLevel="0" collapsed="false">
      <c r="A86" s="37" t="str">
        <f aca="false">IF(PO!$A86="","",PO!$A86)</f>
        <v/>
      </c>
      <c r="B86" s="37" t="str">
        <f aca="false">IF($A86="","",PO!$D86)</f>
        <v/>
      </c>
      <c r="C86" s="37" t="str">
        <f aca="false">IF($A86="","",PO!$E86)</f>
        <v/>
      </c>
      <c r="D86" s="37" t="str">
        <f aca="false">IF($A86="","",PO!$H86)</f>
        <v/>
      </c>
      <c r="E86" s="37" t="str">
        <f aca="false">IF($A86="","",PO!$I86)</f>
        <v/>
      </c>
      <c r="F86" s="41" t="str">
        <f aca="false">IF($A86="","",IF(PO!$R86="","",PO!$R86))</f>
        <v/>
      </c>
      <c r="G86" s="38" t="str">
        <f aca="false">IF($A86="","",PO!$L86)</f>
        <v/>
      </c>
      <c r="H86" s="38" t="str">
        <f aca="false">IF($A86="","",SUMIFS('Thanh toán'!$H$4:$H$203,'Thanh toán'!$C$4:$C$203,$A86))</f>
        <v/>
      </c>
      <c r="I86" s="38" t="str">
        <f aca="false">IF($A86="","",IFERROR($G86-$H86,""))</f>
        <v/>
      </c>
      <c r="J86" s="41" t="str">
        <f aca="false">IF($A86="","",IF(PO!$AA86="","",PO!$AA86))</f>
        <v/>
      </c>
      <c r="K86" s="38" t="str">
        <f aca="true">IF($A86="","",IF($I86&lt;=0,0,IF($J86="",0,MAX(0,TODAY()-$J86))))</f>
        <v/>
      </c>
      <c r="L86" s="37" t="str">
        <f aca="false">IF($A86="","",IF($I86&lt;=0,"Đã thanh toán",IF($K86=0,"Trong hạn",IF($K86&lt;=30,"1-30",IF($K86&lt;=60,"31-60",IF($K86&lt;=90,"61-90","&gt;90"))))))</f>
        <v/>
      </c>
      <c r="M86" s="37" t="str">
        <f aca="false">IF($A86="","",IF($I86&lt;=0,"Đã thanh toán đủ",IF($K86&gt;0,"QUÁ HẠN","Còn nợ, trong hạn")))</f>
        <v/>
      </c>
    </row>
    <row r="87" customFormat="false" ht="15" hidden="false" customHeight="false" outlineLevel="0" collapsed="false">
      <c r="A87" s="37" t="str">
        <f aca="false">IF(PO!$A87="","",PO!$A87)</f>
        <v/>
      </c>
      <c r="B87" s="37" t="str">
        <f aca="false">IF($A87="","",PO!$D87)</f>
        <v/>
      </c>
      <c r="C87" s="37" t="str">
        <f aca="false">IF($A87="","",PO!$E87)</f>
        <v/>
      </c>
      <c r="D87" s="37" t="str">
        <f aca="false">IF($A87="","",PO!$H87)</f>
        <v/>
      </c>
      <c r="E87" s="37" t="str">
        <f aca="false">IF($A87="","",PO!$I87)</f>
        <v/>
      </c>
      <c r="F87" s="41" t="str">
        <f aca="false">IF($A87="","",IF(PO!$R87="","",PO!$R87))</f>
        <v/>
      </c>
      <c r="G87" s="38" t="str">
        <f aca="false">IF($A87="","",PO!$L87)</f>
        <v/>
      </c>
      <c r="H87" s="38" t="str">
        <f aca="false">IF($A87="","",SUMIFS('Thanh toán'!$H$4:$H$203,'Thanh toán'!$C$4:$C$203,$A87))</f>
        <v/>
      </c>
      <c r="I87" s="38" t="str">
        <f aca="false">IF($A87="","",IFERROR($G87-$H87,""))</f>
        <v/>
      </c>
      <c r="J87" s="41" t="str">
        <f aca="false">IF($A87="","",IF(PO!$AA87="","",PO!$AA87))</f>
        <v/>
      </c>
      <c r="K87" s="38" t="str">
        <f aca="true">IF($A87="","",IF($I87&lt;=0,0,IF($J87="",0,MAX(0,TODAY()-$J87))))</f>
        <v/>
      </c>
      <c r="L87" s="37" t="str">
        <f aca="false">IF($A87="","",IF($I87&lt;=0,"Đã thanh toán",IF($K87=0,"Trong hạn",IF($K87&lt;=30,"1-30",IF($K87&lt;=60,"31-60",IF($K87&lt;=90,"61-90","&gt;90"))))))</f>
        <v/>
      </c>
      <c r="M87" s="37" t="str">
        <f aca="false">IF($A87="","",IF($I87&lt;=0,"Đã thanh toán đủ",IF($K87&gt;0,"QUÁ HẠN","Còn nợ, trong hạn")))</f>
        <v/>
      </c>
    </row>
    <row r="88" customFormat="false" ht="15" hidden="false" customHeight="false" outlineLevel="0" collapsed="false">
      <c r="A88" s="37" t="str">
        <f aca="false">IF(PO!$A88="","",PO!$A88)</f>
        <v/>
      </c>
      <c r="B88" s="37" t="str">
        <f aca="false">IF($A88="","",PO!$D88)</f>
        <v/>
      </c>
      <c r="C88" s="37" t="str">
        <f aca="false">IF($A88="","",PO!$E88)</f>
        <v/>
      </c>
      <c r="D88" s="37" t="str">
        <f aca="false">IF($A88="","",PO!$H88)</f>
        <v/>
      </c>
      <c r="E88" s="37" t="str">
        <f aca="false">IF($A88="","",PO!$I88)</f>
        <v/>
      </c>
      <c r="F88" s="41" t="str">
        <f aca="false">IF($A88="","",IF(PO!$R88="","",PO!$R88))</f>
        <v/>
      </c>
      <c r="G88" s="38" t="str">
        <f aca="false">IF($A88="","",PO!$L88)</f>
        <v/>
      </c>
      <c r="H88" s="38" t="str">
        <f aca="false">IF($A88="","",SUMIFS('Thanh toán'!$H$4:$H$203,'Thanh toán'!$C$4:$C$203,$A88))</f>
        <v/>
      </c>
      <c r="I88" s="38" t="str">
        <f aca="false">IF($A88="","",IFERROR($G88-$H88,""))</f>
        <v/>
      </c>
      <c r="J88" s="41" t="str">
        <f aca="false">IF($A88="","",IF(PO!$AA88="","",PO!$AA88))</f>
        <v/>
      </c>
      <c r="K88" s="38" t="str">
        <f aca="true">IF($A88="","",IF($I88&lt;=0,0,IF($J88="",0,MAX(0,TODAY()-$J88))))</f>
        <v/>
      </c>
      <c r="L88" s="37" t="str">
        <f aca="false">IF($A88="","",IF($I88&lt;=0,"Đã thanh toán",IF($K88=0,"Trong hạn",IF($K88&lt;=30,"1-30",IF($K88&lt;=60,"31-60",IF($K88&lt;=90,"61-90","&gt;90"))))))</f>
        <v/>
      </c>
      <c r="M88" s="37" t="str">
        <f aca="false">IF($A88="","",IF($I88&lt;=0,"Đã thanh toán đủ",IF($K88&gt;0,"QUÁ HẠN","Còn nợ, trong hạn")))</f>
        <v/>
      </c>
    </row>
    <row r="89" customFormat="false" ht="15" hidden="false" customHeight="false" outlineLevel="0" collapsed="false">
      <c r="A89" s="37" t="str">
        <f aca="false">IF(PO!$A89="","",PO!$A89)</f>
        <v/>
      </c>
      <c r="B89" s="37" t="str">
        <f aca="false">IF($A89="","",PO!$D89)</f>
        <v/>
      </c>
      <c r="C89" s="37" t="str">
        <f aca="false">IF($A89="","",PO!$E89)</f>
        <v/>
      </c>
      <c r="D89" s="37" t="str">
        <f aca="false">IF($A89="","",PO!$H89)</f>
        <v/>
      </c>
      <c r="E89" s="37" t="str">
        <f aca="false">IF($A89="","",PO!$I89)</f>
        <v/>
      </c>
      <c r="F89" s="41" t="str">
        <f aca="false">IF($A89="","",IF(PO!$R89="","",PO!$R89))</f>
        <v/>
      </c>
      <c r="G89" s="38" t="str">
        <f aca="false">IF($A89="","",PO!$L89)</f>
        <v/>
      </c>
      <c r="H89" s="38" t="str">
        <f aca="false">IF($A89="","",SUMIFS('Thanh toán'!$H$4:$H$203,'Thanh toán'!$C$4:$C$203,$A89))</f>
        <v/>
      </c>
      <c r="I89" s="38" t="str">
        <f aca="false">IF($A89="","",IFERROR($G89-$H89,""))</f>
        <v/>
      </c>
      <c r="J89" s="41" t="str">
        <f aca="false">IF($A89="","",IF(PO!$AA89="","",PO!$AA89))</f>
        <v/>
      </c>
      <c r="K89" s="38" t="str">
        <f aca="true">IF($A89="","",IF($I89&lt;=0,0,IF($J89="",0,MAX(0,TODAY()-$J89))))</f>
        <v/>
      </c>
      <c r="L89" s="37" t="str">
        <f aca="false">IF($A89="","",IF($I89&lt;=0,"Đã thanh toán",IF($K89=0,"Trong hạn",IF($K89&lt;=30,"1-30",IF($K89&lt;=60,"31-60",IF($K89&lt;=90,"61-90","&gt;90"))))))</f>
        <v/>
      </c>
      <c r="M89" s="37" t="str">
        <f aca="false">IF($A89="","",IF($I89&lt;=0,"Đã thanh toán đủ",IF($K89&gt;0,"QUÁ HẠN","Còn nợ, trong hạn")))</f>
        <v/>
      </c>
    </row>
    <row r="90" customFormat="false" ht="15" hidden="false" customHeight="false" outlineLevel="0" collapsed="false">
      <c r="A90" s="37" t="str">
        <f aca="false">IF(PO!$A90="","",PO!$A90)</f>
        <v/>
      </c>
      <c r="B90" s="37" t="str">
        <f aca="false">IF($A90="","",PO!$D90)</f>
        <v/>
      </c>
      <c r="C90" s="37" t="str">
        <f aca="false">IF($A90="","",PO!$E90)</f>
        <v/>
      </c>
      <c r="D90" s="37" t="str">
        <f aca="false">IF($A90="","",PO!$H90)</f>
        <v/>
      </c>
      <c r="E90" s="37" t="str">
        <f aca="false">IF($A90="","",PO!$I90)</f>
        <v/>
      </c>
      <c r="F90" s="41" t="str">
        <f aca="false">IF($A90="","",IF(PO!$R90="","",PO!$R90))</f>
        <v/>
      </c>
      <c r="G90" s="38" t="str">
        <f aca="false">IF($A90="","",PO!$L90)</f>
        <v/>
      </c>
      <c r="H90" s="38" t="str">
        <f aca="false">IF($A90="","",SUMIFS('Thanh toán'!$H$4:$H$203,'Thanh toán'!$C$4:$C$203,$A90))</f>
        <v/>
      </c>
      <c r="I90" s="38" t="str">
        <f aca="false">IF($A90="","",IFERROR($G90-$H90,""))</f>
        <v/>
      </c>
      <c r="J90" s="41" t="str">
        <f aca="false">IF($A90="","",IF(PO!$AA90="","",PO!$AA90))</f>
        <v/>
      </c>
      <c r="K90" s="38" t="str">
        <f aca="true">IF($A90="","",IF($I90&lt;=0,0,IF($J90="",0,MAX(0,TODAY()-$J90))))</f>
        <v/>
      </c>
      <c r="L90" s="37" t="str">
        <f aca="false">IF($A90="","",IF($I90&lt;=0,"Đã thanh toán",IF($K90=0,"Trong hạn",IF($K90&lt;=30,"1-30",IF($K90&lt;=60,"31-60",IF($K90&lt;=90,"61-90","&gt;90"))))))</f>
        <v/>
      </c>
      <c r="M90" s="37" t="str">
        <f aca="false">IF($A90="","",IF($I90&lt;=0,"Đã thanh toán đủ",IF($K90&gt;0,"QUÁ HẠN","Còn nợ, trong hạn")))</f>
        <v/>
      </c>
    </row>
    <row r="91" customFormat="false" ht="15" hidden="false" customHeight="false" outlineLevel="0" collapsed="false">
      <c r="A91" s="37" t="str">
        <f aca="false">IF(PO!$A91="","",PO!$A91)</f>
        <v/>
      </c>
      <c r="B91" s="37" t="str">
        <f aca="false">IF($A91="","",PO!$D91)</f>
        <v/>
      </c>
      <c r="C91" s="37" t="str">
        <f aca="false">IF($A91="","",PO!$E91)</f>
        <v/>
      </c>
      <c r="D91" s="37" t="str">
        <f aca="false">IF($A91="","",PO!$H91)</f>
        <v/>
      </c>
      <c r="E91" s="37" t="str">
        <f aca="false">IF($A91="","",PO!$I91)</f>
        <v/>
      </c>
      <c r="F91" s="41" t="str">
        <f aca="false">IF($A91="","",IF(PO!$R91="","",PO!$R91))</f>
        <v/>
      </c>
      <c r="G91" s="38" t="str">
        <f aca="false">IF($A91="","",PO!$L91)</f>
        <v/>
      </c>
      <c r="H91" s="38" t="str">
        <f aca="false">IF($A91="","",SUMIFS('Thanh toán'!$H$4:$H$203,'Thanh toán'!$C$4:$C$203,$A91))</f>
        <v/>
      </c>
      <c r="I91" s="38" t="str">
        <f aca="false">IF($A91="","",IFERROR($G91-$H91,""))</f>
        <v/>
      </c>
      <c r="J91" s="41" t="str">
        <f aca="false">IF($A91="","",IF(PO!$AA91="","",PO!$AA91))</f>
        <v/>
      </c>
      <c r="K91" s="38" t="str">
        <f aca="true">IF($A91="","",IF($I91&lt;=0,0,IF($J91="",0,MAX(0,TODAY()-$J91))))</f>
        <v/>
      </c>
      <c r="L91" s="37" t="str">
        <f aca="false">IF($A91="","",IF($I91&lt;=0,"Đã thanh toán",IF($K91=0,"Trong hạn",IF($K91&lt;=30,"1-30",IF($K91&lt;=60,"31-60",IF($K91&lt;=90,"61-90","&gt;90"))))))</f>
        <v/>
      </c>
      <c r="M91" s="37" t="str">
        <f aca="false">IF($A91="","",IF($I91&lt;=0,"Đã thanh toán đủ",IF($K91&gt;0,"QUÁ HẠN","Còn nợ, trong hạn")))</f>
        <v/>
      </c>
    </row>
    <row r="92" customFormat="false" ht="15" hidden="false" customHeight="false" outlineLevel="0" collapsed="false">
      <c r="A92" s="37" t="str">
        <f aca="false">IF(PO!$A92="","",PO!$A92)</f>
        <v/>
      </c>
      <c r="B92" s="37" t="str">
        <f aca="false">IF($A92="","",PO!$D92)</f>
        <v/>
      </c>
      <c r="C92" s="37" t="str">
        <f aca="false">IF($A92="","",PO!$E92)</f>
        <v/>
      </c>
      <c r="D92" s="37" t="str">
        <f aca="false">IF($A92="","",PO!$H92)</f>
        <v/>
      </c>
      <c r="E92" s="37" t="str">
        <f aca="false">IF($A92="","",PO!$I92)</f>
        <v/>
      </c>
      <c r="F92" s="41" t="str">
        <f aca="false">IF($A92="","",IF(PO!$R92="","",PO!$R92))</f>
        <v/>
      </c>
      <c r="G92" s="38" t="str">
        <f aca="false">IF($A92="","",PO!$L92)</f>
        <v/>
      </c>
      <c r="H92" s="38" t="str">
        <f aca="false">IF($A92="","",SUMIFS('Thanh toán'!$H$4:$H$203,'Thanh toán'!$C$4:$C$203,$A92))</f>
        <v/>
      </c>
      <c r="I92" s="38" t="str">
        <f aca="false">IF($A92="","",IFERROR($G92-$H92,""))</f>
        <v/>
      </c>
      <c r="J92" s="41" t="str">
        <f aca="false">IF($A92="","",IF(PO!$AA92="","",PO!$AA92))</f>
        <v/>
      </c>
      <c r="K92" s="38" t="str">
        <f aca="true">IF($A92="","",IF($I92&lt;=0,0,IF($J92="",0,MAX(0,TODAY()-$J92))))</f>
        <v/>
      </c>
      <c r="L92" s="37" t="str">
        <f aca="false">IF($A92="","",IF($I92&lt;=0,"Đã thanh toán",IF($K92=0,"Trong hạn",IF($K92&lt;=30,"1-30",IF($K92&lt;=60,"31-60",IF($K92&lt;=90,"61-90","&gt;90"))))))</f>
        <v/>
      </c>
      <c r="M92" s="37" t="str">
        <f aca="false">IF($A92="","",IF($I92&lt;=0,"Đã thanh toán đủ",IF($K92&gt;0,"QUÁ HẠN","Còn nợ, trong hạn")))</f>
        <v/>
      </c>
    </row>
    <row r="93" customFormat="false" ht="15" hidden="false" customHeight="false" outlineLevel="0" collapsed="false">
      <c r="A93" s="37" t="str">
        <f aca="false">IF(PO!$A93="","",PO!$A93)</f>
        <v/>
      </c>
      <c r="B93" s="37" t="str">
        <f aca="false">IF($A93="","",PO!$D93)</f>
        <v/>
      </c>
      <c r="C93" s="37" t="str">
        <f aca="false">IF($A93="","",PO!$E93)</f>
        <v/>
      </c>
      <c r="D93" s="37" t="str">
        <f aca="false">IF($A93="","",PO!$H93)</f>
        <v/>
      </c>
      <c r="E93" s="37" t="str">
        <f aca="false">IF($A93="","",PO!$I93)</f>
        <v/>
      </c>
      <c r="F93" s="41" t="str">
        <f aca="false">IF($A93="","",IF(PO!$R93="","",PO!$R93))</f>
        <v/>
      </c>
      <c r="G93" s="38" t="str">
        <f aca="false">IF($A93="","",PO!$L93)</f>
        <v/>
      </c>
      <c r="H93" s="38" t="str">
        <f aca="false">IF($A93="","",SUMIFS('Thanh toán'!$H$4:$H$203,'Thanh toán'!$C$4:$C$203,$A93))</f>
        <v/>
      </c>
      <c r="I93" s="38" t="str">
        <f aca="false">IF($A93="","",IFERROR($G93-$H93,""))</f>
        <v/>
      </c>
      <c r="J93" s="41" t="str">
        <f aca="false">IF($A93="","",IF(PO!$AA93="","",PO!$AA93))</f>
        <v/>
      </c>
      <c r="K93" s="38" t="str">
        <f aca="true">IF($A93="","",IF($I93&lt;=0,0,IF($J93="",0,MAX(0,TODAY()-$J93))))</f>
        <v/>
      </c>
      <c r="L93" s="37" t="str">
        <f aca="false">IF($A93="","",IF($I93&lt;=0,"Đã thanh toán",IF($K93=0,"Trong hạn",IF($K93&lt;=30,"1-30",IF($K93&lt;=60,"31-60",IF($K93&lt;=90,"61-90","&gt;90"))))))</f>
        <v/>
      </c>
      <c r="M93" s="37" t="str">
        <f aca="false">IF($A93="","",IF($I93&lt;=0,"Đã thanh toán đủ",IF($K93&gt;0,"QUÁ HẠN","Còn nợ, trong hạn")))</f>
        <v/>
      </c>
    </row>
    <row r="94" customFormat="false" ht="15" hidden="false" customHeight="false" outlineLevel="0" collapsed="false">
      <c r="A94" s="37" t="str">
        <f aca="false">IF(PO!$A94="","",PO!$A94)</f>
        <v/>
      </c>
      <c r="B94" s="37" t="str">
        <f aca="false">IF($A94="","",PO!$D94)</f>
        <v/>
      </c>
      <c r="C94" s="37" t="str">
        <f aca="false">IF($A94="","",PO!$E94)</f>
        <v/>
      </c>
      <c r="D94" s="37" t="str">
        <f aca="false">IF($A94="","",PO!$H94)</f>
        <v/>
      </c>
      <c r="E94" s="37" t="str">
        <f aca="false">IF($A94="","",PO!$I94)</f>
        <v/>
      </c>
      <c r="F94" s="41" t="str">
        <f aca="false">IF($A94="","",IF(PO!$R94="","",PO!$R94))</f>
        <v/>
      </c>
      <c r="G94" s="38" t="str">
        <f aca="false">IF($A94="","",PO!$L94)</f>
        <v/>
      </c>
      <c r="H94" s="38" t="str">
        <f aca="false">IF($A94="","",SUMIFS('Thanh toán'!$H$4:$H$203,'Thanh toán'!$C$4:$C$203,$A94))</f>
        <v/>
      </c>
      <c r="I94" s="38" t="str">
        <f aca="false">IF($A94="","",IFERROR($G94-$H94,""))</f>
        <v/>
      </c>
      <c r="J94" s="41" t="str">
        <f aca="false">IF($A94="","",IF(PO!$AA94="","",PO!$AA94))</f>
        <v/>
      </c>
      <c r="K94" s="38" t="str">
        <f aca="true">IF($A94="","",IF($I94&lt;=0,0,IF($J94="",0,MAX(0,TODAY()-$J94))))</f>
        <v/>
      </c>
      <c r="L94" s="37" t="str">
        <f aca="false">IF($A94="","",IF($I94&lt;=0,"Đã thanh toán",IF($K94=0,"Trong hạn",IF($K94&lt;=30,"1-30",IF($K94&lt;=60,"31-60",IF($K94&lt;=90,"61-90","&gt;90"))))))</f>
        <v/>
      </c>
      <c r="M94" s="37" t="str">
        <f aca="false">IF($A94="","",IF($I94&lt;=0,"Đã thanh toán đủ",IF($K94&gt;0,"QUÁ HẠN","Còn nợ, trong hạn")))</f>
        <v/>
      </c>
    </row>
    <row r="95" customFormat="false" ht="15" hidden="false" customHeight="false" outlineLevel="0" collapsed="false">
      <c r="A95" s="37" t="str">
        <f aca="false">IF(PO!$A95="","",PO!$A95)</f>
        <v/>
      </c>
      <c r="B95" s="37" t="str">
        <f aca="false">IF($A95="","",PO!$D95)</f>
        <v/>
      </c>
      <c r="C95" s="37" t="str">
        <f aca="false">IF($A95="","",PO!$E95)</f>
        <v/>
      </c>
      <c r="D95" s="37" t="str">
        <f aca="false">IF($A95="","",PO!$H95)</f>
        <v/>
      </c>
      <c r="E95" s="37" t="str">
        <f aca="false">IF($A95="","",PO!$I95)</f>
        <v/>
      </c>
      <c r="F95" s="41" t="str">
        <f aca="false">IF($A95="","",IF(PO!$R95="","",PO!$R95))</f>
        <v/>
      </c>
      <c r="G95" s="38" t="str">
        <f aca="false">IF($A95="","",PO!$L95)</f>
        <v/>
      </c>
      <c r="H95" s="38" t="str">
        <f aca="false">IF($A95="","",SUMIFS('Thanh toán'!$H$4:$H$203,'Thanh toán'!$C$4:$C$203,$A95))</f>
        <v/>
      </c>
      <c r="I95" s="38" t="str">
        <f aca="false">IF($A95="","",IFERROR($G95-$H95,""))</f>
        <v/>
      </c>
      <c r="J95" s="41" t="str">
        <f aca="false">IF($A95="","",IF(PO!$AA95="","",PO!$AA95))</f>
        <v/>
      </c>
      <c r="K95" s="38" t="str">
        <f aca="true">IF($A95="","",IF($I95&lt;=0,0,IF($J95="",0,MAX(0,TODAY()-$J95))))</f>
        <v/>
      </c>
      <c r="L95" s="37" t="str">
        <f aca="false">IF($A95="","",IF($I95&lt;=0,"Đã thanh toán",IF($K95=0,"Trong hạn",IF($K95&lt;=30,"1-30",IF($K95&lt;=60,"31-60",IF($K95&lt;=90,"61-90","&gt;90"))))))</f>
        <v/>
      </c>
      <c r="M95" s="37" t="str">
        <f aca="false">IF($A95="","",IF($I95&lt;=0,"Đã thanh toán đủ",IF($K95&gt;0,"QUÁ HẠN","Còn nợ, trong hạn")))</f>
        <v/>
      </c>
    </row>
    <row r="96" customFormat="false" ht="15" hidden="false" customHeight="false" outlineLevel="0" collapsed="false">
      <c r="A96" s="37" t="str">
        <f aca="false">IF(PO!$A96="","",PO!$A96)</f>
        <v/>
      </c>
      <c r="B96" s="37" t="str">
        <f aca="false">IF($A96="","",PO!$D96)</f>
        <v/>
      </c>
      <c r="C96" s="37" t="str">
        <f aca="false">IF($A96="","",PO!$E96)</f>
        <v/>
      </c>
      <c r="D96" s="37" t="str">
        <f aca="false">IF($A96="","",PO!$H96)</f>
        <v/>
      </c>
      <c r="E96" s="37" t="str">
        <f aca="false">IF($A96="","",PO!$I96)</f>
        <v/>
      </c>
      <c r="F96" s="41" t="str">
        <f aca="false">IF($A96="","",IF(PO!$R96="","",PO!$R96))</f>
        <v/>
      </c>
      <c r="G96" s="38" t="str">
        <f aca="false">IF($A96="","",PO!$L96)</f>
        <v/>
      </c>
      <c r="H96" s="38" t="str">
        <f aca="false">IF($A96="","",SUMIFS('Thanh toán'!$H$4:$H$203,'Thanh toán'!$C$4:$C$203,$A96))</f>
        <v/>
      </c>
      <c r="I96" s="38" t="str">
        <f aca="false">IF($A96="","",IFERROR($G96-$H96,""))</f>
        <v/>
      </c>
      <c r="J96" s="41" t="str">
        <f aca="false">IF($A96="","",IF(PO!$AA96="","",PO!$AA96))</f>
        <v/>
      </c>
      <c r="K96" s="38" t="str">
        <f aca="true">IF($A96="","",IF($I96&lt;=0,0,IF($J96="",0,MAX(0,TODAY()-$J96))))</f>
        <v/>
      </c>
      <c r="L96" s="37" t="str">
        <f aca="false">IF($A96="","",IF($I96&lt;=0,"Đã thanh toán",IF($K96=0,"Trong hạn",IF($K96&lt;=30,"1-30",IF($K96&lt;=60,"31-60",IF($K96&lt;=90,"61-90","&gt;90"))))))</f>
        <v/>
      </c>
      <c r="M96" s="37" t="str">
        <f aca="false">IF($A96="","",IF($I96&lt;=0,"Đã thanh toán đủ",IF($K96&gt;0,"QUÁ HẠN","Còn nợ, trong hạn")))</f>
        <v/>
      </c>
    </row>
    <row r="97" customFormat="false" ht="15" hidden="false" customHeight="false" outlineLevel="0" collapsed="false">
      <c r="A97" s="37" t="str">
        <f aca="false">IF(PO!$A97="","",PO!$A97)</f>
        <v/>
      </c>
      <c r="B97" s="37" t="str">
        <f aca="false">IF($A97="","",PO!$D97)</f>
        <v/>
      </c>
      <c r="C97" s="37" t="str">
        <f aca="false">IF($A97="","",PO!$E97)</f>
        <v/>
      </c>
      <c r="D97" s="37" t="str">
        <f aca="false">IF($A97="","",PO!$H97)</f>
        <v/>
      </c>
      <c r="E97" s="37" t="str">
        <f aca="false">IF($A97="","",PO!$I97)</f>
        <v/>
      </c>
      <c r="F97" s="41" t="str">
        <f aca="false">IF($A97="","",IF(PO!$R97="","",PO!$R97))</f>
        <v/>
      </c>
      <c r="G97" s="38" t="str">
        <f aca="false">IF($A97="","",PO!$L97)</f>
        <v/>
      </c>
      <c r="H97" s="38" t="str">
        <f aca="false">IF($A97="","",SUMIFS('Thanh toán'!$H$4:$H$203,'Thanh toán'!$C$4:$C$203,$A97))</f>
        <v/>
      </c>
      <c r="I97" s="38" t="str">
        <f aca="false">IF($A97="","",IFERROR($G97-$H97,""))</f>
        <v/>
      </c>
      <c r="J97" s="41" t="str">
        <f aca="false">IF($A97="","",IF(PO!$AA97="","",PO!$AA97))</f>
        <v/>
      </c>
      <c r="K97" s="38" t="str">
        <f aca="true">IF($A97="","",IF($I97&lt;=0,0,IF($J97="",0,MAX(0,TODAY()-$J97))))</f>
        <v/>
      </c>
      <c r="L97" s="37" t="str">
        <f aca="false">IF($A97="","",IF($I97&lt;=0,"Đã thanh toán",IF($K97=0,"Trong hạn",IF($K97&lt;=30,"1-30",IF($K97&lt;=60,"31-60",IF($K97&lt;=90,"61-90","&gt;90"))))))</f>
        <v/>
      </c>
      <c r="M97" s="37" t="str">
        <f aca="false">IF($A97="","",IF($I97&lt;=0,"Đã thanh toán đủ",IF($K97&gt;0,"QUÁ HẠN","Còn nợ, trong hạn")))</f>
        <v/>
      </c>
    </row>
    <row r="98" customFormat="false" ht="15" hidden="false" customHeight="false" outlineLevel="0" collapsed="false">
      <c r="A98" s="37" t="str">
        <f aca="false">IF(PO!$A98="","",PO!$A98)</f>
        <v/>
      </c>
      <c r="B98" s="37" t="str">
        <f aca="false">IF($A98="","",PO!$D98)</f>
        <v/>
      </c>
      <c r="C98" s="37" t="str">
        <f aca="false">IF($A98="","",PO!$E98)</f>
        <v/>
      </c>
      <c r="D98" s="37" t="str">
        <f aca="false">IF($A98="","",PO!$H98)</f>
        <v/>
      </c>
      <c r="E98" s="37" t="str">
        <f aca="false">IF($A98="","",PO!$I98)</f>
        <v/>
      </c>
      <c r="F98" s="41" t="str">
        <f aca="false">IF($A98="","",IF(PO!$R98="","",PO!$R98))</f>
        <v/>
      </c>
      <c r="G98" s="38" t="str">
        <f aca="false">IF($A98="","",PO!$L98)</f>
        <v/>
      </c>
      <c r="H98" s="38" t="str">
        <f aca="false">IF($A98="","",SUMIFS('Thanh toán'!$H$4:$H$203,'Thanh toán'!$C$4:$C$203,$A98))</f>
        <v/>
      </c>
      <c r="I98" s="38" t="str">
        <f aca="false">IF($A98="","",IFERROR($G98-$H98,""))</f>
        <v/>
      </c>
      <c r="J98" s="41" t="str">
        <f aca="false">IF($A98="","",IF(PO!$AA98="","",PO!$AA98))</f>
        <v/>
      </c>
      <c r="K98" s="38" t="str">
        <f aca="true">IF($A98="","",IF($I98&lt;=0,0,IF($J98="",0,MAX(0,TODAY()-$J98))))</f>
        <v/>
      </c>
      <c r="L98" s="37" t="str">
        <f aca="false">IF($A98="","",IF($I98&lt;=0,"Đã thanh toán",IF($K98=0,"Trong hạn",IF($K98&lt;=30,"1-30",IF($K98&lt;=60,"31-60",IF($K98&lt;=90,"61-90","&gt;90"))))))</f>
        <v/>
      </c>
      <c r="M98" s="37" t="str">
        <f aca="false">IF($A98="","",IF($I98&lt;=0,"Đã thanh toán đủ",IF($K98&gt;0,"QUÁ HẠN","Còn nợ, trong hạn")))</f>
        <v/>
      </c>
    </row>
    <row r="99" customFormat="false" ht="15" hidden="false" customHeight="false" outlineLevel="0" collapsed="false">
      <c r="A99" s="37" t="str">
        <f aca="false">IF(PO!$A99="","",PO!$A99)</f>
        <v/>
      </c>
      <c r="B99" s="37" t="str">
        <f aca="false">IF($A99="","",PO!$D99)</f>
        <v/>
      </c>
      <c r="C99" s="37" t="str">
        <f aca="false">IF($A99="","",PO!$E99)</f>
        <v/>
      </c>
      <c r="D99" s="37" t="str">
        <f aca="false">IF($A99="","",PO!$H99)</f>
        <v/>
      </c>
      <c r="E99" s="37" t="str">
        <f aca="false">IF($A99="","",PO!$I99)</f>
        <v/>
      </c>
      <c r="F99" s="41" t="str">
        <f aca="false">IF($A99="","",IF(PO!$R99="","",PO!$R99))</f>
        <v/>
      </c>
      <c r="G99" s="38" t="str">
        <f aca="false">IF($A99="","",PO!$L99)</f>
        <v/>
      </c>
      <c r="H99" s="38" t="str">
        <f aca="false">IF($A99="","",SUMIFS('Thanh toán'!$H$4:$H$203,'Thanh toán'!$C$4:$C$203,$A99))</f>
        <v/>
      </c>
      <c r="I99" s="38" t="str">
        <f aca="false">IF($A99="","",IFERROR($G99-$H99,""))</f>
        <v/>
      </c>
      <c r="J99" s="41" t="str">
        <f aca="false">IF($A99="","",IF(PO!$AA99="","",PO!$AA99))</f>
        <v/>
      </c>
      <c r="K99" s="38" t="str">
        <f aca="true">IF($A99="","",IF($I99&lt;=0,0,IF($J99="",0,MAX(0,TODAY()-$J99))))</f>
        <v/>
      </c>
      <c r="L99" s="37" t="str">
        <f aca="false">IF($A99="","",IF($I99&lt;=0,"Đã thanh toán",IF($K99=0,"Trong hạn",IF($K99&lt;=30,"1-30",IF($K99&lt;=60,"31-60",IF($K99&lt;=90,"61-90","&gt;90"))))))</f>
        <v/>
      </c>
      <c r="M99" s="37" t="str">
        <f aca="false">IF($A99="","",IF($I99&lt;=0,"Đã thanh toán đủ",IF($K99&gt;0,"QUÁ HẠN","Còn nợ, trong hạn")))</f>
        <v/>
      </c>
    </row>
    <row r="100" customFormat="false" ht="15" hidden="false" customHeight="false" outlineLevel="0" collapsed="false">
      <c r="A100" s="37" t="str">
        <f aca="false">IF(PO!$A100="","",PO!$A100)</f>
        <v/>
      </c>
      <c r="B100" s="37" t="str">
        <f aca="false">IF($A100="","",PO!$D100)</f>
        <v/>
      </c>
      <c r="C100" s="37" t="str">
        <f aca="false">IF($A100="","",PO!$E100)</f>
        <v/>
      </c>
      <c r="D100" s="37" t="str">
        <f aca="false">IF($A100="","",PO!$H100)</f>
        <v/>
      </c>
      <c r="E100" s="37" t="str">
        <f aca="false">IF($A100="","",PO!$I100)</f>
        <v/>
      </c>
      <c r="F100" s="41" t="str">
        <f aca="false">IF($A100="","",IF(PO!$R100="","",PO!$R100))</f>
        <v/>
      </c>
      <c r="G100" s="38" t="str">
        <f aca="false">IF($A100="","",PO!$L100)</f>
        <v/>
      </c>
      <c r="H100" s="38" t="str">
        <f aca="false">IF($A100="","",SUMIFS('Thanh toán'!$H$4:$H$203,'Thanh toán'!$C$4:$C$203,$A100))</f>
        <v/>
      </c>
      <c r="I100" s="38" t="str">
        <f aca="false">IF($A100="","",IFERROR($G100-$H100,""))</f>
        <v/>
      </c>
      <c r="J100" s="41" t="str">
        <f aca="false">IF($A100="","",IF(PO!$AA100="","",PO!$AA100))</f>
        <v/>
      </c>
      <c r="K100" s="38" t="str">
        <f aca="true">IF($A100="","",IF($I100&lt;=0,0,IF($J100="",0,MAX(0,TODAY()-$J100))))</f>
        <v/>
      </c>
      <c r="L100" s="37" t="str">
        <f aca="false">IF($A100="","",IF($I100&lt;=0,"Đã thanh toán",IF($K100=0,"Trong hạn",IF($K100&lt;=30,"1-30",IF($K100&lt;=60,"31-60",IF($K100&lt;=90,"61-90","&gt;90"))))))</f>
        <v/>
      </c>
      <c r="M100" s="37" t="str">
        <f aca="false">IF($A100="","",IF($I100&lt;=0,"Đã thanh toán đủ",IF($K100&gt;0,"QUÁ HẠN","Còn nợ, trong hạn")))</f>
        <v/>
      </c>
    </row>
    <row r="101" customFormat="false" ht="15" hidden="false" customHeight="false" outlineLevel="0" collapsed="false">
      <c r="A101" s="37" t="str">
        <f aca="false">IF(PO!$A101="","",PO!$A101)</f>
        <v/>
      </c>
      <c r="B101" s="37" t="str">
        <f aca="false">IF($A101="","",PO!$D101)</f>
        <v/>
      </c>
      <c r="C101" s="37" t="str">
        <f aca="false">IF($A101="","",PO!$E101)</f>
        <v/>
      </c>
      <c r="D101" s="37" t="str">
        <f aca="false">IF($A101="","",PO!$H101)</f>
        <v/>
      </c>
      <c r="E101" s="37" t="str">
        <f aca="false">IF($A101="","",PO!$I101)</f>
        <v/>
      </c>
      <c r="F101" s="41" t="str">
        <f aca="false">IF($A101="","",IF(PO!$R101="","",PO!$R101))</f>
        <v/>
      </c>
      <c r="G101" s="38" t="str">
        <f aca="false">IF($A101="","",PO!$L101)</f>
        <v/>
      </c>
      <c r="H101" s="38" t="str">
        <f aca="false">IF($A101="","",SUMIFS('Thanh toán'!$H$4:$H$203,'Thanh toán'!$C$4:$C$203,$A101))</f>
        <v/>
      </c>
      <c r="I101" s="38" t="str">
        <f aca="false">IF($A101="","",IFERROR($G101-$H101,""))</f>
        <v/>
      </c>
      <c r="J101" s="41" t="str">
        <f aca="false">IF($A101="","",IF(PO!$AA101="","",PO!$AA101))</f>
        <v/>
      </c>
      <c r="K101" s="38" t="str">
        <f aca="true">IF($A101="","",IF($I101&lt;=0,0,IF($J101="",0,MAX(0,TODAY()-$J101))))</f>
        <v/>
      </c>
      <c r="L101" s="37" t="str">
        <f aca="false">IF($A101="","",IF($I101&lt;=0,"Đã thanh toán",IF($K101=0,"Trong hạn",IF($K101&lt;=30,"1-30",IF($K101&lt;=60,"31-60",IF($K101&lt;=90,"61-90","&gt;90"))))))</f>
        <v/>
      </c>
      <c r="M101" s="37" t="str">
        <f aca="false">IF($A101="","",IF($I101&lt;=0,"Đã thanh toán đủ",IF($K101&gt;0,"QUÁ HẠN","Còn nợ, trong hạn")))</f>
        <v/>
      </c>
    </row>
    <row r="102" customFormat="false" ht="15" hidden="false" customHeight="false" outlineLevel="0" collapsed="false">
      <c r="A102" s="37" t="str">
        <f aca="false">IF(PO!$A102="","",PO!$A102)</f>
        <v/>
      </c>
      <c r="B102" s="37" t="str">
        <f aca="false">IF($A102="","",PO!$D102)</f>
        <v/>
      </c>
      <c r="C102" s="37" t="str">
        <f aca="false">IF($A102="","",PO!$E102)</f>
        <v/>
      </c>
      <c r="D102" s="37" t="str">
        <f aca="false">IF($A102="","",PO!$H102)</f>
        <v/>
      </c>
      <c r="E102" s="37" t="str">
        <f aca="false">IF($A102="","",PO!$I102)</f>
        <v/>
      </c>
      <c r="F102" s="41" t="str">
        <f aca="false">IF($A102="","",IF(PO!$R102="","",PO!$R102))</f>
        <v/>
      </c>
      <c r="G102" s="38" t="str">
        <f aca="false">IF($A102="","",PO!$L102)</f>
        <v/>
      </c>
      <c r="H102" s="38" t="str">
        <f aca="false">IF($A102="","",SUMIFS('Thanh toán'!$H$4:$H$203,'Thanh toán'!$C$4:$C$203,$A102))</f>
        <v/>
      </c>
      <c r="I102" s="38" t="str">
        <f aca="false">IF($A102="","",IFERROR($G102-$H102,""))</f>
        <v/>
      </c>
      <c r="J102" s="41" t="str">
        <f aca="false">IF($A102="","",IF(PO!$AA102="","",PO!$AA102))</f>
        <v/>
      </c>
      <c r="K102" s="38" t="str">
        <f aca="true">IF($A102="","",IF($I102&lt;=0,0,IF($J102="",0,MAX(0,TODAY()-$J102))))</f>
        <v/>
      </c>
      <c r="L102" s="37" t="str">
        <f aca="false">IF($A102="","",IF($I102&lt;=0,"Đã thanh toán",IF($K102=0,"Trong hạn",IF($K102&lt;=30,"1-30",IF($K102&lt;=60,"31-60",IF($K102&lt;=90,"61-90","&gt;90"))))))</f>
        <v/>
      </c>
      <c r="M102" s="37" t="str">
        <f aca="false">IF($A102="","",IF($I102&lt;=0,"Đã thanh toán đủ",IF($K102&gt;0,"QUÁ HẠN","Còn nợ, trong hạn")))</f>
        <v/>
      </c>
    </row>
    <row r="103" customFormat="false" ht="15" hidden="false" customHeight="false" outlineLevel="0" collapsed="false">
      <c r="A103" s="37" t="str">
        <f aca="false">IF(PO!$A103="","",PO!$A103)</f>
        <v/>
      </c>
      <c r="B103" s="37" t="str">
        <f aca="false">IF($A103="","",PO!$D103)</f>
        <v/>
      </c>
      <c r="C103" s="37" t="str">
        <f aca="false">IF($A103="","",PO!$E103)</f>
        <v/>
      </c>
      <c r="D103" s="37" t="str">
        <f aca="false">IF($A103="","",PO!$H103)</f>
        <v/>
      </c>
      <c r="E103" s="37" t="str">
        <f aca="false">IF($A103="","",PO!$I103)</f>
        <v/>
      </c>
      <c r="F103" s="41" t="str">
        <f aca="false">IF($A103="","",IF(PO!$R103="","",PO!$R103))</f>
        <v/>
      </c>
      <c r="G103" s="38" t="str">
        <f aca="false">IF($A103="","",PO!$L103)</f>
        <v/>
      </c>
      <c r="H103" s="38" t="str">
        <f aca="false">IF($A103="","",SUMIFS('Thanh toán'!$H$4:$H$203,'Thanh toán'!$C$4:$C$203,$A103))</f>
        <v/>
      </c>
      <c r="I103" s="38" t="str">
        <f aca="false">IF($A103="","",IFERROR($G103-$H103,""))</f>
        <v/>
      </c>
      <c r="J103" s="41" t="str">
        <f aca="false">IF($A103="","",IF(PO!$AA103="","",PO!$AA103))</f>
        <v/>
      </c>
      <c r="K103" s="38" t="str">
        <f aca="true">IF($A103="","",IF($I103&lt;=0,0,IF($J103="",0,MAX(0,TODAY()-$J103))))</f>
        <v/>
      </c>
      <c r="L103" s="37" t="str">
        <f aca="false">IF($A103="","",IF($I103&lt;=0,"Đã thanh toán",IF($K103=0,"Trong hạn",IF($K103&lt;=30,"1-30",IF($K103&lt;=60,"31-60",IF($K103&lt;=90,"61-90","&gt;90"))))))</f>
        <v/>
      </c>
      <c r="M103" s="37" t="str">
        <f aca="false">IF($A103="","",IF($I103&lt;=0,"Đã thanh toán đủ",IF($K103&gt;0,"QUÁ HẠN","Còn nợ, trong hạn")))</f>
        <v/>
      </c>
    </row>
    <row r="104" customFormat="false" ht="15" hidden="false" customHeight="false" outlineLevel="0" collapsed="false">
      <c r="A104" s="37" t="str">
        <f aca="false">IF(PO!$A104="","",PO!$A104)</f>
        <v/>
      </c>
      <c r="B104" s="37" t="str">
        <f aca="false">IF($A104="","",PO!$D104)</f>
        <v/>
      </c>
      <c r="C104" s="37" t="str">
        <f aca="false">IF($A104="","",PO!$E104)</f>
        <v/>
      </c>
      <c r="D104" s="37" t="str">
        <f aca="false">IF($A104="","",PO!$H104)</f>
        <v/>
      </c>
      <c r="E104" s="37" t="str">
        <f aca="false">IF($A104="","",PO!$I104)</f>
        <v/>
      </c>
      <c r="F104" s="41" t="str">
        <f aca="false">IF($A104="","",IF(PO!$R104="","",PO!$R104))</f>
        <v/>
      </c>
      <c r="G104" s="38" t="str">
        <f aca="false">IF($A104="","",PO!$L104)</f>
        <v/>
      </c>
      <c r="H104" s="38" t="str">
        <f aca="false">IF($A104="","",SUMIFS('Thanh toán'!$H$4:$H$203,'Thanh toán'!$C$4:$C$203,$A104))</f>
        <v/>
      </c>
      <c r="I104" s="38" t="str">
        <f aca="false">IF($A104="","",IFERROR($G104-$H104,""))</f>
        <v/>
      </c>
      <c r="J104" s="41" t="str">
        <f aca="false">IF($A104="","",IF(PO!$AA104="","",PO!$AA104))</f>
        <v/>
      </c>
      <c r="K104" s="38" t="str">
        <f aca="true">IF($A104="","",IF($I104&lt;=0,0,IF($J104="",0,MAX(0,TODAY()-$J104))))</f>
        <v/>
      </c>
      <c r="L104" s="37" t="str">
        <f aca="false">IF($A104="","",IF($I104&lt;=0,"Đã thanh toán",IF($K104=0,"Trong hạn",IF($K104&lt;=30,"1-30",IF($K104&lt;=60,"31-60",IF($K104&lt;=90,"61-90","&gt;90"))))))</f>
        <v/>
      </c>
      <c r="M104" s="37" t="str">
        <f aca="false">IF($A104="","",IF($I104&lt;=0,"Đã thanh toán đủ",IF($K104&gt;0,"QUÁ HẠN","Còn nợ, trong hạn")))</f>
        <v/>
      </c>
    </row>
    <row r="105" customFormat="false" ht="15" hidden="false" customHeight="false" outlineLevel="0" collapsed="false">
      <c r="A105" s="37" t="str">
        <f aca="false">IF(PO!$A105="","",PO!$A105)</f>
        <v/>
      </c>
      <c r="B105" s="37" t="str">
        <f aca="false">IF($A105="","",PO!$D105)</f>
        <v/>
      </c>
      <c r="C105" s="37" t="str">
        <f aca="false">IF($A105="","",PO!$E105)</f>
        <v/>
      </c>
      <c r="D105" s="37" t="str">
        <f aca="false">IF($A105="","",PO!$H105)</f>
        <v/>
      </c>
      <c r="E105" s="37" t="str">
        <f aca="false">IF($A105="","",PO!$I105)</f>
        <v/>
      </c>
      <c r="F105" s="41" t="str">
        <f aca="false">IF($A105="","",IF(PO!$R105="","",PO!$R105))</f>
        <v/>
      </c>
      <c r="G105" s="38" t="str">
        <f aca="false">IF($A105="","",PO!$L105)</f>
        <v/>
      </c>
      <c r="H105" s="38" t="str">
        <f aca="false">IF($A105="","",SUMIFS('Thanh toán'!$H$4:$H$203,'Thanh toán'!$C$4:$C$203,$A105))</f>
        <v/>
      </c>
      <c r="I105" s="38" t="str">
        <f aca="false">IF($A105="","",IFERROR($G105-$H105,""))</f>
        <v/>
      </c>
      <c r="J105" s="41" t="str">
        <f aca="false">IF($A105="","",IF(PO!$AA105="","",PO!$AA105))</f>
        <v/>
      </c>
      <c r="K105" s="38" t="str">
        <f aca="true">IF($A105="","",IF($I105&lt;=0,0,IF($J105="",0,MAX(0,TODAY()-$J105))))</f>
        <v/>
      </c>
      <c r="L105" s="37" t="str">
        <f aca="false">IF($A105="","",IF($I105&lt;=0,"Đã thanh toán",IF($K105=0,"Trong hạn",IF($K105&lt;=30,"1-30",IF($K105&lt;=60,"31-60",IF($K105&lt;=90,"61-90","&gt;90"))))))</f>
        <v/>
      </c>
      <c r="M105" s="37" t="str">
        <f aca="false">IF($A105="","",IF($I105&lt;=0,"Đã thanh toán đủ",IF($K105&gt;0,"QUÁ HẠN","Còn nợ, trong hạn")))</f>
        <v/>
      </c>
    </row>
    <row r="106" customFormat="false" ht="15" hidden="false" customHeight="false" outlineLevel="0" collapsed="false">
      <c r="A106" s="37" t="str">
        <f aca="false">IF(PO!$A106="","",PO!$A106)</f>
        <v/>
      </c>
      <c r="B106" s="37" t="str">
        <f aca="false">IF($A106="","",PO!$D106)</f>
        <v/>
      </c>
      <c r="C106" s="37" t="str">
        <f aca="false">IF($A106="","",PO!$E106)</f>
        <v/>
      </c>
      <c r="D106" s="37" t="str">
        <f aca="false">IF($A106="","",PO!$H106)</f>
        <v/>
      </c>
      <c r="E106" s="37" t="str">
        <f aca="false">IF($A106="","",PO!$I106)</f>
        <v/>
      </c>
      <c r="F106" s="41" t="str">
        <f aca="false">IF($A106="","",IF(PO!$R106="","",PO!$R106))</f>
        <v/>
      </c>
      <c r="G106" s="38" t="str">
        <f aca="false">IF($A106="","",PO!$L106)</f>
        <v/>
      </c>
      <c r="H106" s="38" t="str">
        <f aca="false">IF($A106="","",SUMIFS('Thanh toán'!$H$4:$H$203,'Thanh toán'!$C$4:$C$203,$A106))</f>
        <v/>
      </c>
      <c r="I106" s="38" t="str">
        <f aca="false">IF($A106="","",IFERROR($G106-$H106,""))</f>
        <v/>
      </c>
      <c r="J106" s="41" t="str">
        <f aca="false">IF($A106="","",IF(PO!$AA106="","",PO!$AA106))</f>
        <v/>
      </c>
      <c r="K106" s="38" t="str">
        <f aca="true">IF($A106="","",IF($I106&lt;=0,0,IF($J106="",0,MAX(0,TODAY()-$J106))))</f>
        <v/>
      </c>
      <c r="L106" s="37" t="str">
        <f aca="false">IF($A106="","",IF($I106&lt;=0,"Đã thanh toán",IF($K106=0,"Trong hạn",IF($K106&lt;=30,"1-30",IF($K106&lt;=60,"31-60",IF($K106&lt;=90,"61-90","&gt;90"))))))</f>
        <v/>
      </c>
      <c r="M106" s="37" t="str">
        <f aca="false">IF($A106="","",IF($I106&lt;=0,"Đã thanh toán đủ",IF($K106&gt;0,"QUÁ HẠN","Còn nợ, trong hạn")))</f>
        <v/>
      </c>
    </row>
    <row r="107" customFormat="false" ht="15" hidden="false" customHeight="false" outlineLevel="0" collapsed="false">
      <c r="A107" s="37" t="str">
        <f aca="false">IF(PO!$A107="","",PO!$A107)</f>
        <v/>
      </c>
      <c r="B107" s="37" t="str">
        <f aca="false">IF($A107="","",PO!$D107)</f>
        <v/>
      </c>
      <c r="C107" s="37" t="str">
        <f aca="false">IF($A107="","",PO!$E107)</f>
        <v/>
      </c>
      <c r="D107" s="37" t="str">
        <f aca="false">IF($A107="","",PO!$H107)</f>
        <v/>
      </c>
      <c r="E107" s="37" t="str">
        <f aca="false">IF($A107="","",PO!$I107)</f>
        <v/>
      </c>
      <c r="F107" s="41" t="str">
        <f aca="false">IF($A107="","",IF(PO!$R107="","",PO!$R107))</f>
        <v/>
      </c>
      <c r="G107" s="38" t="str">
        <f aca="false">IF($A107="","",PO!$L107)</f>
        <v/>
      </c>
      <c r="H107" s="38" t="str">
        <f aca="false">IF($A107="","",SUMIFS('Thanh toán'!$H$4:$H$203,'Thanh toán'!$C$4:$C$203,$A107))</f>
        <v/>
      </c>
      <c r="I107" s="38" t="str">
        <f aca="false">IF($A107="","",IFERROR($G107-$H107,""))</f>
        <v/>
      </c>
      <c r="J107" s="41" t="str">
        <f aca="false">IF($A107="","",IF(PO!$AA107="","",PO!$AA107))</f>
        <v/>
      </c>
      <c r="K107" s="38" t="str">
        <f aca="true">IF($A107="","",IF($I107&lt;=0,0,IF($J107="",0,MAX(0,TODAY()-$J107))))</f>
        <v/>
      </c>
      <c r="L107" s="37" t="str">
        <f aca="false">IF($A107="","",IF($I107&lt;=0,"Đã thanh toán",IF($K107=0,"Trong hạn",IF($K107&lt;=30,"1-30",IF($K107&lt;=60,"31-60",IF($K107&lt;=90,"61-90","&gt;90"))))))</f>
        <v/>
      </c>
      <c r="M107" s="37" t="str">
        <f aca="false">IF($A107="","",IF($I107&lt;=0,"Đã thanh toán đủ",IF($K107&gt;0,"QUÁ HẠN","Còn nợ, trong hạn")))</f>
        <v/>
      </c>
    </row>
    <row r="108" customFormat="false" ht="15" hidden="false" customHeight="false" outlineLevel="0" collapsed="false">
      <c r="A108" s="37" t="str">
        <f aca="false">IF(PO!$A108="","",PO!$A108)</f>
        <v/>
      </c>
      <c r="B108" s="37" t="str">
        <f aca="false">IF($A108="","",PO!$D108)</f>
        <v/>
      </c>
      <c r="C108" s="37" t="str">
        <f aca="false">IF($A108="","",PO!$E108)</f>
        <v/>
      </c>
      <c r="D108" s="37" t="str">
        <f aca="false">IF($A108="","",PO!$H108)</f>
        <v/>
      </c>
      <c r="E108" s="37" t="str">
        <f aca="false">IF($A108="","",PO!$I108)</f>
        <v/>
      </c>
      <c r="F108" s="41" t="str">
        <f aca="false">IF($A108="","",IF(PO!$R108="","",PO!$R108))</f>
        <v/>
      </c>
      <c r="G108" s="38" t="str">
        <f aca="false">IF($A108="","",PO!$L108)</f>
        <v/>
      </c>
      <c r="H108" s="38" t="str">
        <f aca="false">IF($A108="","",SUMIFS('Thanh toán'!$H$4:$H$203,'Thanh toán'!$C$4:$C$203,$A108))</f>
        <v/>
      </c>
      <c r="I108" s="38" t="str">
        <f aca="false">IF($A108="","",IFERROR($G108-$H108,""))</f>
        <v/>
      </c>
      <c r="J108" s="41" t="str">
        <f aca="false">IF($A108="","",IF(PO!$AA108="","",PO!$AA108))</f>
        <v/>
      </c>
      <c r="K108" s="38" t="str">
        <f aca="true">IF($A108="","",IF($I108&lt;=0,0,IF($J108="",0,MAX(0,TODAY()-$J108))))</f>
        <v/>
      </c>
      <c r="L108" s="37" t="str">
        <f aca="false">IF($A108="","",IF($I108&lt;=0,"Đã thanh toán",IF($K108=0,"Trong hạn",IF($K108&lt;=30,"1-30",IF($K108&lt;=60,"31-60",IF($K108&lt;=90,"61-90","&gt;90"))))))</f>
        <v/>
      </c>
      <c r="M108" s="37" t="str">
        <f aca="false">IF($A108="","",IF($I108&lt;=0,"Đã thanh toán đủ",IF($K108&gt;0,"QUÁ HẠN","Còn nợ, trong hạn")))</f>
        <v/>
      </c>
    </row>
    <row r="109" customFormat="false" ht="15" hidden="false" customHeight="false" outlineLevel="0" collapsed="false">
      <c r="A109" s="37" t="str">
        <f aca="false">IF(PO!$A109="","",PO!$A109)</f>
        <v/>
      </c>
      <c r="B109" s="37" t="str">
        <f aca="false">IF($A109="","",PO!$D109)</f>
        <v/>
      </c>
      <c r="C109" s="37" t="str">
        <f aca="false">IF($A109="","",PO!$E109)</f>
        <v/>
      </c>
      <c r="D109" s="37" t="str">
        <f aca="false">IF($A109="","",PO!$H109)</f>
        <v/>
      </c>
      <c r="E109" s="37" t="str">
        <f aca="false">IF($A109="","",PO!$I109)</f>
        <v/>
      </c>
      <c r="F109" s="41" t="str">
        <f aca="false">IF($A109="","",IF(PO!$R109="","",PO!$R109))</f>
        <v/>
      </c>
      <c r="G109" s="38" t="str">
        <f aca="false">IF($A109="","",PO!$L109)</f>
        <v/>
      </c>
      <c r="H109" s="38" t="str">
        <f aca="false">IF($A109="","",SUMIFS('Thanh toán'!$H$4:$H$203,'Thanh toán'!$C$4:$C$203,$A109))</f>
        <v/>
      </c>
      <c r="I109" s="38" t="str">
        <f aca="false">IF($A109="","",IFERROR($G109-$H109,""))</f>
        <v/>
      </c>
      <c r="J109" s="41" t="str">
        <f aca="false">IF($A109="","",IF(PO!$AA109="","",PO!$AA109))</f>
        <v/>
      </c>
      <c r="K109" s="38" t="str">
        <f aca="true">IF($A109="","",IF($I109&lt;=0,0,IF($J109="",0,MAX(0,TODAY()-$J109))))</f>
        <v/>
      </c>
      <c r="L109" s="37" t="str">
        <f aca="false">IF($A109="","",IF($I109&lt;=0,"Đã thanh toán",IF($K109=0,"Trong hạn",IF($K109&lt;=30,"1-30",IF($K109&lt;=60,"31-60",IF($K109&lt;=90,"61-90","&gt;90"))))))</f>
        <v/>
      </c>
      <c r="M109" s="37" t="str">
        <f aca="false">IF($A109="","",IF($I109&lt;=0,"Đã thanh toán đủ",IF($K109&gt;0,"QUÁ HẠN","Còn nợ, trong hạn")))</f>
        <v/>
      </c>
    </row>
    <row r="110" customFormat="false" ht="15" hidden="false" customHeight="false" outlineLevel="0" collapsed="false">
      <c r="A110" s="37" t="str">
        <f aca="false">IF(PO!$A110="","",PO!$A110)</f>
        <v/>
      </c>
      <c r="B110" s="37" t="str">
        <f aca="false">IF($A110="","",PO!$D110)</f>
        <v/>
      </c>
      <c r="C110" s="37" t="str">
        <f aca="false">IF($A110="","",PO!$E110)</f>
        <v/>
      </c>
      <c r="D110" s="37" t="str">
        <f aca="false">IF($A110="","",PO!$H110)</f>
        <v/>
      </c>
      <c r="E110" s="37" t="str">
        <f aca="false">IF($A110="","",PO!$I110)</f>
        <v/>
      </c>
      <c r="F110" s="41" t="str">
        <f aca="false">IF($A110="","",IF(PO!$R110="","",PO!$R110))</f>
        <v/>
      </c>
      <c r="G110" s="38" t="str">
        <f aca="false">IF($A110="","",PO!$L110)</f>
        <v/>
      </c>
      <c r="H110" s="38" t="str">
        <f aca="false">IF($A110="","",SUMIFS('Thanh toán'!$H$4:$H$203,'Thanh toán'!$C$4:$C$203,$A110))</f>
        <v/>
      </c>
      <c r="I110" s="38" t="str">
        <f aca="false">IF($A110="","",IFERROR($G110-$H110,""))</f>
        <v/>
      </c>
      <c r="J110" s="41" t="str">
        <f aca="false">IF($A110="","",IF(PO!$AA110="","",PO!$AA110))</f>
        <v/>
      </c>
      <c r="K110" s="38" t="str">
        <f aca="true">IF($A110="","",IF($I110&lt;=0,0,IF($J110="",0,MAX(0,TODAY()-$J110))))</f>
        <v/>
      </c>
      <c r="L110" s="37" t="str">
        <f aca="false">IF($A110="","",IF($I110&lt;=0,"Đã thanh toán",IF($K110=0,"Trong hạn",IF($K110&lt;=30,"1-30",IF($K110&lt;=60,"31-60",IF($K110&lt;=90,"61-90","&gt;90"))))))</f>
        <v/>
      </c>
      <c r="M110" s="37" t="str">
        <f aca="false">IF($A110="","",IF($I110&lt;=0,"Đã thanh toán đủ",IF($K110&gt;0,"QUÁ HẠN","Còn nợ, trong hạn")))</f>
        <v/>
      </c>
    </row>
    <row r="111" customFormat="false" ht="15" hidden="false" customHeight="false" outlineLevel="0" collapsed="false">
      <c r="A111" s="37" t="str">
        <f aca="false">IF(PO!$A111="","",PO!$A111)</f>
        <v/>
      </c>
      <c r="B111" s="37" t="str">
        <f aca="false">IF($A111="","",PO!$D111)</f>
        <v/>
      </c>
      <c r="C111" s="37" t="str">
        <f aca="false">IF($A111="","",PO!$E111)</f>
        <v/>
      </c>
      <c r="D111" s="37" t="str">
        <f aca="false">IF($A111="","",PO!$H111)</f>
        <v/>
      </c>
      <c r="E111" s="37" t="str">
        <f aca="false">IF($A111="","",PO!$I111)</f>
        <v/>
      </c>
      <c r="F111" s="41" t="str">
        <f aca="false">IF($A111="","",IF(PO!$R111="","",PO!$R111))</f>
        <v/>
      </c>
      <c r="G111" s="38" t="str">
        <f aca="false">IF($A111="","",PO!$L111)</f>
        <v/>
      </c>
      <c r="H111" s="38" t="str">
        <f aca="false">IF($A111="","",SUMIFS('Thanh toán'!$H$4:$H$203,'Thanh toán'!$C$4:$C$203,$A111))</f>
        <v/>
      </c>
      <c r="I111" s="38" t="str">
        <f aca="false">IF($A111="","",IFERROR($G111-$H111,""))</f>
        <v/>
      </c>
      <c r="J111" s="41" t="str">
        <f aca="false">IF($A111="","",IF(PO!$AA111="","",PO!$AA111))</f>
        <v/>
      </c>
      <c r="K111" s="38" t="str">
        <f aca="true">IF($A111="","",IF($I111&lt;=0,0,IF($J111="",0,MAX(0,TODAY()-$J111))))</f>
        <v/>
      </c>
      <c r="L111" s="37" t="str">
        <f aca="false">IF($A111="","",IF($I111&lt;=0,"Đã thanh toán",IF($K111=0,"Trong hạn",IF($K111&lt;=30,"1-30",IF($K111&lt;=60,"31-60",IF($K111&lt;=90,"61-90","&gt;90"))))))</f>
        <v/>
      </c>
      <c r="M111" s="37" t="str">
        <f aca="false">IF($A111="","",IF($I111&lt;=0,"Đã thanh toán đủ",IF($K111&gt;0,"QUÁ HẠN","Còn nợ, trong hạn")))</f>
        <v/>
      </c>
    </row>
    <row r="112" customFormat="false" ht="15" hidden="false" customHeight="false" outlineLevel="0" collapsed="false">
      <c r="A112" s="37" t="str">
        <f aca="false">IF(PO!$A112="","",PO!$A112)</f>
        <v/>
      </c>
      <c r="B112" s="37" t="str">
        <f aca="false">IF($A112="","",PO!$D112)</f>
        <v/>
      </c>
      <c r="C112" s="37" t="str">
        <f aca="false">IF($A112="","",PO!$E112)</f>
        <v/>
      </c>
      <c r="D112" s="37" t="str">
        <f aca="false">IF($A112="","",PO!$H112)</f>
        <v/>
      </c>
      <c r="E112" s="37" t="str">
        <f aca="false">IF($A112="","",PO!$I112)</f>
        <v/>
      </c>
      <c r="F112" s="41" t="str">
        <f aca="false">IF($A112="","",IF(PO!$R112="","",PO!$R112))</f>
        <v/>
      </c>
      <c r="G112" s="38" t="str">
        <f aca="false">IF($A112="","",PO!$L112)</f>
        <v/>
      </c>
      <c r="H112" s="38" t="str">
        <f aca="false">IF($A112="","",SUMIFS('Thanh toán'!$H$4:$H$203,'Thanh toán'!$C$4:$C$203,$A112))</f>
        <v/>
      </c>
      <c r="I112" s="38" t="str">
        <f aca="false">IF($A112="","",IFERROR($G112-$H112,""))</f>
        <v/>
      </c>
      <c r="J112" s="41" t="str">
        <f aca="false">IF($A112="","",IF(PO!$AA112="","",PO!$AA112))</f>
        <v/>
      </c>
      <c r="K112" s="38" t="str">
        <f aca="true">IF($A112="","",IF($I112&lt;=0,0,IF($J112="",0,MAX(0,TODAY()-$J112))))</f>
        <v/>
      </c>
      <c r="L112" s="37" t="str">
        <f aca="false">IF($A112="","",IF($I112&lt;=0,"Đã thanh toán",IF($K112=0,"Trong hạn",IF($K112&lt;=30,"1-30",IF($K112&lt;=60,"31-60",IF($K112&lt;=90,"61-90","&gt;90"))))))</f>
        <v/>
      </c>
      <c r="M112" s="37" t="str">
        <f aca="false">IF($A112="","",IF($I112&lt;=0,"Đã thanh toán đủ",IF($K112&gt;0,"QUÁ HẠN","Còn nợ, trong hạn")))</f>
        <v/>
      </c>
    </row>
    <row r="113" customFormat="false" ht="15" hidden="false" customHeight="false" outlineLevel="0" collapsed="false">
      <c r="A113" s="37" t="str">
        <f aca="false">IF(PO!$A113="","",PO!$A113)</f>
        <v/>
      </c>
      <c r="B113" s="37" t="str">
        <f aca="false">IF($A113="","",PO!$D113)</f>
        <v/>
      </c>
      <c r="C113" s="37" t="str">
        <f aca="false">IF($A113="","",PO!$E113)</f>
        <v/>
      </c>
      <c r="D113" s="37" t="str">
        <f aca="false">IF($A113="","",PO!$H113)</f>
        <v/>
      </c>
      <c r="E113" s="37" t="str">
        <f aca="false">IF($A113="","",PO!$I113)</f>
        <v/>
      </c>
      <c r="F113" s="41" t="str">
        <f aca="false">IF($A113="","",IF(PO!$R113="","",PO!$R113))</f>
        <v/>
      </c>
      <c r="G113" s="38" t="str">
        <f aca="false">IF($A113="","",PO!$L113)</f>
        <v/>
      </c>
      <c r="H113" s="38" t="str">
        <f aca="false">IF($A113="","",SUMIFS('Thanh toán'!$H$4:$H$203,'Thanh toán'!$C$4:$C$203,$A113))</f>
        <v/>
      </c>
      <c r="I113" s="38" t="str">
        <f aca="false">IF($A113="","",IFERROR($G113-$H113,""))</f>
        <v/>
      </c>
      <c r="J113" s="41" t="str">
        <f aca="false">IF($A113="","",IF(PO!$AA113="","",PO!$AA113))</f>
        <v/>
      </c>
      <c r="K113" s="38" t="str">
        <f aca="true">IF($A113="","",IF($I113&lt;=0,0,IF($J113="",0,MAX(0,TODAY()-$J113))))</f>
        <v/>
      </c>
      <c r="L113" s="37" t="str">
        <f aca="false">IF($A113="","",IF($I113&lt;=0,"Đã thanh toán",IF($K113=0,"Trong hạn",IF($K113&lt;=30,"1-30",IF($K113&lt;=60,"31-60",IF($K113&lt;=90,"61-90","&gt;90"))))))</f>
        <v/>
      </c>
      <c r="M113" s="37" t="str">
        <f aca="false">IF($A113="","",IF($I113&lt;=0,"Đã thanh toán đủ",IF($K113&gt;0,"QUÁ HẠN","Còn nợ, trong hạn")))</f>
        <v/>
      </c>
    </row>
    <row r="114" customFormat="false" ht="15" hidden="false" customHeight="false" outlineLevel="0" collapsed="false">
      <c r="A114" s="37" t="str">
        <f aca="false">IF(PO!$A114="","",PO!$A114)</f>
        <v/>
      </c>
      <c r="B114" s="37" t="str">
        <f aca="false">IF($A114="","",PO!$D114)</f>
        <v/>
      </c>
      <c r="C114" s="37" t="str">
        <f aca="false">IF($A114="","",PO!$E114)</f>
        <v/>
      </c>
      <c r="D114" s="37" t="str">
        <f aca="false">IF($A114="","",PO!$H114)</f>
        <v/>
      </c>
      <c r="E114" s="37" t="str">
        <f aca="false">IF($A114="","",PO!$I114)</f>
        <v/>
      </c>
      <c r="F114" s="41" t="str">
        <f aca="false">IF($A114="","",IF(PO!$R114="","",PO!$R114))</f>
        <v/>
      </c>
      <c r="G114" s="38" t="str">
        <f aca="false">IF($A114="","",PO!$L114)</f>
        <v/>
      </c>
      <c r="H114" s="38" t="str">
        <f aca="false">IF($A114="","",SUMIFS('Thanh toán'!$H$4:$H$203,'Thanh toán'!$C$4:$C$203,$A114))</f>
        <v/>
      </c>
      <c r="I114" s="38" t="str">
        <f aca="false">IF($A114="","",IFERROR($G114-$H114,""))</f>
        <v/>
      </c>
      <c r="J114" s="41" t="str">
        <f aca="false">IF($A114="","",IF(PO!$AA114="","",PO!$AA114))</f>
        <v/>
      </c>
      <c r="K114" s="38" t="str">
        <f aca="true">IF($A114="","",IF($I114&lt;=0,0,IF($J114="",0,MAX(0,TODAY()-$J114))))</f>
        <v/>
      </c>
      <c r="L114" s="37" t="str">
        <f aca="false">IF($A114="","",IF($I114&lt;=0,"Đã thanh toán",IF($K114=0,"Trong hạn",IF($K114&lt;=30,"1-30",IF($K114&lt;=60,"31-60",IF($K114&lt;=90,"61-90","&gt;90"))))))</f>
        <v/>
      </c>
      <c r="M114" s="37" t="str">
        <f aca="false">IF($A114="","",IF($I114&lt;=0,"Đã thanh toán đủ",IF($K114&gt;0,"QUÁ HẠN","Còn nợ, trong hạn")))</f>
        <v/>
      </c>
    </row>
    <row r="115" customFormat="false" ht="15" hidden="false" customHeight="false" outlineLevel="0" collapsed="false">
      <c r="A115" s="37" t="str">
        <f aca="false">IF(PO!$A115="","",PO!$A115)</f>
        <v/>
      </c>
      <c r="B115" s="37" t="str">
        <f aca="false">IF($A115="","",PO!$D115)</f>
        <v/>
      </c>
      <c r="C115" s="37" t="str">
        <f aca="false">IF($A115="","",PO!$E115)</f>
        <v/>
      </c>
      <c r="D115" s="37" t="str">
        <f aca="false">IF($A115="","",PO!$H115)</f>
        <v/>
      </c>
      <c r="E115" s="37" t="str">
        <f aca="false">IF($A115="","",PO!$I115)</f>
        <v/>
      </c>
      <c r="F115" s="41" t="str">
        <f aca="false">IF($A115="","",IF(PO!$R115="","",PO!$R115))</f>
        <v/>
      </c>
      <c r="G115" s="38" t="str">
        <f aca="false">IF($A115="","",PO!$L115)</f>
        <v/>
      </c>
      <c r="H115" s="38" t="str">
        <f aca="false">IF($A115="","",SUMIFS('Thanh toán'!$H$4:$H$203,'Thanh toán'!$C$4:$C$203,$A115))</f>
        <v/>
      </c>
      <c r="I115" s="38" t="str">
        <f aca="false">IF($A115="","",IFERROR($G115-$H115,""))</f>
        <v/>
      </c>
      <c r="J115" s="41" t="str">
        <f aca="false">IF($A115="","",IF(PO!$AA115="","",PO!$AA115))</f>
        <v/>
      </c>
      <c r="K115" s="38" t="str">
        <f aca="true">IF($A115="","",IF($I115&lt;=0,0,IF($J115="",0,MAX(0,TODAY()-$J115))))</f>
        <v/>
      </c>
      <c r="L115" s="37" t="str">
        <f aca="false">IF($A115="","",IF($I115&lt;=0,"Đã thanh toán",IF($K115=0,"Trong hạn",IF($K115&lt;=30,"1-30",IF($K115&lt;=60,"31-60",IF($K115&lt;=90,"61-90","&gt;90"))))))</f>
        <v/>
      </c>
      <c r="M115" s="37" t="str">
        <f aca="false">IF($A115="","",IF($I115&lt;=0,"Đã thanh toán đủ",IF($K115&gt;0,"QUÁ HẠN","Còn nợ, trong hạn")))</f>
        <v/>
      </c>
    </row>
    <row r="116" customFormat="false" ht="15" hidden="false" customHeight="false" outlineLevel="0" collapsed="false">
      <c r="A116" s="37" t="str">
        <f aca="false">IF(PO!$A116="","",PO!$A116)</f>
        <v/>
      </c>
      <c r="B116" s="37" t="str">
        <f aca="false">IF($A116="","",PO!$D116)</f>
        <v/>
      </c>
      <c r="C116" s="37" t="str">
        <f aca="false">IF($A116="","",PO!$E116)</f>
        <v/>
      </c>
      <c r="D116" s="37" t="str">
        <f aca="false">IF($A116="","",PO!$H116)</f>
        <v/>
      </c>
      <c r="E116" s="37" t="str">
        <f aca="false">IF($A116="","",PO!$I116)</f>
        <v/>
      </c>
      <c r="F116" s="41" t="str">
        <f aca="false">IF($A116="","",IF(PO!$R116="","",PO!$R116))</f>
        <v/>
      </c>
      <c r="G116" s="38" t="str">
        <f aca="false">IF($A116="","",PO!$L116)</f>
        <v/>
      </c>
      <c r="H116" s="38" t="str">
        <f aca="false">IF($A116="","",SUMIFS('Thanh toán'!$H$4:$H$203,'Thanh toán'!$C$4:$C$203,$A116))</f>
        <v/>
      </c>
      <c r="I116" s="38" t="str">
        <f aca="false">IF($A116="","",IFERROR($G116-$H116,""))</f>
        <v/>
      </c>
      <c r="J116" s="41" t="str">
        <f aca="false">IF($A116="","",IF(PO!$AA116="","",PO!$AA116))</f>
        <v/>
      </c>
      <c r="K116" s="38" t="str">
        <f aca="true">IF($A116="","",IF($I116&lt;=0,0,IF($J116="",0,MAX(0,TODAY()-$J116))))</f>
        <v/>
      </c>
      <c r="L116" s="37" t="str">
        <f aca="false">IF($A116="","",IF($I116&lt;=0,"Đã thanh toán",IF($K116=0,"Trong hạn",IF($K116&lt;=30,"1-30",IF($K116&lt;=60,"31-60",IF($K116&lt;=90,"61-90","&gt;90"))))))</f>
        <v/>
      </c>
      <c r="M116" s="37" t="str">
        <f aca="false">IF($A116="","",IF($I116&lt;=0,"Đã thanh toán đủ",IF($K116&gt;0,"QUÁ HẠN","Còn nợ, trong hạn")))</f>
        <v/>
      </c>
    </row>
    <row r="117" customFormat="false" ht="15" hidden="false" customHeight="false" outlineLevel="0" collapsed="false">
      <c r="A117" s="37" t="str">
        <f aca="false">IF(PO!$A117="","",PO!$A117)</f>
        <v/>
      </c>
      <c r="B117" s="37" t="str">
        <f aca="false">IF($A117="","",PO!$D117)</f>
        <v/>
      </c>
      <c r="C117" s="37" t="str">
        <f aca="false">IF($A117="","",PO!$E117)</f>
        <v/>
      </c>
      <c r="D117" s="37" t="str">
        <f aca="false">IF($A117="","",PO!$H117)</f>
        <v/>
      </c>
      <c r="E117" s="37" t="str">
        <f aca="false">IF($A117="","",PO!$I117)</f>
        <v/>
      </c>
      <c r="F117" s="41" t="str">
        <f aca="false">IF($A117="","",IF(PO!$R117="","",PO!$R117))</f>
        <v/>
      </c>
      <c r="G117" s="38" t="str">
        <f aca="false">IF($A117="","",PO!$L117)</f>
        <v/>
      </c>
      <c r="H117" s="38" t="str">
        <f aca="false">IF($A117="","",SUMIFS('Thanh toán'!$H$4:$H$203,'Thanh toán'!$C$4:$C$203,$A117))</f>
        <v/>
      </c>
      <c r="I117" s="38" t="str">
        <f aca="false">IF($A117="","",IFERROR($G117-$H117,""))</f>
        <v/>
      </c>
      <c r="J117" s="41" t="str">
        <f aca="false">IF($A117="","",IF(PO!$AA117="","",PO!$AA117))</f>
        <v/>
      </c>
      <c r="K117" s="38" t="str">
        <f aca="true">IF($A117="","",IF($I117&lt;=0,0,IF($J117="",0,MAX(0,TODAY()-$J117))))</f>
        <v/>
      </c>
      <c r="L117" s="37" t="str">
        <f aca="false">IF($A117="","",IF($I117&lt;=0,"Đã thanh toán",IF($K117=0,"Trong hạn",IF($K117&lt;=30,"1-30",IF($K117&lt;=60,"31-60",IF($K117&lt;=90,"61-90","&gt;90"))))))</f>
        <v/>
      </c>
      <c r="M117" s="37" t="str">
        <f aca="false">IF($A117="","",IF($I117&lt;=0,"Đã thanh toán đủ",IF($K117&gt;0,"QUÁ HẠN","Còn nợ, trong hạn")))</f>
        <v/>
      </c>
    </row>
    <row r="118" customFormat="false" ht="15" hidden="false" customHeight="false" outlineLevel="0" collapsed="false">
      <c r="A118" s="37" t="str">
        <f aca="false">IF(PO!$A118="","",PO!$A118)</f>
        <v/>
      </c>
      <c r="B118" s="37" t="str">
        <f aca="false">IF($A118="","",PO!$D118)</f>
        <v/>
      </c>
      <c r="C118" s="37" t="str">
        <f aca="false">IF($A118="","",PO!$E118)</f>
        <v/>
      </c>
      <c r="D118" s="37" t="str">
        <f aca="false">IF($A118="","",PO!$H118)</f>
        <v/>
      </c>
      <c r="E118" s="37" t="str">
        <f aca="false">IF($A118="","",PO!$I118)</f>
        <v/>
      </c>
      <c r="F118" s="41" t="str">
        <f aca="false">IF($A118="","",IF(PO!$R118="","",PO!$R118))</f>
        <v/>
      </c>
      <c r="G118" s="38" t="str">
        <f aca="false">IF($A118="","",PO!$L118)</f>
        <v/>
      </c>
      <c r="H118" s="38" t="str">
        <f aca="false">IF($A118="","",SUMIFS('Thanh toán'!$H$4:$H$203,'Thanh toán'!$C$4:$C$203,$A118))</f>
        <v/>
      </c>
      <c r="I118" s="38" t="str">
        <f aca="false">IF($A118="","",IFERROR($G118-$H118,""))</f>
        <v/>
      </c>
      <c r="J118" s="41" t="str">
        <f aca="false">IF($A118="","",IF(PO!$AA118="","",PO!$AA118))</f>
        <v/>
      </c>
      <c r="K118" s="38" t="str">
        <f aca="true">IF($A118="","",IF($I118&lt;=0,0,IF($J118="",0,MAX(0,TODAY()-$J118))))</f>
        <v/>
      </c>
      <c r="L118" s="37" t="str">
        <f aca="false">IF($A118="","",IF($I118&lt;=0,"Đã thanh toán",IF($K118=0,"Trong hạn",IF($K118&lt;=30,"1-30",IF($K118&lt;=60,"31-60",IF($K118&lt;=90,"61-90","&gt;90"))))))</f>
        <v/>
      </c>
      <c r="M118" s="37" t="str">
        <f aca="false">IF($A118="","",IF($I118&lt;=0,"Đã thanh toán đủ",IF($K118&gt;0,"QUÁ HẠN","Còn nợ, trong hạn")))</f>
        <v/>
      </c>
    </row>
    <row r="119" customFormat="false" ht="15" hidden="false" customHeight="false" outlineLevel="0" collapsed="false">
      <c r="A119" s="37" t="str">
        <f aca="false">IF(PO!$A119="","",PO!$A119)</f>
        <v/>
      </c>
      <c r="B119" s="37" t="str">
        <f aca="false">IF($A119="","",PO!$D119)</f>
        <v/>
      </c>
      <c r="C119" s="37" t="str">
        <f aca="false">IF($A119="","",PO!$E119)</f>
        <v/>
      </c>
      <c r="D119" s="37" t="str">
        <f aca="false">IF($A119="","",PO!$H119)</f>
        <v/>
      </c>
      <c r="E119" s="37" t="str">
        <f aca="false">IF($A119="","",PO!$I119)</f>
        <v/>
      </c>
      <c r="F119" s="41" t="str">
        <f aca="false">IF($A119="","",IF(PO!$R119="","",PO!$R119))</f>
        <v/>
      </c>
      <c r="G119" s="38" t="str">
        <f aca="false">IF($A119="","",PO!$L119)</f>
        <v/>
      </c>
      <c r="H119" s="38" t="str">
        <f aca="false">IF($A119="","",SUMIFS('Thanh toán'!$H$4:$H$203,'Thanh toán'!$C$4:$C$203,$A119))</f>
        <v/>
      </c>
      <c r="I119" s="38" t="str">
        <f aca="false">IF($A119="","",IFERROR($G119-$H119,""))</f>
        <v/>
      </c>
      <c r="J119" s="41" t="str">
        <f aca="false">IF($A119="","",IF(PO!$AA119="","",PO!$AA119))</f>
        <v/>
      </c>
      <c r="K119" s="38" t="str">
        <f aca="true">IF($A119="","",IF($I119&lt;=0,0,IF($J119="",0,MAX(0,TODAY()-$J119))))</f>
        <v/>
      </c>
      <c r="L119" s="37" t="str">
        <f aca="false">IF($A119="","",IF($I119&lt;=0,"Đã thanh toán",IF($K119=0,"Trong hạn",IF($K119&lt;=30,"1-30",IF($K119&lt;=60,"31-60",IF($K119&lt;=90,"61-90","&gt;90"))))))</f>
        <v/>
      </c>
      <c r="M119" s="37" t="str">
        <f aca="false">IF($A119="","",IF($I119&lt;=0,"Đã thanh toán đủ",IF($K119&gt;0,"QUÁ HẠN","Còn nợ, trong hạn")))</f>
        <v/>
      </c>
    </row>
    <row r="120" customFormat="false" ht="15" hidden="false" customHeight="false" outlineLevel="0" collapsed="false">
      <c r="A120" s="37" t="str">
        <f aca="false">IF(PO!$A120="","",PO!$A120)</f>
        <v/>
      </c>
      <c r="B120" s="37" t="str">
        <f aca="false">IF($A120="","",PO!$D120)</f>
        <v/>
      </c>
      <c r="C120" s="37" t="str">
        <f aca="false">IF($A120="","",PO!$E120)</f>
        <v/>
      </c>
      <c r="D120" s="37" t="str">
        <f aca="false">IF($A120="","",PO!$H120)</f>
        <v/>
      </c>
      <c r="E120" s="37" t="str">
        <f aca="false">IF($A120="","",PO!$I120)</f>
        <v/>
      </c>
      <c r="F120" s="41" t="str">
        <f aca="false">IF($A120="","",IF(PO!$R120="","",PO!$R120))</f>
        <v/>
      </c>
      <c r="G120" s="38" t="str">
        <f aca="false">IF($A120="","",PO!$L120)</f>
        <v/>
      </c>
      <c r="H120" s="38" t="str">
        <f aca="false">IF($A120="","",SUMIFS('Thanh toán'!$H$4:$H$203,'Thanh toán'!$C$4:$C$203,$A120))</f>
        <v/>
      </c>
      <c r="I120" s="38" t="str">
        <f aca="false">IF($A120="","",IFERROR($G120-$H120,""))</f>
        <v/>
      </c>
      <c r="J120" s="41" t="str">
        <f aca="false">IF($A120="","",IF(PO!$AA120="","",PO!$AA120))</f>
        <v/>
      </c>
      <c r="K120" s="38" t="str">
        <f aca="true">IF($A120="","",IF($I120&lt;=0,0,IF($J120="",0,MAX(0,TODAY()-$J120))))</f>
        <v/>
      </c>
      <c r="L120" s="37" t="str">
        <f aca="false">IF($A120="","",IF($I120&lt;=0,"Đã thanh toán",IF($K120=0,"Trong hạn",IF($K120&lt;=30,"1-30",IF($K120&lt;=60,"31-60",IF($K120&lt;=90,"61-90","&gt;90"))))))</f>
        <v/>
      </c>
      <c r="M120" s="37" t="str">
        <f aca="false">IF($A120="","",IF($I120&lt;=0,"Đã thanh toán đủ",IF($K120&gt;0,"QUÁ HẠN","Còn nợ, trong hạn")))</f>
        <v/>
      </c>
    </row>
    <row r="121" customFormat="false" ht="15" hidden="false" customHeight="false" outlineLevel="0" collapsed="false">
      <c r="A121" s="37" t="str">
        <f aca="false">IF(PO!$A121="","",PO!$A121)</f>
        <v/>
      </c>
      <c r="B121" s="37" t="str">
        <f aca="false">IF($A121="","",PO!$D121)</f>
        <v/>
      </c>
      <c r="C121" s="37" t="str">
        <f aca="false">IF($A121="","",PO!$E121)</f>
        <v/>
      </c>
      <c r="D121" s="37" t="str">
        <f aca="false">IF($A121="","",PO!$H121)</f>
        <v/>
      </c>
      <c r="E121" s="37" t="str">
        <f aca="false">IF($A121="","",PO!$I121)</f>
        <v/>
      </c>
      <c r="F121" s="41" t="str">
        <f aca="false">IF($A121="","",IF(PO!$R121="","",PO!$R121))</f>
        <v/>
      </c>
      <c r="G121" s="38" t="str">
        <f aca="false">IF($A121="","",PO!$L121)</f>
        <v/>
      </c>
      <c r="H121" s="38" t="str">
        <f aca="false">IF($A121="","",SUMIFS('Thanh toán'!$H$4:$H$203,'Thanh toán'!$C$4:$C$203,$A121))</f>
        <v/>
      </c>
      <c r="I121" s="38" t="str">
        <f aca="false">IF($A121="","",IFERROR($G121-$H121,""))</f>
        <v/>
      </c>
      <c r="J121" s="41" t="str">
        <f aca="false">IF($A121="","",IF(PO!$AA121="","",PO!$AA121))</f>
        <v/>
      </c>
      <c r="K121" s="38" t="str">
        <f aca="true">IF($A121="","",IF($I121&lt;=0,0,IF($J121="",0,MAX(0,TODAY()-$J121))))</f>
        <v/>
      </c>
      <c r="L121" s="37" t="str">
        <f aca="false">IF($A121="","",IF($I121&lt;=0,"Đã thanh toán",IF($K121=0,"Trong hạn",IF($K121&lt;=30,"1-30",IF($K121&lt;=60,"31-60",IF($K121&lt;=90,"61-90","&gt;90"))))))</f>
        <v/>
      </c>
      <c r="M121" s="37" t="str">
        <f aca="false">IF($A121="","",IF($I121&lt;=0,"Đã thanh toán đủ",IF($K121&gt;0,"QUÁ HẠN","Còn nợ, trong hạn")))</f>
        <v/>
      </c>
    </row>
    <row r="122" customFormat="false" ht="15" hidden="false" customHeight="false" outlineLevel="0" collapsed="false">
      <c r="A122" s="37" t="str">
        <f aca="false">IF(PO!$A122="","",PO!$A122)</f>
        <v/>
      </c>
      <c r="B122" s="37" t="str">
        <f aca="false">IF($A122="","",PO!$D122)</f>
        <v/>
      </c>
      <c r="C122" s="37" t="str">
        <f aca="false">IF($A122="","",PO!$E122)</f>
        <v/>
      </c>
      <c r="D122" s="37" t="str">
        <f aca="false">IF($A122="","",PO!$H122)</f>
        <v/>
      </c>
      <c r="E122" s="37" t="str">
        <f aca="false">IF($A122="","",PO!$I122)</f>
        <v/>
      </c>
      <c r="F122" s="41" t="str">
        <f aca="false">IF($A122="","",IF(PO!$R122="","",PO!$R122))</f>
        <v/>
      </c>
      <c r="G122" s="38" t="str">
        <f aca="false">IF($A122="","",PO!$L122)</f>
        <v/>
      </c>
      <c r="H122" s="38" t="str">
        <f aca="false">IF($A122="","",SUMIFS('Thanh toán'!$H$4:$H$203,'Thanh toán'!$C$4:$C$203,$A122))</f>
        <v/>
      </c>
      <c r="I122" s="38" t="str">
        <f aca="false">IF($A122="","",IFERROR($G122-$H122,""))</f>
        <v/>
      </c>
      <c r="J122" s="41" t="str">
        <f aca="false">IF($A122="","",IF(PO!$AA122="","",PO!$AA122))</f>
        <v/>
      </c>
      <c r="K122" s="38" t="str">
        <f aca="true">IF($A122="","",IF($I122&lt;=0,0,IF($J122="",0,MAX(0,TODAY()-$J122))))</f>
        <v/>
      </c>
      <c r="L122" s="37" t="str">
        <f aca="false">IF($A122="","",IF($I122&lt;=0,"Đã thanh toán",IF($K122=0,"Trong hạn",IF($K122&lt;=30,"1-30",IF($K122&lt;=60,"31-60",IF($K122&lt;=90,"61-90","&gt;90"))))))</f>
        <v/>
      </c>
      <c r="M122" s="37" t="str">
        <f aca="false">IF($A122="","",IF($I122&lt;=0,"Đã thanh toán đủ",IF($K122&gt;0,"QUÁ HẠN","Còn nợ, trong hạn")))</f>
        <v/>
      </c>
    </row>
    <row r="123" customFormat="false" ht="15" hidden="false" customHeight="false" outlineLevel="0" collapsed="false">
      <c r="A123" s="37" t="str">
        <f aca="false">IF(PO!$A123="","",PO!$A123)</f>
        <v/>
      </c>
      <c r="B123" s="37" t="str">
        <f aca="false">IF($A123="","",PO!$D123)</f>
        <v/>
      </c>
      <c r="C123" s="37" t="str">
        <f aca="false">IF($A123="","",PO!$E123)</f>
        <v/>
      </c>
      <c r="D123" s="37" t="str">
        <f aca="false">IF($A123="","",PO!$H123)</f>
        <v/>
      </c>
      <c r="E123" s="37" t="str">
        <f aca="false">IF($A123="","",PO!$I123)</f>
        <v/>
      </c>
      <c r="F123" s="41" t="str">
        <f aca="false">IF($A123="","",IF(PO!$R123="","",PO!$R123))</f>
        <v/>
      </c>
      <c r="G123" s="38" t="str">
        <f aca="false">IF($A123="","",PO!$L123)</f>
        <v/>
      </c>
      <c r="H123" s="38" t="str">
        <f aca="false">IF($A123="","",SUMIFS('Thanh toán'!$H$4:$H$203,'Thanh toán'!$C$4:$C$203,$A123))</f>
        <v/>
      </c>
      <c r="I123" s="38" t="str">
        <f aca="false">IF($A123="","",IFERROR($G123-$H123,""))</f>
        <v/>
      </c>
      <c r="J123" s="41" t="str">
        <f aca="false">IF($A123="","",IF(PO!$AA123="","",PO!$AA123))</f>
        <v/>
      </c>
      <c r="K123" s="38" t="str">
        <f aca="true">IF($A123="","",IF($I123&lt;=0,0,IF($J123="",0,MAX(0,TODAY()-$J123))))</f>
        <v/>
      </c>
      <c r="L123" s="37" t="str">
        <f aca="false">IF($A123="","",IF($I123&lt;=0,"Đã thanh toán",IF($K123=0,"Trong hạn",IF($K123&lt;=30,"1-30",IF($K123&lt;=60,"31-60",IF($K123&lt;=90,"61-90","&gt;90"))))))</f>
        <v/>
      </c>
      <c r="M123" s="37" t="str">
        <f aca="false">IF($A123="","",IF($I123&lt;=0,"Đã thanh toán đủ",IF($K123&gt;0,"QUÁ HẠN","Còn nợ, trong hạn")))</f>
        <v/>
      </c>
    </row>
    <row r="124" customFormat="false" ht="15" hidden="false" customHeight="false" outlineLevel="0" collapsed="false">
      <c r="A124" s="37" t="str">
        <f aca="false">IF(PO!$A124="","",PO!$A124)</f>
        <v/>
      </c>
      <c r="B124" s="37" t="str">
        <f aca="false">IF($A124="","",PO!$D124)</f>
        <v/>
      </c>
      <c r="C124" s="37" t="str">
        <f aca="false">IF($A124="","",PO!$E124)</f>
        <v/>
      </c>
      <c r="D124" s="37" t="str">
        <f aca="false">IF($A124="","",PO!$H124)</f>
        <v/>
      </c>
      <c r="E124" s="37" t="str">
        <f aca="false">IF($A124="","",PO!$I124)</f>
        <v/>
      </c>
      <c r="F124" s="41" t="str">
        <f aca="false">IF($A124="","",IF(PO!$R124="","",PO!$R124))</f>
        <v/>
      </c>
      <c r="G124" s="38" t="str">
        <f aca="false">IF($A124="","",PO!$L124)</f>
        <v/>
      </c>
      <c r="H124" s="38" t="str">
        <f aca="false">IF($A124="","",SUMIFS('Thanh toán'!$H$4:$H$203,'Thanh toán'!$C$4:$C$203,$A124))</f>
        <v/>
      </c>
      <c r="I124" s="38" t="str">
        <f aca="false">IF($A124="","",IFERROR($G124-$H124,""))</f>
        <v/>
      </c>
      <c r="J124" s="41" t="str">
        <f aca="false">IF($A124="","",IF(PO!$AA124="","",PO!$AA124))</f>
        <v/>
      </c>
      <c r="K124" s="38" t="str">
        <f aca="true">IF($A124="","",IF($I124&lt;=0,0,IF($J124="",0,MAX(0,TODAY()-$J124))))</f>
        <v/>
      </c>
      <c r="L124" s="37" t="str">
        <f aca="false">IF($A124="","",IF($I124&lt;=0,"Đã thanh toán",IF($K124=0,"Trong hạn",IF($K124&lt;=30,"1-30",IF($K124&lt;=60,"31-60",IF($K124&lt;=90,"61-90","&gt;90"))))))</f>
        <v/>
      </c>
      <c r="M124" s="37" t="str">
        <f aca="false">IF($A124="","",IF($I124&lt;=0,"Đã thanh toán đủ",IF($K124&gt;0,"QUÁ HẠN","Còn nợ, trong hạn")))</f>
        <v/>
      </c>
    </row>
    <row r="125" customFormat="false" ht="15" hidden="false" customHeight="false" outlineLevel="0" collapsed="false">
      <c r="A125" s="37" t="str">
        <f aca="false">IF(PO!$A125="","",PO!$A125)</f>
        <v/>
      </c>
      <c r="B125" s="37" t="str">
        <f aca="false">IF($A125="","",PO!$D125)</f>
        <v/>
      </c>
      <c r="C125" s="37" t="str">
        <f aca="false">IF($A125="","",PO!$E125)</f>
        <v/>
      </c>
      <c r="D125" s="37" t="str">
        <f aca="false">IF($A125="","",PO!$H125)</f>
        <v/>
      </c>
      <c r="E125" s="37" t="str">
        <f aca="false">IF($A125="","",PO!$I125)</f>
        <v/>
      </c>
      <c r="F125" s="41" t="str">
        <f aca="false">IF($A125="","",IF(PO!$R125="","",PO!$R125))</f>
        <v/>
      </c>
      <c r="G125" s="38" t="str">
        <f aca="false">IF($A125="","",PO!$L125)</f>
        <v/>
      </c>
      <c r="H125" s="38" t="str">
        <f aca="false">IF($A125="","",SUMIFS('Thanh toán'!$H$4:$H$203,'Thanh toán'!$C$4:$C$203,$A125))</f>
        <v/>
      </c>
      <c r="I125" s="38" t="str">
        <f aca="false">IF($A125="","",IFERROR($G125-$H125,""))</f>
        <v/>
      </c>
      <c r="J125" s="41" t="str">
        <f aca="false">IF($A125="","",IF(PO!$AA125="","",PO!$AA125))</f>
        <v/>
      </c>
      <c r="K125" s="38" t="str">
        <f aca="true">IF($A125="","",IF($I125&lt;=0,0,IF($J125="",0,MAX(0,TODAY()-$J125))))</f>
        <v/>
      </c>
      <c r="L125" s="37" t="str">
        <f aca="false">IF($A125="","",IF($I125&lt;=0,"Đã thanh toán",IF($K125=0,"Trong hạn",IF($K125&lt;=30,"1-30",IF($K125&lt;=60,"31-60",IF($K125&lt;=90,"61-90","&gt;90"))))))</f>
        <v/>
      </c>
      <c r="M125" s="37" t="str">
        <f aca="false">IF($A125="","",IF($I125&lt;=0,"Đã thanh toán đủ",IF($K125&gt;0,"QUÁ HẠN","Còn nợ, trong hạn")))</f>
        <v/>
      </c>
    </row>
    <row r="126" customFormat="false" ht="15" hidden="false" customHeight="false" outlineLevel="0" collapsed="false">
      <c r="A126" s="37" t="str">
        <f aca="false">IF(PO!$A126="","",PO!$A126)</f>
        <v/>
      </c>
      <c r="B126" s="37" t="str">
        <f aca="false">IF($A126="","",PO!$D126)</f>
        <v/>
      </c>
      <c r="C126" s="37" t="str">
        <f aca="false">IF($A126="","",PO!$E126)</f>
        <v/>
      </c>
      <c r="D126" s="37" t="str">
        <f aca="false">IF($A126="","",PO!$H126)</f>
        <v/>
      </c>
      <c r="E126" s="37" t="str">
        <f aca="false">IF($A126="","",PO!$I126)</f>
        <v/>
      </c>
      <c r="F126" s="41" t="str">
        <f aca="false">IF($A126="","",IF(PO!$R126="","",PO!$R126))</f>
        <v/>
      </c>
      <c r="G126" s="38" t="str">
        <f aca="false">IF($A126="","",PO!$L126)</f>
        <v/>
      </c>
      <c r="H126" s="38" t="str">
        <f aca="false">IF($A126="","",SUMIFS('Thanh toán'!$H$4:$H$203,'Thanh toán'!$C$4:$C$203,$A126))</f>
        <v/>
      </c>
      <c r="I126" s="38" t="str">
        <f aca="false">IF($A126="","",IFERROR($G126-$H126,""))</f>
        <v/>
      </c>
      <c r="J126" s="41" t="str">
        <f aca="false">IF($A126="","",IF(PO!$AA126="","",PO!$AA126))</f>
        <v/>
      </c>
      <c r="K126" s="38" t="str">
        <f aca="true">IF($A126="","",IF($I126&lt;=0,0,IF($J126="",0,MAX(0,TODAY()-$J126))))</f>
        <v/>
      </c>
      <c r="L126" s="37" t="str">
        <f aca="false">IF($A126="","",IF($I126&lt;=0,"Đã thanh toán",IF($K126=0,"Trong hạn",IF($K126&lt;=30,"1-30",IF($K126&lt;=60,"31-60",IF($K126&lt;=90,"61-90","&gt;90"))))))</f>
        <v/>
      </c>
      <c r="M126" s="37" t="str">
        <f aca="false">IF($A126="","",IF($I126&lt;=0,"Đã thanh toán đủ",IF($K126&gt;0,"QUÁ HẠN","Còn nợ, trong hạn")))</f>
        <v/>
      </c>
    </row>
    <row r="127" customFormat="false" ht="15" hidden="false" customHeight="false" outlineLevel="0" collapsed="false">
      <c r="A127" s="37" t="str">
        <f aca="false">IF(PO!$A127="","",PO!$A127)</f>
        <v/>
      </c>
      <c r="B127" s="37" t="str">
        <f aca="false">IF($A127="","",PO!$D127)</f>
        <v/>
      </c>
      <c r="C127" s="37" t="str">
        <f aca="false">IF($A127="","",PO!$E127)</f>
        <v/>
      </c>
      <c r="D127" s="37" t="str">
        <f aca="false">IF($A127="","",PO!$H127)</f>
        <v/>
      </c>
      <c r="E127" s="37" t="str">
        <f aca="false">IF($A127="","",PO!$I127)</f>
        <v/>
      </c>
      <c r="F127" s="41" t="str">
        <f aca="false">IF($A127="","",IF(PO!$R127="","",PO!$R127))</f>
        <v/>
      </c>
      <c r="G127" s="38" t="str">
        <f aca="false">IF($A127="","",PO!$L127)</f>
        <v/>
      </c>
      <c r="H127" s="38" t="str">
        <f aca="false">IF($A127="","",SUMIFS('Thanh toán'!$H$4:$H$203,'Thanh toán'!$C$4:$C$203,$A127))</f>
        <v/>
      </c>
      <c r="I127" s="38" t="str">
        <f aca="false">IF($A127="","",IFERROR($G127-$H127,""))</f>
        <v/>
      </c>
      <c r="J127" s="41" t="str">
        <f aca="false">IF($A127="","",IF(PO!$AA127="","",PO!$AA127))</f>
        <v/>
      </c>
      <c r="K127" s="38" t="str">
        <f aca="true">IF($A127="","",IF($I127&lt;=0,0,IF($J127="",0,MAX(0,TODAY()-$J127))))</f>
        <v/>
      </c>
      <c r="L127" s="37" t="str">
        <f aca="false">IF($A127="","",IF($I127&lt;=0,"Đã thanh toán",IF($K127=0,"Trong hạn",IF($K127&lt;=30,"1-30",IF($K127&lt;=60,"31-60",IF($K127&lt;=90,"61-90","&gt;90"))))))</f>
        <v/>
      </c>
      <c r="M127" s="37" t="str">
        <f aca="false">IF($A127="","",IF($I127&lt;=0,"Đã thanh toán đủ",IF($K127&gt;0,"QUÁ HẠN","Còn nợ, trong hạn")))</f>
        <v/>
      </c>
    </row>
    <row r="128" customFormat="false" ht="15" hidden="false" customHeight="false" outlineLevel="0" collapsed="false">
      <c r="A128" s="37" t="str">
        <f aca="false">IF(PO!$A128="","",PO!$A128)</f>
        <v/>
      </c>
      <c r="B128" s="37" t="str">
        <f aca="false">IF($A128="","",PO!$D128)</f>
        <v/>
      </c>
      <c r="C128" s="37" t="str">
        <f aca="false">IF($A128="","",PO!$E128)</f>
        <v/>
      </c>
      <c r="D128" s="37" t="str">
        <f aca="false">IF($A128="","",PO!$H128)</f>
        <v/>
      </c>
      <c r="E128" s="37" t="str">
        <f aca="false">IF($A128="","",PO!$I128)</f>
        <v/>
      </c>
      <c r="F128" s="41" t="str">
        <f aca="false">IF($A128="","",IF(PO!$R128="","",PO!$R128))</f>
        <v/>
      </c>
      <c r="G128" s="38" t="str">
        <f aca="false">IF($A128="","",PO!$L128)</f>
        <v/>
      </c>
      <c r="H128" s="38" t="str">
        <f aca="false">IF($A128="","",SUMIFS('Thanh toán'!$H$4:$H$203,'Thanh toán'!$C$4:$C$203,$A128))</f>
        <v/>
      </c>
      <c r="I128" s="38" t="str">
        <f aca="false">IF($A128="","",IFERROR($G128-$H128,""))</f>
        <v/>
      </c>
      <c r="J128" s="41" t="str">
        <f aca="false">IF($A128="","",IF(PO!$AA128="","",PO!$AA128))</f>
        <v/>
      </c>
      <c r="K128" s="38" t="str">
        <f aca="true">IF($A128="","",IF($I128&lt;=0,0,IF($J128="",0,MAX(0,TODAY()-$J128))))</f>
        <v/>
      </c>
      <c r="L128" s="37" t="str">
        <f aca="false">IF($A128="","",IF($I128&lt;=0,"Đã thanh toán",IF($K128=0,"Trong hạn",IF($K128&lt;=30,"1-30",IF($K128&lt;=60,"31-60",IF($K128&lt;=90,"61-90","&gt;90"))))))</f>
        <v/>
      </c>
      <c r="M128" s="37" t="str">
        <f aca="false">IF($A128="","",IF($I128&lt;=0,"Đã thanh toán đủ",IF($K128&gt;0,"QUÁ HẠN","Còn nợ, trong hạn")))</f>
        <v/>
      </c>
    </row>
    <row r="129" customFormat="false" ht="15" hidden="false" customHeight="false" outlineLevel="0" collapsed="false">
      <c r="A129" s="37" t="str">
        <f aca="false">IF(PO!$A129="","",PO!$A129)</f>
        <v/>
      </c>
      <c r="B129" s="37" t="str">
        <f aca="false">IF($A129="","",PO!$D129)</f>
        <v/>
      </c>
      <c r="C129" s="37" t="str">
        <f aca="false">IF($A129="","",PO!$E129)</f>
        <v/>
      </c>
      <c r="D129" s="37" t="str">
        <f aca="false">IF($A129="","",PO!$H129)</f>
        <v/>
      </c>
      <c r="E129" s="37" t="str">
        <f aca="false">IF($A129="","",PO!$I129)</f>
        <v/>
      </c>
      <c r="F129" s="41" t="str">
        <f aca="false">IF($A129="","",IF(PO!$R129="","",PO!$R129))</f>
        <v/>
      </c>
      <c r="G129" s="38" t="str">
        <f aca="false">IF($A129="","",PO!$L129)</f>
        <v/>
      </c>
      <c r="H129" s="38" t="str">
        <f aca="false">IF($A129="","",SUMIFS('Thanh toán'!$H$4:$H$203,'Thanh toán'!$C$4:$C$203,$A129))</f>
        <v/>
      </c>
      <c r="I129" s="38" t="str">
        <f aca="false">IF($A129="","",IFERROR($G129-$H129,""))</f>
        <v/>
      </c>
      <c r="J129" s="41" t="str">
        <f aca="false">IF($A129="","",IF(PO!$AA129="","",PO!$AA129))</f>
        <v/>
      </c>
      <c r="K129" s="38" t="str">
        <f aca="true">IF($A129="","",IF($I129&lt;=0,0,IF($J129="",0,MAX(0,TODAY()-$J129))))</f>
        <v/>
      </c>
      <c r="L129" s="37" t="str">
        <f aca="false">IF($A129="","",IF($I129&lt;=0,"Đã thanh toán",IF($K129=0,"Trong hạn",IF($K129&lt;=30,"1-30",IF($K129&lt;=60,"31-60",IF($K129&lt;=90,"61-90","&gt;90"))))))</f>
        <v/>
      </c>
      <c r="M129" s="37" t="str">
        <f aca="false">IF($A129="","",IF($I129&lt;=0,"Đã thanh toán đủ",IF($K129&gt;0,"QUÁ HẠN","Còn nợ, trong hạn")))</f>
        <v/>
      </c>
    </row>
    <row r="130" customFormat="false" ht="15" hidden="false" customHeight="false" outlineLevel="0" collapsed="false">
      <c r="A130" s="37" t="str">
        <f aca="false">IF(PO!$A130="","",PO!$A130)</f>
        <v/>
      </c>
      <c r="B130" s="37" t="str">
        <f aca="false">IF($A130="","",PO!$D130)</f>
        <v/>
      </c>
      <c r="C130" s="37" t="str">
        <f aca="false">IF($A130="","",PO!$E130)</f>
        <v/>
      </c>
      <c r="D130" s="37" t="str">
        <f aca="false">IF($A130="","",PO!$H130)</f>
        <v/>
      </c>
      <c r="E130" s="37" t="str">
        <f aca="false">IF($A130="","",PO!$I130)</f>
        <v/>
      </c>
      <c r="F130" s="41" t="str">
        <f aca="false">IF($A130="","",IF(PO!$R130="","",PO!$R130))</f>
        <v/>
      </c>
      <c r="G130" s="38" t="str">
        <f aca="false">IF($A130="","",PO!$L130)</f>
        <v/>
      </c>
      <c r="H130" s="38" t="str">
        <f aca="false">IF($A130="","",SUMIFS('Thanh toán'!$H$4:$H$203,'Thanh toán'!$C$4:$C$203,$A130))</f>
        <v/>
      </c>
      <c r="I130" s="38" t="str">
        <f aca="false">IF($A130="","",IFERROR($G130-$H130,""))</f>
        <v/>
      </c>
      <c r="J130" s="41" t="str">
        <f aca="false">IF($A130="","",IF(PO!$AA130="","",PO!$AA130))</f>
        <v/>
      </c>
      <c r="K130" s="38" t="str">
        <f aca="true">IF($A130="","",IF($I130&lt;=0,0,IF($J130="",0,MAX(0,TODAY()-$J130))))</f>
        <v/>
      </c>
      <c r="L130" s="37" t="str">
        <f aca="false">IF($A130="","",IF($I130&lt;=0,"Đã thanh toán",IF($K130=0,"Trong hạn",IF($K130&lt;=30,"1-30",IF($K130&lt;=60,"31-60",IF($K130&lt;=90,"61-90","&gt;90"))))))</f>
        <v/>
      </c>
      <c r="M130" s="37" t="str">
        <f aca="false">IF($A130="","",IF($I130&lt;=0,"Đã thanh toán đủ",IF($K130&gt;0,"QUÁ HẠN","Còn nợ, trong hạn")))</f>
        <v/>
      </c>
    </row>
    <row r="131" customFormat="false" ht="15" hidden="false" customHeight="false" outlineLevel="0" collapsed="false">
      <c r="A131" s="37" t="str">
        <f aca="false">IF(PO!$A131="","",PO!$A131)</f>
        <v/>
      </c>
      <c r="B131" s="37" t="str">
        <f aca="false">IF($A131="","",PO!$D131)</f>
        <v/>
      </c>
      <c r="C131" s="37" t="str">
        <f aca="false">IF($A131="","",PO!$E131)</f>
        <v/>
      </c>
      <c r="D131" s="37" t="str">
        <f aca="false">IF($A131="","",PO!$H131)</f>
        <v/>
      </c>
      <c r="E131" s="37" t="str">
        <f aca="false">IF($A131="","",PO!$I131)</f>
        <v/>
      </c>
      <c r="F131" s="41" t="str">
        <f aca="false">IF($A131="","",IF(PO!$R131="","",PO!$R131))</f>
        <v/>
      </c>
      <c r="G131" s="38" t="str">
        <f aca="false">IF($A131="","",PO!$L131)</f>
        <v/>
      </c>
      <c r="H131" s="38" t="str">
        <f aca="false">IF($A131="","",SUMIFS('Thanh toán'!$H$4:$H$203,'Thanh toán'!$C$4:$C$203,$A131))</f>
        <v/>
      </c>
      <c r="I131" s="38" t="str">
        <f aca="false">IF($A131="","",IFERROR($G131-$H131,""))</f>
        <v/>
      </c>
      <c r="J131" s="41" t="str">
        <f aca="false">IF($A131="","",IF(PO!$AA131="","",PO!$AA131))</f>
        <v/>
      </c>
      <c r="K131" s="38" t="str">
        <f aca="true">IF($A131="","",IF($I131&lt;=0,0,IF($J131="",0,MAX(0,TODAY()-$J131))))</f>
        <v/>
      </c>
      <c r="L131" s="37" t="str">
        <f aca="false">IF($A131="","",IF($I131&lt;=0,"Đã thanh toán",IF($K131=0,"Trong hạn",IF($K131&lt;=30,"1-30",IF($K131&lt;=60,"31-60",IF($K131&lt;=90,"61-90","&gt;90"))))))</f>
        <v/>
      </c>
      <c r="M131" s="37" t="str">
        <f aca="false">IF($A131="","",IF($I131&lt;=0,"Đã thanh toán đủ",IF($K131&gt;0,"QUÁ HẠN","Còn nợ, trong hạn")))</f>
        <v/>
      </c>
    </row>
    <row r="132" customFormat="false" ht="15" hidden="false" customHeight="false" outlineLevel="0" collapsed="false">
      <c r="A132" s="37" t="str">
        <f aca="false">IF(PO!$A132="","",PO!$A132)</f>
        <v/>
      </c>
      <c r="B132" s="37" t="str">
        <f aca="false">IF($A132="","",PO!$D132)</f>
        <v/>
      </c>
      <c r="C132" s="37" t="str">
        <f aca="false">IF($A132="","",PO!$E132)</f>
        <v/>
      </c>
      <c r="D132" s="37" t="str">
        <f aca="false">IF($A132="","",PO!$H132)</f>
        <v/>
      </c>
      <c r="E132" s="37" t="str">
        <f aca="false">IF($A132="","",PO!$I132)</f>
        <v/>
      </c>
      <c r="F132" s="41" t="str">
        <f aca="false">IF($A132="","",IF(PO!$R132="","",PO!$R132))</f>
        <v/>
      </c>
      <c r="G132" s="38" t="str">
        <f aca="false">IF($A132="","",PO!$L132)</f>
        <v/>
      </c>
      <c r="H132" s="38" t="str">
        <f aca="false">IF($A132="","",SUMIFS('Thanh toán'!$H$4:$H$203,'Thanh toán'!$C$4:$C$203,$A132))</f>
        <v/>
      </c>
      <c r="I132" s="38" t="str">
        <f aca="false">IF($A132="","",IFERROR($G132-$H132,""))</f>
        <v/>
      </c>
      <c r="J132" s="41" t="str">
        <f aca="false">IF($A132="","",IF(PO!$AA132="","",PO!$AA132))</f>
        <v/>
      </c>
      <c r="K132" s="38" t="str">
        <f aca="true">IF($A132="","",IF($I132&lt;=0,0,IF($J132="",0,MAX(0,TODAY()-$J132))))</f>
        <v/>
      </c>
      <c r="L132" s="37" t="str">
        <f aca="false">IF($A132="","",IF($I132&lt;=0,"Đã thanh toán",IF($K132=0,"Trong hạn",IF($K132&lt;=30,"1-30",IF($K132&lt;=60,"31-60",IF($K132&lt;=90,"61-90","&gt;90"))))))</f>
        <v/>
      </c>
      <c r="M132" s="37" t="str">
        <f aca="false">IF($A132="","",IF($I132&lt;=0,"Đã thanh toán đủ",IF($K132&gt;0,"QUÁ HẠN","Còn nợ, trong hạn")))</f>
        <v/>
      </c>
    </row>
    <row r="133" customFormat="false" ht="15" hidden="false" customHeight="false" outlineLevel="0" collapsed="false">
      <c r="A133" s="37" t="str">
        <f aca="false">IF(PO!$A133="","",PO!$A133)</f>
        <v/>
      </c>
      <c r="B133" s="37" t="str">
        <f aca="false">IF($A133="","",PO!$D133)</f>
        <v/>
      </c>
      <c r="C133" s="37" t="str">
        <f aca="false">IF($A133="","",PO!$E133)</f>
        <v/>
      </c>
      <c r="D133" s="37" t="str">
        <f aca="false">IF($A133="","",PO!$H133)</f>
        <v/>
      </c>
      <c r="E133" s="37" t="str">
        <f aca="false">IF($A133="","",PO!$I133)</f>
        <v/>
      </c>
      <c r="F133" s="41" t="str">
        <f aca="false">IF($A133="","",IF(PO!$R133="","",PO!$R133))</f>
        <v/>
      </c>
      <c r="G133" s="38" t="str">
        <f aca="false">IF($A133="","",PO!$L133)</f>
        <v/>
      </c>
      <c r="H133" s="38" t="str">
        <f aca="false">IF($A133="","",SUMIFS('Thanh toán'!$H$4:$H$203,'Thanh toán'!$C$4:$C$203,$A133))</f>
        <v/>
      </c>
      <c r="I133" s="38" t="str">
        <f aca="false">IF($A133="","",IFERROR($G133-$H133,""))</f>
        <v/>
      </c>
      <c r="J133" s="41" t="str">
        <f aca="false">IF($A133="","",IF(PO!$AA133="","",PO!$AA133))</f>
        <v/>
      </c>
      <c r="K133" s="38" t="str">
        <f aca="true">IF($A133="","",IF($I133&lt;=0,0,IF($J133="",0,MAX(0,TODAY()-$J133))))</f>
        <v/>
      </c>
      <c r="L133" s="37" t="str">
        <f aca="false">IF($A133="","",IF($I133&lt;=0,"Đã thanh toán",IF($K133=0,"Trong hạn",IF($K133&lt;=30,"1-30",IF($K133&lt;=60,"31-60",IF($K133&lt;=90,"61-90","&gt;90"))))))</f>
        <v/>
      </c>
      <c r="M133" s="37" t="str">
        <f aca="false">IF($A133="","",IF($I133&lt;=0,"Đã thanh toán đủ",IF($K133&gt;0,"QUÁ HẠN","Còn nợ, trong hạn")))</f>
        <v/>
      </c>
    </row>
    <row r="134" customFormat="false" ht="15" hidden="false" customHeight="false" outlineLevel="0" collapsed="false">
      <c r="A134" s="37" t="str">
        <f aca="false">IF(PO!$A134="","",PO!$A134)</f>
        <v/>
      </c>
      <c r="B134" s="37" t="str">
        <f aca="false">IF($A134="","",PO!$D134)</f>
        <v/>
      </c>
      <c r="C134" s="37" t="str">
        <f aca="false">IF($A134="","",PO!$E134)</f>
        <v/>
      </c>
      <c r="D134" s="37" t="str">
        <f aca="false">IF($A134="","",PO!$H134)</f>
        <v/>
      </c>
      <c r="E134" s="37" t="str">
        <f aca="false">IF($A134="","",PO!$I134)</f>
        <v/>
      </c>
      <c r="F134" s="41" t="str">
        <f aca="false">IF($A134="","",IF(PO!$R134="","",PO!$R134))</f>
        <v/>
      </c>
      <c r="G134" s="38" t="str">
        <f aca="false">IF($A134="","",PO!$L134)</f>
        <v/>
      </c>
      <c r="H134" s="38" t="str">
        <f aca="false">IF($A134="","",SUMIFS('Thanh toán'!$H$4:$H$203,'Thanh toán'!$C$4:$C$203,$A134))</f>
        <v/>
      </c>
      <c r="I134" s="38" t="str">
        <f aca="false">IF($A134="","",IFERROR($G134-$H134,""))</f>
        <v/>
      </c>
      <c r="J134" s="41" t="str">
        <f aca="false">IF($A134="","",IF(PO!$AA134="","",PO!$AA134))</f>
        <v/>
      </c>
      <c r="K134" s="38" t="str">
        <f aca="true">IF($A134="","",IF($I134&lt;=0,0,IF($J134="",0,MAX(0,TODAY()-$J134))))</f>
        <v/>
      </c>
      <c r="L134" s="37" t="str">
        <f aca="false">IF($A134="","",IF($I134&lt;=0,"Đã thanh toán",IF($K134=0,"Trong hạn",IF($K134&lt;=30,"1-30",IF($K134&lt;=60,"31-60",IF($K134&lt;=90,"61-90","&gt;90"))))))</f>
        <v/>
      </c>
      <c r="M134" s="37" t="str">
        <f aca="false">IF($A134="","",IF($I134&lt;=0,"Đã thanh toán đủ",IF($K134&gt;0,"QUÁ HẠN","Còn nợ, trong hạn")))</f>
        <v/>
      </c>
    </row>
    <row r="135" customFormat="false" ht="15" hidden="false" customHeight="false" outlineLevel="0" collapsed="false">
      <c r="A135" s="37" t="str">
        <f aca="false">IF(PO!$A135="","",PO!$A135)</f>
        <v/>
      </c>
      <c r="B135" s="37" t="str">
        <f aca="false">IF($A135="","",PO!$D135)</f>
        <v/>
      </c>
      <c r="C135" s="37" t="str">
        <f aca="false">IF($A135="","",PO!$E135)</f>
        <v/>
      </c>
      <c r="D135" s="37" t="str">
        <f aca="false">IF($A135="","",PO!$H135)</f>
        <v/>
      </c>
      <c r="E135" s="37" t="str">
        <f aca="false">IF($A135="","",PO!$I135)</f>
        <v/>
      </c>
      <c r="F135" s="41" t="str">
        <f aca="false">IF($A135="","",IF(PO!$R135="","",PO!$R135))</f>
        <v/>
      </c>
      <c r="G135" s="38" t="str">
        <f aca="false">IF($A135="","",PO!$L135)</f>
        <v/>
      </c>
      <c r="H135" s="38" t="str">
        <f aca="false">IF($A135="","",SUMIFS('Thanh toán'!$H$4:$H$203,'Thanh toán'!$C$4:$C$203,$A135))</f>
        <v/>
      </c>
      <c r="I135" s="38" t="str">
        <f aca="false">IF($A135="","",IFERROR($G135-$H135,""))</f>
        <v/>
      </c>
      <c r="J135" s="41" t="str">
        <f aca="false">IF($A135="","",IF(PO!$AA135="","",PO!$AA135))</f>
        <v/>
      </c>
      <c r="K135" s="38" t="str">
        <f aca="true">IF($A135="","",IF($I135&lt;=0,0,IF($J135="",0,MAX(0,TODAY()-$J135))))</f>
        <v/>
      </c>
      <c r="L135" s="37" t="str">
        <f aca="false">IF($A135="","",IF($I135&lt;=0,"Đã thanh toán",IF($K135=0,"Trong hạn",IF($K135&lt;=30,"1-30",IF($K135&lt;=60,"31-60",IF($K135&lt;=90,"61-90","&gt;90"))))))</f>
        <v/>
      </c>
      <c r="M135" s="37" t="str">
        <f aca="false">IF($A135="","",IF($I135&lt;=0,"Đã thanh toán đủ",IF($K135&gt;0,"QUÁ HẠN","Còn nợ, trong hạn")))</f>
        <v/>
      </c>
    </row>
    <row r="136" customFormat="false" ht="15" hidden="false" customHeight="false" outlineLevel="0" collapsed="false">
      <c r="A136" s="37" t="str">
        <f aca="false">IF(PO!$A136="","",PO!$A136)</f>
        <v/>
      </c>
      <c r="B136" s="37" t="str">
        <f aca="false">IF($A136="","",PO!$D136)</f>
        <v/>
      </c>
      <c r="C136" s="37" t="str">
        <f aca="false">IF($A136="","",PO!$E136)</f>
        <v/>
      </c>
      <c r="D136" s="37" t="str">
        <f aca="false">IF($A136="","",PO!$H136)</f>
        <v/>
      </c>
      <c r="E136" s="37" t="str">
        <f aca="false">IF($A136="","",PO!$I136)</f>
        <v/>
      </c>
      <c r="F136" s="41" t="str">
        <f aca="false">IF($A136="","",IF(PO!$R136="","",PO!$R136))</f>
        <v/>
      </c>
      <c r="G136" s="38" t="str">
        <f aca="false">IF($A136="","",PO!$L136)</f>
        <v/>
      </c>
      <c r="H136" s="38" t="str">
        <f aca="false">IF($A136="","",SUMIFS('Thanh toán'!$H$4:$H$203,'Thanh toán'!$C$4:$C$203,$A136))</f>
        <v/>
      </c>
      <c r="I136" s="38" t="str">
        <f aca="false">IF($A136="","",IFERROR($G136-$H136,""))</f>
        <v/>
      </c>
      <c r="J136" s="41" t="str">
        <f aca="false">IF($A136="","",IF(PO!$AA136="","",PO!$AA136))</f>
        <v/>
      </c>
      <c r="K136" s="38" t="str">
        <f aca="true">IF($A136="","",IF($I136&lt;=0,0,IF($J136="",0,MAX(0,TODAY()-$J136))))</f>
        <v/>
      </c>
      <c r="L136" s="37" t="str">
        <f aca="false">IF($A136="","",IF($I136&lt;=0,"Đã thanh toán",IF($K136=0,"Trong hạn",IF($K136&lt;=30,"1-30",IF($K136&lt;=60,"31-60",IF($K136&lt;=90,"61-90","&gt;90"))))))</f>
        <v/>
      </c>
      <c r="M136" s="37" t="str">
        <f aca="false">IF($A136="","",IF($I136&lt;=0,"Đã thanh toán đủ",IF($K136&gt;0,"QUÁ HẠN","Còn nợ, trong hạn")))</f>
        <v/>
      </c>
    </row>
    <row r="137" customFormat="false" ht="15" hidden="false" customHeight="false" outlineLevel="0" collapsed="false">
      <c r="A137" s="37" t="str">
        <f aca="false">IF(PO!$A137="","",PO!$A137)</f>
        <v/>
      </c>
      <c r="B137" s="37" t="str">
        <f aca="false">IF($A137="","",PO!$D137)</f>
        <v/>
      </c>
      <c r="C137" s="37" t="str">
        <f aca="false">IF($A137="","",PO!$E137)</f>
        <v/>
      </c>
      <c r="D137" s="37" t="str">
        <f aca="false">IF($A137="","",PO!$H137)</f>
        <v/>
      </c>
      <c r="E137" s="37" t="str">
        <f aca="false">IF($A137="","",PO!$I137)</f>
        <v/>
      </c>
      <c r="F137" s="41" t="str">
        <f aca="false">IF($A137="","",IF(PO!$R137="","",PO!$R137))</f>
        <v/>
      </c>
      <c r="G137" s="38" t="str">
        <f aca="false">IF($A137="","",PO!$L137)</f>
        <v/>
      </c>
      <c r="H137" s="38" t="str">
        <f aca="false">IF($A137="","",SUMIFS('Thanh toán'!$H$4:$H$203,'Thanh toán'!$C$4:$C$203,$A137))</f>
        <v/>
      </c>
      <c r="I137" s="38" t="str">
        <f aca="false">IF($A137="","",IFERROR($G137-$H137,""))</f>
        <v/>
      </c>
      <c r="J137" s="41" t="str">
        <f aca="false">IF($A137="","",IF(PO!$AA137="","",PO!$AA137))</f>
        <v/>
      </c>
      <c r="K137" s="38" t="str">
        <f aca="true">IF($A137="","",IF($I137&lt;=0,0,IF($J137="",0,MAX(0,TODAY()-$J137))))</f>
        <v/>
      </c>
      <c r="L137" s="37" t="str">
        <f aca="false">IF($A137="","",IF($I137&lt;=0,"Đã thanh toán",IF($K137=0,"Trong hạn",IF($K137&lt;=30,"1-30",IF($K137&lt;=60,"31-60",IF($K137&lt;=90,"61-90","&gt;90"))))))</f>
        <v/>
      </c>
      <c r="M137" s="37" t="str">
        <f aca="false">IF($A137="","",IF($I137&lt;=0,"Đã thanh toán đủ",IF($K137&gt;0,"QUÁ HẠN","Còn nợ, trong hạn")))</f>
        <v/>
      </c>
    </row>
    <row r="138" customFormat="false" ht="15" hidden="false" customHeight="false" outlineLevel="0" collapsed="false">
      <c r="A138" s="37" t="str">
        <f aca="false">IF(PO!$A138="","",PO!$A138)</f>
        <v/>
      </c>
      <c r="B138" s="37" t="str">
        <f aca="false">IF($A138="","",PO!$D138)</f>
        <v/>
      </c>
      <c r="C138" s="37" t="str">
        <f aca="false">IF($A138="","",PO!$E138)</f>
        <v/>
      </c>
      <c r="D138" s="37" t="str">
        <f aca="false">IF($A138="","",PO!$H138)</f>
        <v/>
      </c>
      <c r="E138" s="37" t="str">
        <f aca="false">IF($A138="","",PO!$I138)</f>
        <v/>
      </c>
      <c r="F138" s="41" t="str">
        <f aca="false">IF($A138="","",IF(PO!$R138="","",PO!$R138))</f>
        <v/>
      </c>
      <c r="G138" s="38" t="str">
        <f aca="false">IF($A138="","",PO!$L138)</f>
        <v/>
      </c>
      <c r="H138" s="38" t="str">
        <f aca="false">IF($A138="","",SUMIFS('Thanh toán'!$H$4:$H$203,'Thanh toán'!$C$4:$C$203,$A138))</f>
        <v/>
      </c>
      <c r="I138" s="38" t="str">
        <f aca="false">IF($A138="","",IFERROR($G138-$H138,""))</f>
        <v/>
      </c>
      <c r="J138" s="41" t="str">
        <f aca="false">IF($A138="","",IF(PO!$AA138="","",PO!$AA138))</f>
        <v/>
      </c>
      <c r="K138" s="38" t="str">
        <f aca="true">IF($A138="","",IF($I138&lt;=0,0,IF($J138="",0,MAX(0,TODAY()-$J138))))</f>
        <v/>
      </c>
      <c r="L138" s="37" t="str">
        <f aca="false">IF($A138="","",IF($I138&lt;=0,"Đã thanh toán",IF($K138=0,"Trong hạn",IF($K138&lt;=30,"1-30",IF($K138&lt;=60,"31-60",IF($K138&lt;=90,"61-90","&gt;90"))))))</f>
        <v/>
      </c>
      <c r="M138" s="37" t="str">
        <f aca="false">IF($A138="","",IF($I138&lt;=0,"Đã thanh toán đủ",IF($K138&gt;0,"QUÁ HẠN","Còn nợ, trong hạn")))</f>
        <v/>
      </c>
    </row>
    <row r="139" customFormat="false" ht="15" hidden="false" customHeight="false" outlineLevel="0" collapsed="false">
      <c r="A139" s="37" t="str">
        <f aca="false">IF(PO!$A139="","",PO!$A139)</f>
        <v/>
      </c>
      <c r="B139" s="37" t="str">
        <f aca="false">IF($A139="","",PO!$D139)</f>
        <v/>
      </c>
      <c r="C139" s="37" t="str">
        <f aca="false">IF($A139="","",PO!$E139)</f>
        <v/>
      </c>
      <c r="D139" s="37" t="str">
        <f aca="false">IF($A139="","",PO!$H139)</f>
        <v/>
      </c>
      <c r="E139" s="37" t="str">
        <f aca="false">IF($A139="","",PO!$I139)</f>
        <v/>
      </c>
      <c r="F139" s="41" t="str">
        <f aca="false">IF($A139="","",IF(PO!$R139="","",PO!$R139))</f>
        <v/>
      </c>
      <c r="G139" s="38" t="str">
        <f aca="false">IF($A139="","",PO!$L139)</f>
        <v/>
      </c>
      <c r="H139" s="38" t="str">
        <f aca="false">IF($A139="","",SUMIFS('Thanh toán'!$H$4:$H$203,'Thanh toán'!$C$4:$C$203,$A139))</f>
        <v/>
      </c>
      <c r="I139" s="38" t="str">
        <f aca="false">IF($A139="","",IFERROR($G139-$H139,""))</f>
        <v/>
      </c>
      <c r="J139" s="41" t="str">
        <f aca="false">IF($A139="","",IF(PO!$AA139="","",PO!$AA139))</f>
        <v/>
      </c>
      <c r="K139" s="38" t="str">
        <f aca="true">IF($A139="","",IF($I139&lt;=0,0,IF($J139="",0,MAX(0,TODAY()-$J139))))</f>
        <v/>
      </c>
      <c r="L139" s="37" t="str">
        <f aca="false">IF($A139="","",IF($I139&lt;=0,"Đã thanh toán",IF($K139=0,"Trong hạn",IF($K139&lt;=30,"1-30",IF($K139&lt;=60,"31-60",IF($K139&lt;=90,"61-90","&gt;90"))))))</f>
        <v/>
      </c>
      <c r="M139" s="37" t="str">
        <f aca="false">IF($A139="","",IF($I139&lt;=0,"Đã thanh toán đủ",IF($K139&gt;0,"QUÁ HẠN","Còn nợ, trong hạn")))</f>
        <v/>
      </c>
    </row>
    <row r="140" customFormat="false" ht="15" hidden="false" customHeight="false" outlineLevel="0" collapsed="false">
      <c r="A140" s="37" t="str">
        <f aca="false">IF(PO!$A140="","",PO!$A140)</f>
        <v/>
      </c>
      <c r="B140" s="37" t="str">
        <f aca="false">IF($A140="","",PO!$D140)</f>
        <v/>
      </c>
      <c r="C140" s="37" t="str">
        <f aca="false">IF($A140="","",PO!$E140)</f>
        <v/>
      </c>
      <c r="D140" s="37" t="str">
        <f aca="false">IF($A140="","",PO!$H140)</f>
        <v/>
      </c>
      <c r="E140" s="37" t="str">
        <f aca="false">IF($A140="","",PO!$I140)</f>
        <v/>
      </c>
      <c r="F140" s="41" t="str">
        <f aca="false">IF($A140="","",IF(PO!$R140="","",PO!$R140))</f>
        <v/>
      </c>
      <c r="G140" s="38" t="str">
        <f aca="false">IF($A140="","",PO!$L140)</f>
        <v/>
      </c>
      <c r="H140" s="38" t="str">
        <f aca="false">IF($A140="","",SUMIFS('Thanh toán'!$H$4:$H$203,'Thanh toán'!$C$4:$C$203,$A140))</f>
        <v/>
      </c>
      <c r="I140" s="38" t="str">
        <f aca="false">IF($A140="","",IFERROR($G140-$H140,""))</f>
        <v/>
      </c>
      <c r="J140" s="41" t="str">
        <f aca="false">IF($A140="","",IF(PO!$AA140="","",PO!$AA140))</f>
        <v/>
      </c>
      <c r="K140" s="38" t="str">
        <f aca="true">IF($A140="","",IF($I140&lt;=0,0,IF($J140="",0,MAX(0,TODAY()-$J140))))</f>
        <v/>
      </c>
      <c r="L140" s="37" t="str">
        <f aca="false">IF($A140="","",IF($I140&lt;=0,"Đã thanh toán",IF($K140=0,"Trong hạn",IF($K140&lt;=30,"1-30",IF($K140&lt;=60,"31-60",IF($K140&lt;=90,"61-90","&gt;90"))))))</f>
        <v/>
      </c>
      <c r="M140" s="37" t="str">
        <f aca="false">IF($A140="","",IF($I140&lt;=0,"Đã thanh toán đủ",IF($K140&gt;0,"QUÁ HẠN","Còn nợ, trong hạn")))</f>
        <v/>
      </c>
    </row>
    <row r="141" customFormat="false" ht="15" hidden="false" customHeight="false" outlineLevel="0" collapsed="false">
      <c r="A141" s="37" t="str">
        <f aca="false">IF(PO!$A141="","",PO!$A141)</f>
        <v/>
      </c>
      <c r="B141" s="37" t="str">
        <f aca="false">IF($A141="","",PO!$D141)</f>
        <v/>
      </c>
      <c r="C141" s="37" t="str">
        <f aca="false">IF($A141="","",PO!$E141)</f>
        <v/>
      </c>
      <c r="D141" s="37" t="str">
        <f aca="false">IF($A141="","",PO!$H141)</f>
        <v/>
      </c>
      <c r="E141" s="37" t="str">
        <f aca="false">IF($A141="","",PO!$I141)</f>
        <v/>
      </c>
      <c r="F141" s="41" t="str">
        <f aca="false">IF($A141="","",IF(PO!$R141="","",PO!$R141))</f>
        <v/>
      </c>
      <c r="G141" s="38" t="str">
        <f aca="false">IF($A141="","",PO!$L141)</f>
        <v/>
      </c>
      <c r="H141" s="38" t="str">
        <f aca="false">IF($A141="","",SUMIFS('Thanh toán'!$H$4:$H$203,'Thanh toán'!$C$4:$C$203,$A141))</f>
        <v/>
      </c>
      <c r="I141" s="38" t="str">
        <f aca="false">IF($A141="","",IFERROR($G141-$H141,""))</f>
        <v/>
      </c>
      <c r="J141" s="41" t="str">
        <f aca="false">IF($A141="","",IF(PO!$AA141="","",PO!$AA141))</f>
        <v/>
      </c>
      <c r="K141" s="38" t="str">
        <f aca="true">IF($A141="","",IF($I141&lt;=0,0,IF($J141="",0,MAX(0,TODAY()-$J141))))</f>
        <v/>
      </c>
      <c r="L141" s="37" t="str">
        <f aca="false">IF($A141="","",IF($I141&lt;=0,"Đã thanh toán",IF($K141=0,"Trong hạn",IF($K141&lt;=30,"1-30",IF($K141&lt;=60,"31-60",IF($K141&lt;=90,"61-90","&gt;90"))))))</f>
        <v/>
      </c>
      <c r="M141" s="37" t="str">
        <f aca="false">IF($A141="","",IF($I141&lt;=0,"Đã thanh toán đủ",IF($K141&gt;0,"QUÁ HẠN","Còn nợ, trong hạn")))</f>
        <v/>
      </c>
    </row>
    <row r="142" customFormat="false" ht="15" hidden="false" customHeight="false" outlineLevel="0" collapsed="false">
      <c r="A142" s="37" t="str">
        <f aca="false">IF(PO!$A142="","",PO!$A142)</f>
        <v/>
      </c>
      <c r="B142" s="37" t="str">
        <f aca="false">IF($A142="","",PO!$D142)</f>
        <v/>
      </c>
      <c r="C142" s="37" t="str">
        <f aca="false">IF($A142="","",PO!$E142)</f>
        <v/>
      </c>
      <c r="D142" s="37" t="str">
        <f aca="false">IF($A142="","",PO!$H142)</f>
        <v/>
      </c>
      <c r="E142" s="37" t="str">
        <f aca="false">IF($A142="","",PO!$I142)</f>
        <v/>
      </c>
      <c r="F142" s="41" t="str">
        <f aca="false">IF($A142="","",IF(PO!$R142="","",PO!$R142))</f>
        <v/>
      </c>
      <c r="G142" s="38" t="str">
        <f aca="false">IF($A142="","",PO!$L142)</f>
        <v/>
      </c>
      <c r="H142" s="38" t="str">
        <f aca="false">IF($A142="","",SUMIFS('Thanh toán'!$H$4:$H$203,'Thanh toán'!$C$4:$C$203,$A142))</f>
        <v/>
      </c>
      <c r="I142" s="38" t="str">
        <f aca="false">IF($A142="","",IFERROR($G142-$H142,""))</f>
        <v/>
      </c>
      <c r="J142" s="41" t="str">
        <f aca="false">IF($A142="","",IF(PO!$AA142="","",PO!$AA142))</f>
        <v/>
      </c>
      <c r="K142" s="38" t="str">
        <f aca="true">IF($A142="","",IF($I142&lt;=0,0,IF($J142="",0,MAX(0,TODAY()-$J142))))</f>
        <v/>
      </c>
      <c r="L142" s="37" t="str">
        <f aca="false">IF($A142="","",IF($I142&lt;=0,"Đã thanh toán",IF($K142=0,"Trong hạn",IF($K142&lt;=30,"1-30",IF($K142&lt;=60,"31-60",IF($K142&lt;=90,"61-90","&gt;90"))))))</f>
        <v/>
      </c>
      <c r="M142" s="37" t="str">
        <f aca="false">IF($A142="","",IF($I142&lt;=0,"Đã thanh toán đủ",IF($K142&gt;0,"QUÁ HẠN","Còn nợ, trong hạn")))</f>
        <v/>
      </c>
    </row>
    <row r="143" customFormat="false" ht="15" hidden="false" customHeight="false" outlineLevel="0" collapsed="false">
      <c r="A143" s="37" t="str">
        <f aca="false">IF(PO!$A143="","",PO!$A143)</f>
        <v/>
      </c>
      <c r="B143" s="37" t="str">
        <f aca="false">IF($A143="","",PO!$D143)</f>
        <v/>
      </c>
      <c r="C143" s="37" t="str">
        <f aca="false">IF($A143="","",PO!$E143)</f>
        <v/>
      </c>
      <c r="D143" s="37" t="str">
        <f aca="false">IF($A143="","",PO!$H143)</f>
        <v/>
      </c>
      <c r="E143" s="37" t="str">
        <f aca="false">IF($A143="","",PO!$I143)</f>
        <v/>
      </c>
      <c r="F143" s="41" t="str">
        <f aca="false">IF($A143="","",IF(PO!$R143="","",PO!$R143))</f>
        <v/>
      </c>
      <c r="G143" s="38" t="str">
        <f aca="false">IF($A143="","",PO!$L143)</f>
        <v/>
      </c>
      <c r="H143" s="38" t="str">
        <f aca="false">IF($A143="","",SUMIFS('Thanh toán'!$H$4:$H$203,'Thanh toán'!$C$4:$C$203,$A143))</f>
        <v/>
      </c>
      <c r="I143" s="38" t="str">
        <f aca="false">IF($A143="","",IFERROR($G143-$H143,""))</f>
        <v/>
      </c>
      <c r="J143" s="41" t="str">
        <f aca="false">IF($A143="","",IF(PO!$AA143="","",PO!$AA143))</f>
        <v/>
      </c>
      <c r="K143" s="38" t="str">
        <f aca="true">IF($A143="","",IF($I143&lt;=0,0,IF($J143="",0,MAX(0,TODAY()-$J143))))</f>
        <v/>
      </c>
      <c r="L143" s="37" t="str">
        <f aca="false">IF($A143="","",IF($I143&lt;=0,"Đã thanh toán",IF($K143=0,"Trong hạn",IF($K143&lt;=30,"1-30",IF($K143&lt;=60,"31-60",IF($K143&lt;=90,"61-90","&gt;90"))))))</f>
        <v/>
      </c>
      <c r="M143" s="37" t="str">
        <f aca="false">IF($A143="","",IF($I143&lt;=0,"Đã thanh toán đủ",IF($K143&gt;0,"QUÁ HẠN","Còn nợ, trong hạn")))</f>
        <v/>
      </c>
    </row>
    <row r="144" customFormat="false" ht="15" hidden="false" customHeight="false" outlineLevel="0" collapsed="false">
      <c r="A144" s="37" t="str">
        <f aca="false">IF(PO!$A144="","",PO!$A144)</f>
        <v/>
      </c>
      <c r="B144" s="37" t="str">
        <f aca="false">IF($A144="","",PO!$D144)</f>
        <v/>
      </c>
      <c r="C144" s="37" t="str">
        <f aca="false">IF($A144="","",PO!$E144)</f>
        <v/>
      </c>
      <c r="D144" s="37" t="str">
        <f aca="false">IF($A144="","",PO!$H144)</f>
        <v/>
      </c>
      <c r="E144" s="37" t="str">
        <f aca="false">IF($A144="","",PO!$I144)</f>
        <v/>
      </c>
      <c r="F144" s="41" t="str">
        <f aca="false">IF($A144="","",IF(PO!$R144="","",PO!$R144))</f>
        <v/>
      </c>
      <c r="G144" s="38" t="str">
        <f aca="false">IF($A144="","",PO!$L144)</f>
        <v/>
      </c>
      <c r="H144" s="38" t="str">
        <f aca="false">IF($A144="","",SUMIFS('Thanh toán'!$H$4:$H$203,'Thanh toán'!$C$4:$C$203,$A144))</f>
        <v/>
      </c>
      <c r="I144" s="38" t="str">
        <f aca="false">IF($A144="","",IFERROR($G144-$H144,""))</f>
        <v/>
      </c>
      <c r="J144" s="41" t="str">
        <f aca="false">IF($A144="","",IF(PO!$AA144="","",PO!$AA144))</f>
        <v/>
      </c>
      <c r="K144" s="38" t="str">
        <f aca="true">IF($A144="","",IF($I144&lt;=0,0,IF($J144="",0,MAX(0,TODAY()-$J144))))</f>
        <v/>
      </c>
      <c r="L144" s="37" t="str">
        <f aca="false">IF($A144="","",IF($I144&lt;=0,"Đã thanh toán",IF($K144=0,"Trong hạn",IF($K144&lt;=30,"1-30",IF($K144&lt;=60,"31-60",IF($K144&lt;=90,"61-90","&gt;90"))))))</f>
        <v/>
      </c>
      <c r="M144" s="37" t="str">
        <f aca="false">IF($A144="","",IF($I144&lt;=0,"Đã thanh toán đủ",IF($K144&gt;0,"QUÁ HẠN","Còn nợ, trong hạn")))</f>
        <v/>
      </c>
    </row>
    <row r="145" customFormat="false" ht="15" hidden="false" customHeight="false" outlineLevel="0" collapsed="false">
      <c r="A145" s="37" t="str">
        <f aca="false">IF(PO!$A145="","",PO!$A145)</f>
        <v/>
      </c>
      <c r="B145" s="37" t="str">
        <f aca="false">IF($A145="","",PO!$D145)</f>
        <v/>
      </c>
      <c r="C145" s="37" t="str">
        <f aca="false">IF($A145="","",PO!$E145)</f>
        <v/>
      </c>
      <c r="D145" s="37" t="str">
        <f aca="false">IF($A145="","",PO!$H145)</f>
        <v/>
      </c>
      <c r="E145" s="37" t="str">
        <f aca="false">IF($A145="","",PO!$I145)</f>
        <v/>
      </c>
      <c r="F145" s="41" t="str">
        <f aca="false">IF($A145="","",IF(PO!$R145="","",PO!$R145))</f>
        <v/>
      </c>
      <c r="G145" s="38" t="str">
        <f aca="false">IF($A145="","",PO!$L145)</f>
        <v/>
      </c>
      <c r="H145" s="38" t="str">
        <f aca="false">IF($A145="","",SUMIFS('Thanh toán'!$H$4:$H$203,'Thanh toán'!$C$4:$C$203,$A145))</f>
        <v/>
      </c>
      <c r="I145" s="38" t="str">
        <f aca="false">IF($A145="","",IFERROR($G145-$H145,""))</f>
        <v/>
      </c>
      <c r="J145" s="41" t="str">
        <f aca="false">IF($A145="","",IF(PO!$AA145="","",PO!$AA145))</f>
        <v/>
      </c>
      <c r="K145" s="38" t="str">
        <f aca="true">IF($A145="","",IF($I145&lt;=0,0,IF($J145="",0,MAX(0,TODAY()-$J145))))</f>
        <v/>
      </c>
      <c r="L145" s="37" t="str">
        <f aca="false">IF($A145="","",IF($I145&lt;=0,"Đã thanh toán",IF($K145=0,"Trong hạn",IF($K145&lt;=30,"1-30",IF($K145&lt;=60,"31-60",IF($K145&lt;=90,"61-90","&gt;90"))))))</f>
        <v/>
      </c>
      <c r="M145" s="37" t="str">
        <f aca="false">IF($A145="","",IF($I145&lt;=0,"Đã thanh toán đủ",IF($K145&gt;0,"QUÁ HẠN","Còn nợ, trong hạn")))</f>
        <v/>
      </c>
    </row>
    <row r="146" customFormat="false" ht="15" hidden="false" customHeight="false" outlineLevel="0" collapsed="false">
      <c r="A146" s="37" t="str">
        <f aca="false">IF(PO!$A146="","",PO!$A146)</f>
        <v/>
      </c>
      <c r="B146" s="37" t="str">
        <f aca="false">IF($A146="","",PO!$D146)</f>
        <v/>
      </c>
      <c r="C146" s="37" t="str">
        <f aca="false">IF($A146="","",PO!$E146)</f>
        <v/>
      </c>
      <c r="D146" s="37" t="str">
        <f aca="false">IF($A146="","",PO!$H146)</f>
        <v/>
      </c>
      <c r="E146" s="37" t="str">
        <f aca="false">IF($A146="","",PO!$I146)</f>
        <v/>
      </c>
      <c r="F146" s="41" t="str">
        <f aca="false">IF($A146="","",IF(PO!$R146="","",PO!$R146))</f>
        <v/>
      </c>
      <c r="G146" s="38" t="str">
        <f aca="false">IF($A146="","",PO!$L146)</f>
        <v/>
      </c>
      <c r="H146" s="38" t="str">
        <f aca="false">IF($A146="","",SUMIFS('Thanh toán'!$H$4:$H$203,'Thanh toán'!$C$4:$C$203,$A146))</f>
        <v/>
      </c>
      <c r="I146" s="38" t="str">
        <f aca="false">IF($A146="","",IFERROR($G146-$H146,""))</f>
        <v/>
      </c>
      <c r="J146" s="41" t="str">
        <f aca="false">IF($A146="","",IF(PO!$AA146="","",PO!$AA146))</f>
        <v/>
      </c>
      <c r="K146" s="38" t="str">
        <f aca="true">IF($A146="","",IF($I146&lt;=0,0,IF($J146="",0,MAX(0,TODAY()-$J146))))</f>
        <v/>
      </c>
      <c r="L146" s="37" t="str">
        <f aca="false">IF($A146="","",IF($I146&lt;=0,"Đã thanh toán",IF($K146=0,"Trong hạn",IF($K146&lt;=30,"1-30",IF($K146&lt;=60,"31-60",IF($K146&lt;=90,"61-90","&gt;90"))))))</f>
        <v/>
      </c>
      <c r="M146" s="37" t="str">
        <f aca="false">IF($A146="","",IF($I146&lt;=0,"Đã thanh toán đủ",IF($K146&gt;0,"QUÁ HẠN","Còn nợ, trong hạn")))</f>
        <v/>
      </c>
    </row>
    <row r="147" customFormat="false" ht="15" hidden="false" customHeight="false" outlineLevel="0" collapsed="false">
      <c r="A147" s="37" t="str">
        <f aca="false">IF(PO!$A147="","",PO!$A147)</f>
        <v/>
      </c>
      <c r="B147" s="37" t="str">
        <f aca="false">IF($A147="","",PO!$D147)</f>
        <v/>
      </c>
      <c r="C147" s="37" t="str">
        <f aca="false">IF($A147="","",PO!$E147)</f>
        <v/>
      </c>
      <c r="D147" s="37" t="str">
        <f aca="false">IF($A147="","",PO!$H147)</f>
        <v/>
      </c>
      <c r="E147" s="37" t="str">
        <f aca="false">IF($A147="","",PO!$I147)</f>
        <v/>
      </c>
      <c r="F147" s="41" t="str">
        <f aca="false">IF($A147="","",IF(PO!$R147="","",PO!$R147))</f>
        <v/>
      </c>
      <c r="G147" s="38" t="str">
        <f aca="false">IF($A147="","",PO!$L147)</f>
        <v/>
      </c>
      <c r="H147" s="38" t="str">
        <f aca="false">IF($A147="","",SUMIFS('Thanh toán'!$H$4:$H$203,'Thanh toán'!$C$4:$C$203,$A147))</f>
        <v/>
      </c>
      <c r="I147" s="38" t="str">
        <f aca="false">IF($A147="","",IFERROR($G147-$H147,""))</f>
        <v/>
      </c>
      <c r="J147" s="41" t="str">
        <f aca="false">IF($A147="","",IF(PO!$AA147="","",PO!$AA147))</f>
        <v/>
      </c>
      <c r="K147" s="38" t="str">
        <f aca="true">IF($A147="","",IF($I147&lt;=0,0,IF($J147="",0,MAX(0,TODAY()-$J147))))</f>
        <v/>
      </c>
      <c r="L147" s="37" t="str">
        <f aca="false">IF($A147="","",IF($I147&lt;=0,"Đã thanh toán",IF($K147=0,"Trong hạn",IF($K147&lt;=30,"1-30",IF($K147&lt;=60,"31-60",IF($K147&lt;=90,"61-90","&gt;90"))))))</f>
        <v/>
      </c>
      <c r="M147" s="37" t="str">
        <f aca="false">IF($A147="","",IF($I147&lt;=0,"Đã thanh toán đủ",IF($K147&gt;0,"QUÁ HẠN","Còn nợ, trong hạn")))</f>
        <v/>
      </c>
    </row>
    <row r="148" customFormat="false" ht="15" hidden="false" customHeight="false" outlineLevel="0" collapsed="false">
      <c r="A148" s="37" t="str">
        <f aca="false">IF(PO!$A148="","",PO!$A148)</f>
        <v/>
      </c>
      <c r="B148" s="37" t="str">
        <f aca="false">IF($A148="","",PO!$D148)</f>
        <v/>
      </c>
      <c r="C148" s="37" t="str">
        <f aca="false">IF($A148="","",PO!$E148)</f>
        <v/>
      </c>
      <c r="D148" s="37" t="str">
        <f aca="false">IF($A148="","",PO!$H148)</f>
        <v/>
      </c>
      <c r="E148" s="37" t="str">
        <f aca="false">IF($A148="","",PO!$I148)</f>
        <v/>
      </c>
      <c r="F148" s="41" t="str">
        <f aca="false">IF($A148="","",IF(PO!$R148="","",PO!$R148))</f>
        <v/>
      </c>
      <c r="G148" s="38" t="str">
        <f aca="false">IF($A148="","",PO!$L148)</f>
        <v/>
      </c>
      <c r="H148" s="38" t="str">
        <f aca="false">IF($A148="","",SUMIFS('Thanh toán'!$H$4:$H$203,'Thanh toán'!$C$4:$C$203,$A148))</f>
        <v/>
      </c>
      <c r="I148" s="38" t="str">
        <f aca="false">IF($A148="","",IFERROR($G148-$H148,""))</f>
        <v/>
      </c>
      <c r="J148" s="41" t="str">
        <f aca="false">IF($A148="","",IF(PO!$AA148="","",PO!$AA148))</f>
        <v/>
      </c>
      <c r="K148" s="38" t="str">
        <f aca="true">IF($A148="","",IF($I148&lt;=0,0,IF($J148="",0,MAX(0,TODAY()-$J148))))</f>
        <v/>
      </c>
      <c r="L148" s="37" t="str">
        <f aca="false">IF($A148="","",IF($I148&lt;=0,"Đã thanh toán",IF($K148=0,"Trong hạn",IF($K148&lt;=30,"1-30",IF($K148&lt;=60,"31-60",IF($K148&lt;=90,"61-90","&gt;90"))))))</f>
        <v/>
      </c>
      <c r="M148" s="37" t="str">
        <f aca="false">IF($A148="","",IF($I148&lt;=0,"Đã thanh toán đủ",IF($K148&gt;0,"QUÁ HẠN","Còn nợ, trong hạn")))</f>
        <v/>
      </c>
    </row>
    <row r="149" customFormat="false" ht="15" hidden="false" customHeight="false" outlineLevel="0" collapsed="false">
      <c r="A149" s="37" t="str">
        <f aca="false">IF(PO!$A149="","",PO!$A149)</f>
        <v/>
      </c>
      <c r="B149" s="37" t="str">
        <f aca="false">IF($A149="","",PO!$D149)</f>
        <v/>
      </c>
      <c r="C149" s="37" t="str">
        <f aca="false">IF($A149="","",PO!$E149)</f>
        <v/>
      </c>
      <c r="D149" s="37" t="str">
        <f aca="false">IF($A149="","",PO!$H149)</f>
        <v/>
      </c>
      <c r="E149" s="37" t="str">
        <f aca="false">IF($A149="","",PO!$I149)</f>
        <v/>
      </c>
      <c r="F149" s="41" t="str">
        <f aca="false">IF($A149="","",IF(PO!$R149="","",PO!$R149))</f>
        <v/>
      </c>
      <c r="G149" s="38" t="str">
        <f aca="false">IF($A149="","",PO!$L149)</f>
        <v/>
      </c>
      <c r="H149" s="38" t="str">
        <f aca="false">IF($A149="","",SUMIFS('Thanh toán'!$H$4:$H$203,'Thanh toán'!$C$4:$C$203,$A149))</f>
        <v/>
      </c>
      <c r="I149" s="38" t="str">
        <f aca="false">IF($A149="","",IFERROR($G149-$H149,""))</f>
        <v/>
      </c>
      <c r="J149" s="41" t="str">
        <f aca="false">IF($A149="","",IF(PO!$AA149="","",PO!$AA149))</f>
        <v/>
      </c>
      <c r="K149" s="38" t="str">
        <f aca="true">IF($A149="","",IF($I149&lt;=0,0,IF($J149="",0,MAX(0,TODAY()-$J149))))</f>
        <v/>
      </c>
      <c r="L149" s="37" t="str">
        <f aca="false">IF($A149="","",IF($I149&lt;=0,"Đã thanh toán",IF($K149=0,"Trong hạn",IF($K149&lt;=30,"1-30",IF($K149&lt;=60,"31-60",IF($K149&lt;=90,"61-90","&gt;90"))))))</f>
        <v/>
      </c>
      <c r="M149" s="37" t="str">
        <f aca="false">IF($A149="","",IF($I149&lt;=0,"Đã thanh toán đủ",IF($K149&gt;0,"QUÁ HẠN","Còn nợ, trong hạn")))</f>
        <v/>
      </c>
    </row>
    <row r="150" customFormat="false" ht="15" hidden="false" customHeight="false" outlineLevel="0" collapsed="false">
      <c r="A150" s="37" t="str">
        <f aca="false">IF(PO!$A150="","",PO!$A150)</f>
        <v/>
      </c>
      <c r="B150" s="37" t="str">
        <f aca="false">IF($A150="","",PO!$D150)</f>
        <v/>
      </c>
      <c r="C150" s="37" t="str">
        <f aca="false">IF($A150="","",PO!$E150)</f>
        <v/>
      </c>
      <c r="D150" s="37" t="str">
        <f aca="false">IF($A150="","",PO!$H150)</f>
        <v/>
      </c>
      <c r="E150" s="37" t="str">
        <f aca="false">IF($A150="","",PO!$I150)</f>
        <v/>
      </c>
      <c r="F150" s="41" t="str">
        <f aca="false">IF($A150="","",IF(PO!$R150="","",PO!$R150))</f>
        <v/>
      </c>
      <c r="G150" s="38" t="str">
        <f aca="false">IF($A150="","",PO!$L150)</f>
        <v/>
      </c>
      <c r="H150" s="38" t="str">
        <f aca="false">IF($A150="","",SUMIFS('Thanh toán'!$H$4:$H$203,'Thanh toán'!$C$4:$C$203,$A150))</f>
        <v/>
      </c>
      <c r="I150" s="38" t="str">
        <f aca="false">IF($A150="","",IFERROR($G150-$H150,""))</f>
        <v/>
      </c>
      <c r="J150" s="41" t="str">
        <f aca="false">IF($A150="","",IF(PO!$AA150="","",PO!$AA150))</f>
        <v/>
      </c>
      <c r="K150" s="38" t="str">
        <f aca="true">IF($A150="","",IF($I150&lt;=0,0,IF($J150="",0,MAX(0,TODAY()-$J150))))</f>
        <v/>
      </c>
      <c r="L150" s="37" t="str">
        <f aca="false">IF($A150="","",IF($I150&lt;=0,"Đã thanh toán",IF($K150=0,"Trong hạn",IF($K150&lt;=30,"1-30",IF($K150&lt;=60,"31-60",IF($K150&lt;=90,"61-90","&gt;90"))))))</f>
        <v/>
      </c>
      <c r="M150" s="37" t="str">
        <f aca="false">IF($A150="","",IF($I150&lt;=0,"Đã thanh toán đủ",IF($K150&gt;0,"QUÁ HẠN","Còn nợ, trong hạn")))</f>
        <v/>
      </c>
    </row>
    <row r="151" customFormat="false" ht="15" hidden="false" customHeight="false" outlineLevel="0" collapsed="false">
      <c r="A151" s="37" t="str">
        <f aca="false">IF(PO!$A151="","",PO!$A151)</f>
        <v/>
      </c>
      <c r="B151" s="37" t="str">
        <f aca="false">IF($A151="","",PO!$D151)</f>
        <v/>
      </c>
      <c r="C151" s="37" t="str">
        <f aca="false">IF($A151="","",PO!$E151)</f>
        <v/>
      </c>
      <c r="D151" s="37" t="str">
        <f aca="false">IF($A151="","",PO!$H151)</f>
        <v/>
      </c>
      <c r="E151" s="37" t="str">
        <f aca="false">IF($A151="","",PO!$I151)</f>
        <v/>
      </c>
      <c r="F151" s="41" t="str">
        <f aca="false">IF($A151="","",IF(PO!$R151="","",PO!$R151))</f>
        <v/>
      </c>
      <c r="G151" s="38" t="str">
        <f aca="false">IF($A151="","",PO!$L151)</f>
        <v/>
      </c>
      <c r="H151" s="38" t="str">
        <f aca="false">IF($A151="","",SUMIFS('Thanh toán'!$H$4:$H$203,'Thanh toán'!$C$4:$C$203,$A151))</f>
        <v/>
      </c>
      <c r="I151" s="38" t="str">
        <f aca="false">IF($A151="","",IFERROR($G151-$H151,""))</f>
        <v/>
      </c>
      <c r="J151" s="41" t="str">
        <f aca="false">IF($A151="","",IF(PO!$AA151="","",PO!$AA151))</f>
        <v/>
      </c>
      <c r="K151" s="38" t="str">
        <f aca="true">IF($A151="","",IF($I151&lt;=0,0,IF($J151="",0,MAX(0,TODAY()-$J151))))</f>
        <v/>
      </c>
      <c r="L151" s="37" t="str">
        <f aca="false">IF($A151="","",IF($I151&lt;=0,"Đã thanh toán",IF($K151=0,"Trong hạn",IF($K151&lt;=30,"1-30",IF($K151&lt;=60,"31-60",IF($K151&lt;=90,"61-90","&gt;90"))))))</f>
        <v/>
      </c>
      <c r="M151" s="37" t="str">
        <f aca="false">IF($A151="","",IF($I151&lt;=0,"Đã thanh toán đủ",IF($K151&gt;0,"QUÁ HẠN","Còn nợ, trong hạn")))</f>
        <v/>
      </c>
    </row>
    <row r="152" customFormat="false" ht="15" hidden="false" customHeight="false" outlineLevel="0" collapsed="false">
      <c r="A152" s="37" t="str">
        <f aca="false">IF(PO!$A152="","",PO!$A152)</f>
        <v/>
      </c>
      <c r="B152" s="37" t="str">
        <f aca="false">IF($A152="","",PO!$D152)</f>
        <v/>
      </c>
      <c r="C152" s="37" t="str">
        <f aca="false">IF($A152="","",PO!$E152)</f>
        <v/>
      </c>
      <c r="D152" s="37" t="str">
        <f aca="false">IF($A152="","",PO!$H152)</f>
        <v/>
      </c>
      <c r="E152" s="37" t="str">
        <f aca="false">IF($A152="","",PO!$I152)</f>
        <v/>
      </c>
      <c r="F152" s="41" t="str">
        <f aca="false">IF($A152="","",IF(PO!$R152="","",PO!$R152))</f>
        <v/>
      </c>
      <c r="G152" s="38" t="str">
        <f aca="false">IF($A152="","",PO!$L152)</f>
        <v/>
      </c>
      <c r="H152" s="38" t="str">
        <f aca="false">IF($A152="","",SUMIFS('Thanh toán'!$H$4:$H$203,'Thanh toán'!$C$4:$C$203,$A152))</f>
        <v/>
      </c>
      <c r="I152" s="38" t="str">
        <f aca="false">IF($A152="","",IFERROR($G152-$H152,""))</f>
        <v/>
      </c>
      <c r="J152" s="41" t="str">
        <f aca="false">IF($A152="","",IF(PO!$AA152="","",PO!$AA152))</f>
        <v/>
      </c>
      <c r="K152" s="38" t="str">
        <f aca="true">IF($A152="","",IF($I152&lt;=0,0,IF($J152="",0,MAX(0,TODAY()-$J152))))</f>
        <v/>
      </c>
      <c r="L152" s="37" t="str">
        <f aca="false">IF($A152="","",IF($I152&lt;=0,"Đã thanh toán",IF($K152=0,"Trong hạn",IF($K152&lt;=30,"1-30",IF($K152&lt;=60,"31-60",IF($K152&lt;=90,"61-90","&gt;90"))))))</f>
        <v/>
      </c>
      <c r="M152" s="37" t="str">
        <f aca="false">IF($A152="","",IF($I152&lt;=0,"Đã thanh toán đủ",IF($K152&gt;0,"QUÁ HẠN","Còn nợ, trong hạn")))</f>
        <v/>
      </c>
    </row>
    <row r="153" customFormat="false" ht="15" hidden="false" customHeight="false" outlineLevel="0" collapsed="false">
      <c r="A153" s="37" t="str">
        <f aca="false">IF(PO!$A153="","",PO!$A153)</f>
        <v/>
      </c>
      <c r="B153" s="37" t="str">
        <f aca="false">IF($A153="","",PO!$D153)</f>
        <v/>
      </c>
      <c r="C153" s="37" t="str">
        <f aca="false">IF($A153="","",PO!$E153)</f>
        <v/>
      </c>
      <c r="D153" s="37" t="str">
        <f aca="false">IF($A153="","",PO!$H153)</f>
        <v/>
      </c>
      <c r="E153" s="37" t="str">
        <f aca="false">IF($A153="","",PO!$I153)</f>
        <v/>
      </c>
      <c r="F153" s="41" t="str">
        <f aca="false">IF($A153="","",IF(PO!$R153="","",PO!$R153))</f>
        <v/>
      </c>
      <c r="G153" s="38" t="str">
        <f aca="false">IF($A153="","",PO!$L153)</f>
        <v/>
      </c>
      <c r="H153" s="38" t="str">
        <f aca="false">IF($A153="","",SUMIFS('Thanh toán'!$H$4:$H$203,'Thanh toán'!$C$4:$C$203,$A153))</f>
        <v/>
      </c>
      <c r="I153" s="38" t="str">
        <f aca="false">IF($A153="","",IFERROR($G153-$H153,""))</f>
        <v/>
      </c>
      <c r="J153" s="41" t="str">
        <f aca="false">IF($A153="","",IF(PO!$AA153="","",PO!$AA153))</f>
        <v/>
      </c>
      <c r="K153" s="38" t="str">
        <f aca="true">IF($A153="","",IF($I153&lt;=0,0,IF($J153="",0,MAX(0,TODAY()-$J153))))</f>
        <v/>
      </c>
      <c r="L153" s="37" t="str">
        <f aca="false">IF($A153="","",IF($I153&lt;=0,"Đã thanh toán",IF($K153=0,"Trong hạn",IF($K153&lt;=30,"1-30",IF($K153&lt;=60,"31-60",IF($K153&lt;=90,"61-90","&gt;90"))))))</f>
        <v/>
      </c>
      <c r="M153" s="37" t="str">
        <f aca="false">IF($A153="","",IF($I153&lt;=0,"Đã thanh toán đủ",IF($K153&gt;0,"QUÁ HẠN","Còn nợ, trong hạn")))</f>
        <v/>
      </c>
    </row>
    <row r="154" customFormat="false" ht="15" hidden="false" customHeight="false" outlineLevel="0" collapsed="false">
      <c r="A154" s="37" t="str">
        <f aca="false">IF(PO!$A154="","",PO!$A154)</f>
        <v/>
      </c>
      <c r="B154" s="37" t="str">
        <f aca="false">IF($A154="","",PO!$D154)</f>
        <v/>
      </c>
      <c r="C154" s="37" t="str">
        <f aca="false">IF($A154="","",PO!$E154)</f>
        <v/>
      </c>
      <c r="D154" s="37" t="str">
        <f aca="false">IF($A154="","",PO!$H154)</f>
        <v/>
      </c>
      <c r="E154" s="37" t="str">
        <f aca="false">IF($A154="","",PO!$I154)</f>
        <v/>
      </c>
      <c r="F154" s="41" t="str">
        <f aca="false">IF($A154="","",IF(PO!$R154="","",PO!$R154))</f>
        <v/>
      </c>
      <c r="G154" s="38" t="str">
        <f aca="false">IF($A154="","",PO!$L154)</f>
        <v/>
      </c>
      <c r="H154" s="38" t="str">
        <f aca="false">IF($A154="","",SUMIFS('Thanh toán'!$H$4:$H$203,'Thanh toán'!$C$4:$C$203,$A154))</f>
        <v/>
      </c>
      <c r="I154" s="38" t="str">
        <f aca="false">IF($A154="","",IFERROR($G154-$H154,""))</f>
        <v/>
      </c>
      <c r="J154" s="41" t="str">
        <f aca="false">IF($A154="","",IF(PO!$AA154="","",PO!$AA154))</f>
        <v/>
      </c>
      <c r="K154" s="38" t="str">
        <f aca="true">IF($A154="","",IF($I154&lt;=0,0,IF($J154="",0,MAX(0,TODAY()-$J154))))</f>
        <v/>
      </c>
      <c r="L154" s="37" t="str">
        <f aca="false">IF($A154="","",IF($I154&lt;=0,"Đã thanh toán",IF($K154=0,"Trong hạn",IF($K154&lt;=30,"1-30",IF($K154&lt;=60,"31-60",IF($K154&lt;=90,"61-90","&gt;90"))))))</f>
        <v/>
      </c>
      <c r="M154" s="37" t="str">
        <f aca="false">IF($A154="","",IF($I154&lt;=0,"Đã thanh toán đủ",IF($K154&gt;0,"QUÁ HẠN","Còn nợ, trong hạn")))</f>
        <v/>
      </c>
    </row>
    <row r="155" customFormat="false" ht="15" hidden="false" customHeight="false" outlineLevel="0" collapsed="false">
      <c r="A155" s="37" t="str">
        <f aca="false">IF(PO!$A155="","",PO!$A155)</f>
        <v/>
      </c>
      <c r="B155" s="37" t="str">
        <f aca="false">IF($A155="","",PO!$D155)</f>
        <v/>
      </c>
      <c r="C155" s="37" t="str">
        <f aca="false">IF($A155="","",PO!$E155)</f>
        <v/>
      </c>
      <c r="D155" s="37" t="str">
        <f aca="false">IF($A155="","",PO!$H155)</f>
        <v/>
      </c>
      <c r="E155" s="37" t="str">
        <f aca="false">IF($A155="","",PO!$I155)</f>
        <v/>
      </c>
      <c r="F155" s="41" t="str">
        <f aca="false">IF($A155="","",IF(PO!$R155="","",PO!$R155))</f>
        <v/>
      </c>
      <c r="G155" s="38" t="str">
        <f aca="false">IF($A155="","",PO!$L155)</f>
        <v/>
      </c>
      <c r="H155" s="38" t="str">
        <f aca="false">IF($A155="","",SUMIFS('Thanh toán'!$H$4:$H$203,'Thanh toán'!$C$4:$C$203,$A155))</f>
        <v/>
      </c>
      <c r="I155" s="38" t="str">
        <f aca="false">IF($A155="","",IFERROR($G155-$H155,""))</f>
        <v/>
      </c>
      <c r="J155" s="41" t="str">
        <f aca="false">IF($A155="","",IF(PO!$AA155="","",PO!$AA155))</f>
        <v/>
      </c>
      <c r="K155" s="38" t="str">
        <f aca="true">IF($A155="","",IF($I155&lt;=0,0,IF($J155="",0,MAX(0,TODAY()-$J155))))</f>
        <v/>
      </c>
      <c r="L155" s="37" t="str">
        <f aca="false">IF($A155="","",IF($I155&lt;=0,"Đã thanh toán",IF($K155=0,"Trong hạn",IF($K155&lt;=30,"1-30",IF($K155&lt;=60,"31-60",IF($K155&lt;=90,"61-90","&gt;90"))))))</f>
        <v/>
      </c>
      <c r="M155" s="37" t="str">
        <f aca="false">IF($A155="","",IF($I155&lt;=0,"Đã thanh toán đủ",IF($K155&gt;0,"QUÁ HẠN","Còn nợ, trong hạn")))</f>
        <v/>
      </c>
    </row>
    <row r="156" customFormat="false" ht="15" hidden="false" customHeight="false" outlineLevel="0" collapsed="false">
      <c r="A156" s="37" t="str">
        <f aca="false">IF(PO!$A156="","",PO!$A156)</f>
        <v/>
      </c>
      <c r="B156" s="37" t="str">
        <f aca="false">IF($A156="","",PO!$D156)</f>
        <v/>
      </c>
      <c r="C156" s="37" t="str">
        <f aca="false">IF($A156="","",PO!$E156)</f>
        <v/>
      </c>
      <c r="D156" s="37" t="str">
        <f aca="false">IF($A156="","",PO!$H156)</f>
        <v/>
      </c>
      <c r="E156" s="37" t="str">
        <f aca="false">IF($A156="","",PO!$I156)</f>
        <v/>
      </c>
      <c r="F156" s="41" t="str">
        <f aca="false">IF($A156="","",IF(PO!$R156="","",PO!$R156))</f>
        <v/>
      </c>
      <c r="G156" s="38" t="str">
        <f aca="false">IF($A156="","",PO!$L156)</f>
        <v/>
      </c>
      <c r="H156" s="38" t="str">
        <f aca="false">IF($A156="","",SUMIFS('Thanh toán'!$H$4:$H$203,'Thanh toán'!$C$4:$C$203,$A156))</f>
        <v/>
      </c>
      <c r="I156" s="38" t="str">
        <f aca="false">IF($A156="","",IFERROR($G156-$H156,""))</f>
        <v/>
      </c>
      <c r="J156" s="41" t="str">
        <f aca="false">IF($A156="","",IF(PO!$AA156="","",PO!$AA156))</f>
        <v/>
      </c>
      <c r="K156" s="38" t="str">
        <f aca="true">IF($A156="","",IF($I156&lt;=0,0,IF($J156="",0,MAX(0,TODAY()-$J156))))</f>
        <v/>
      </c>
      <c r="L156" s="37" t="str">
        <f aca="false">IF($A156="","",IF($I156&lt;=0,"Đã thanh toán",IF($K156=0,"Trong hạn",IF($K156&lt;=30,"1-30",IF($K156&lt;=60,"31-60",IF($K156&lt;=90,"61-90","&gt;90"))))))</f>
        <v/>
      </c>
      <c r="M156" s="37" t="str">
        <f aca="false">IF($A156="","",IF($I156&lt;=0,"Đã thanh toán đủ",IF($K156&gt;0,"QUÁ HẠN","Còn nợ, trong hạn")))</f>
        <v/>
      </c>
    </row>
    <row r="157" customFormat="false" ht="15" hidden="false" customHeight="false" outlineLevel="0" collapsed="false">
      <c r="A157" s="37" t="str">
        <f aca="false">IF(PO!$A157="","",PO!$A157)</f>
        <v/>
      </c>
      <c r="B157" s="37" t="str">
        <f aca="false">IF($A157="","",PO!$D157)</f>
        <v/>
      </c>
      <c r="C157" s="37" t="str">
        <f aca="false">IF($A157="","",PO!$E157)</f>
        <v/>
      </c>
      <c r="D157" s="37" t="str">
        <f aca="false">IF($A157="","",PO!$H157)</f>
        <v/>
      </c>
      <c r="E157" s="37" t="str">
        <f aca="false">IF($A157="","",PO!$I157)</f>
        <v/>
      </c>
      <c r="F157" s="41" t="str">
        <f aca="false">IF($A157="","",IF(PO!$R157="","",PO!$R157))</f>
        <v/>
      </c>
      <c r="G157" s="38" t="str">
        <f aca="false">IF($A157="","",PO!$L157)</f>
        <v/>
      </c>
      <c r="H157" s="38" t="str">
        <f aca="false">IF($A157="","",SUMIFS('Thanh toán'!$H$4:$H$203,'Thanh toán'!$C$4:$C$203,$A157))</f>
        <v/>
      </c>
      <c r="I157" s="38" t="str">
        <f aca="false">IF($A157="","",IFERROR($G157-$H157,""))</f>
        <v/>
      </c>
      <c r="J157" s="41" t="str">
        <f aca="false">IF($A157="","",IF(PO!$AA157="","",PO!$AA157))</f>
        <v/>
      </c>
      <c r="K157" s="38" t="str">
        <f aca="true">IF($A157="","",IF($I157&lt;=0,0,IF($J157="",0,MAX(0,TODAY()-$J157))))</f>
        <v/>
      </c>
      <c r="L157" s="37" t="str">
        <f aca="false">IF($A157="","",IF($I157&lt;=0,"Đã thanh toán",IF($K157=0,"Trong hạn",IF($K157&lt;=30,"1-30",IF($K157&lt;=60,"31-60",IF($K157&lt;=90,"61-90","&gt;90"))))))</f>
        <v/>
      </c>
      <c r="M157" s="37" t="str">
        <f aca="false">IF($A157="","",IF($I157&lt;=0,"Đã thanh toán đủ",IF($K157&gt;0,"QUÁ HẠN","Còn nợ, trong hạn")))</f>
        <v/>
      </c>
    </row>
    <row r="158" customFormat="false" ht="15" hidden="false" customHeight="false" outlineLevel="0" collapsed="false">
      <c r="A158" s="37" t="str">
        <f aca="false">IF(PO!$A158="","",PO!$A158)</f>
        <v/>
      </c>
      <c r="B158" s="37" t="str">
        <f aca="false">IF($A158="","",PO!$D158)</f>
        <v/>
      </c>
      <c r="C158" s="37" t="str">
        <f aca="false">IF($A158="","",PO!$E158)</f>
        <v/>
      </c>
      <c r="D158" s="37" t="str">
        <f aca="false">IF($A158="","",PO!$H158)</f>
        <v/>
      </c>
      <c r="E158" s="37" t="str">
        <f aca="false">IF($A158="","",PO!$I158)</f>
        <v/>
      </c>
      <c r="F158" s="41" t="str">
        <f aca="false">IF($A158="","",IF(PO!$R158="","",PO!$R158))</f>
        <v/>
      </c>
      <c r="G158" s="38" t="str">
        <f aca="false">IF($A158="","",PO!$L158)</f>
        <v/>
      </c>
      <c r="H158" s="38" t="str">
        <f aca="false">IF($A158="","",SUMIFS('Thanh toán'!$H$4:$H$203,'Thanh toán'!$C$4:$C$203,$A158))</f>
        <v/>
      </c>
      <c r="I158" s="38" t="str">
        <f aca="false">IF($A158="","",IFERROR($G158-$H158,""))</f>
        <v/>
      </c>
      <c r="J158" s="41" t="str">
        <f aca="false">IF($A158="","",IF(PO!$AA158="","",PO!$AA158))</f>
        <v/>
      </c>
      <c r="K158" s="38" t="str">
        <f aca="true">IF($A158="","",IF($I158&lt;=0,0,IF($J158="",0,MAX(0,TODAY()-$J158))))</f>
        <v/>
      </c>
      <c r="L158" s="37" t="str">
        <f aca="false">IF($A158="","",IF($I158&lt;=0,"Đã thanh toán",IF($K158=0,"Trong hạn",IF($K158&lt;=30,"1-30",IF($K158&lt;=60,"31-60",IF($K158&lt;=90,"61-90","&gt;90"))))))</f>
        <v/>
      </c>
      <c r="M158" s="37" t="str">
        <f aca="false">IF($A158="","",IF($I158&lt;=0,"Đã thanh toán đủ",IF($K158&gt;0,"QUÁ HẠN","Còn nợ, trong hạn")))</f>
        <v/>
      </c>
    </row>
    <row r="159" customFormat="false" ht="15" hidden="false" customHeight="false" outlineLevel="0" collapsed="false">
      <c r="A159" s="37" t="str">
        <f aca="false">IF(PO!$A159="","",PO!$A159)</f>
        <v/>
      </c>
      <c r="B159" s="37" t="str">
        <f aca="false">IF($A159="","",PO!$D159)</f>
        <v/>
      </c>
      <c r="C159" s="37" t="str">
        <f aca="false">IF($A159="","",PO!$E159)</f>
        <v/>
      </c>
      <c r="D159" s="37" t="str">
        <f aca="false">IF($A159="","",PO!$H159)</f>
        <v/>
      </c>
      <c r="E159" s="37" t="str">
        <f aca="false">IF($A159="","",PO!$I159)</f>
        <v/>
      </c>
      <c r="F159" s="41" t="str">
        <f aca="false">IF($A159="","",IF(PO!$R159="","",PO!$R159))</f>
        <v/>
      </c>
      <c r="G159" s="38" t="str">
        <f aca="false">IF($A159="","",PO!$L159)</f>
        <v/>
      </c>
      <c r="H159" s="38" t="str">
        <f aca="false">IF($A159="","",SUMIFS('Thanh toán'!$H$4:$H$203,'Thanh toán'!$C$4:$C$203,$A159))</f>
        <v/>
      </c>
      <c r="I159" s="38" t="str">
        <f aca="false">IF($A159="","",IFERROR($G159-$H159,""))</f>
        <v/>
      </c>
      <c r="J159" s="41" t="str">
        <f aca="false">IF($A159="","",IF(PO!$AA159="","",PO!$AA159))</f>
        <v/>
      </c>
      <c r="K159" s="38" t="str">
        <f aca="true">IF($A159="","",IF($I159&lt;=0,0,IF($J159="",0,MAX(0,TODAY()-$J159))))</f>
        <v/>
      </c>
      <c r="L159" s="37" t="str">
        <f aca="false">IF($A159="","",IF($I159&lt;=0,"Đã thanh toán",IF($K159=0,"Trong hạn",IF($K159&lt;=30,"1-30",IF($K159&lt;=60,"31-60",IF($K159&lt;=90,"61-90","&gt;90"))))))</f>
        <v/>
      </c>
      <c r="M159" s="37" t="str">
        <f aca="false">IF($A159="","",IF($I159&lt;=0,"Đã thanh toán đủ",IF($K159&gt;0,"QUÁ HẠN","Còn nợ, trong hạn")))</f>
        <v/>
      </c>
    </row>
    <row r="160" customFormat="false" ht="15" hidden="false" customHeight="false" outlineLevel="0" collapsed="false">
      <c r="A160" s="37" t="str">
        <f aca="false">IF(PO!$A160="","",PO!$A160)</f>
        <v/>
      </c>
      <c r="B160" s="37" t="str">
        <f aca="false">IF($A160="","",PO!$D160)</f>
        <v/>
      </c>
      <c r="C160" s="37" t="str">
        <f aca="false">IF($A160="","",PO!$E160)</f>
        <v/>
      </c>
      <c r="D160" s="37" t="str">
        <f aca="false">IF($A160="","",PO!$H160)</f>
        <v/>
      </c>
      <c r="E160" s="37" t="str">
        <f aca="false">IF($A160="","",PO!$I160)</f>
        <v/>
      </c>
      <c r="F160" s="41" t="str">
        <f aca="false">IF($A160="","",IF(PO!$R160="","",PO!$R160))</f>
        <v/>
      </c>
      <c r="G160" s="38" t="str">
        <f aca="false">IF($A160="","",PO!$L160)</f>
        <v/>
      </c>
      <c r="H160" s="38" t="str">
        <f aca="false">IF($A160="","",SUMIFS('Thanh toán'!$H$4:$H$203,'Thanh toán'!$C$4:$C$203,$A160))</f>
        <v/>
      </c>
      <c r="I160" s="38" t="str">
        <f aca="false">IF($A160="","",IFERROR($G160-$H160,""))</f>
        <v/>
      </c>
      <c r="J160" s="41" t="str">
        <f aca="false">IF($A160="","",IF(PO!$AA160="","",PO!$AA160))</f>
        <v/>
      </c>
      <c r="K160" s="38" t="str">
        <f aca="true">IF($A160="","",IF($I160&lt;=0,0,IF($J160="",0,MAX(0,TODAY()-$J160))))</f>
        <v/>
      </c>
      <c r="L160" s="37" t="str">
        <f aca="false">IF($A160="","",IF($I160&lt;=0,"Đã thanh toán",IF($K160=0,"Trong hạn",IF($K160&lt;=30,"1-30",IF($K160&lt;=60,"31-60",IF($K160&lt;=90,"61-90","&gt;90"))))))</f>
        <v/>
      </c>
      <c r="M160" s="37" t="str">
        <f aca="false">IF($A160="","",IF($I160&lt;=0,"Đã thanh toán đủ",IF($K160&gt;0,"QUÁ HẠN","Còn nợ, trong hạn")))</f>
        <v/>
      </c>
    </row>
    <row r="161" customFormat="false" ht="15" hidden="false" customHeight="false" outlineLevel="0" collapsed="false">
      <c r="A161" s="37" t="str">
        <f aca="false">IF(PO!$A161="","",PO!$A161)</f>
        <v/>
      </c>
      <c r="B161" s="37" t="str">
        <f aca="false">IF($A161="","",PO!$D161)</f>
        <v/>
      </c>
      <c r="C161" s="37" t="str">
        <f aca="false">IF($A161="","",PO!$E161)</f>
        <v/>
      </c>
      <c r="D161" s="37" t="str">
        <f aca="false">IF($A161="","",PO!$H161)</f>
        <v/>
      </c>
      <c r="E161" s="37" t="str">
        <f aca="false">IF($A161="","",PO!$I161)</f>
        <v/>
      </c>
      <c r="F161" s="41" t="str">
        <f aca="false">IF($A161="","",IF(PO!$R161="","",PO!$R161))</f>
        <v/>
      </c>
      <c r="G161" s="38" t="str">
        <f aca="false">IF($A161="","",PO!$L161)</f>
        <v/>
      </c>
      <c r="H161" s="38" t="str">
        <f aca="false">IF($A161="","",SUMIFS('Thanh toán'!$H$4:$H$203,'Thanh toán'!$C$4:$C$203,$A161))</f>
        <v/>
      </c>
      <c r="I161" s="38" t="str">
        <f aca="false">IF($A161="","",IFERROR($G161-$H161,""))</f>
        <v/>
      </c>
      <c r="J161" s="41" t="str">
        <f aca="false">IF($A161="","",IF(PO!$AA161="","",PO!$AA161))</f>
        <v/>
      </c>
      <c r="K161" s="38" t="str">
        <f aca="true">IF($A161="","",IF($I161&lt;=0,0,IF($J161="",0,MAX(0,TODAY()-$J161))))</f>
        <v/>
      </c>
      <c r="L161" s="37" t="str">
        <f aca="false">IF($A161="","",IF($I161&lt;=0,"Đã thanh toán",IF($K161=0,"Trong hạn",IF($K161&lt;=30,"1-30",IF($K161&lt;=60,"31-60",IF($K161&lt;=90,"61-90","&gt;90"))))))</f>
        <v/>
      </c>
      <c r="M161" s="37" t="str">
        <f aca="false">IF($A161="","",IF($I161&lt;=0,"Đã thanh toán đủ",IF($K161&gt;0,"QUÁ HẠN","Còn nợ, trong hạn")))</f>
        <v/>
      </c>
    </row>
    <row r="162" customFormat="false" ht="15" hidden="false" customHeight="false" outlineLevel="0" collapsed="false">
      <c r="A162" s="37" t="str">
        <f aca="false">IF(PO!$A162="","",PO!$A162)</f>
        <v/>
      </c>
      <c r="B162" s="37" t="str">
        <f aca="false">IF($A162="","",PO!$D162)</f>
        <v/>
      </c>
      <c r="C162" s="37" t="str">
        <f aca="false">IF($A162="","",PO!$E162)</f>
        <v/>
      </c>
      <c r="D162" s="37" t="str">
        <f aca="false">IF($A162="","",PO!$H162)</f>
        <v/>
      </c>
      <c r="E162" s="37" t="str">
        <f aca="false">IF($A162="","",PO!$I162)</f>
        <v/>
      </c>
      <c r="F162" s="41" t="str">
        <f aca="false">IF($A162="","",IF(PO!$R162="","",PO!$R162))</f>
        <v/>
      </c>
      <c r="G162" s="38" t="str">
        <f aca="false">IF($A162="","",PO!$L162)</f>
        <v/>
      </c>
      <c r="H162" s="38" t="str">
        <f aca="false">IF($A162="","",SUMIFS('Thanh toán'!$H$4:$H$203,'Thanh toán'!$C$4:$C$203,$A162))</f>
        <v/>
      </c>
      <c r="I162" s="38" t="str">
        <f aca="false">IF($A162="","",IFERROR($G162-$H162,""))</f>
        <v/>
      </c>
      <c r="J162" s="41" t="str">
        <f aca="false">IF($A162="","",IF(PO!$AA162="","",PO!$AA162))</f>
        <v/>
      </c>
      <c r="K162" s="38" t="str">
        <f aca="true">IF($A162="","",IF($I162&lt;=0,0,IF($J162="",0,MAX(0,TODAY()-$J162))))</f>
        <v/>
      </c>
      <c r="L162" s="37" t="str">
        <f aca="false">IF($A162="","",IF($I162&lt;=0,"Đã thanh toán",IF($K162=0,"Trong hạn",IF($K162&lt;=30,"1-30",IF($K162&lt;=60,"31-60",IF($K162&lt;=90,"61-90","&gt;90"))))))</f>
        <v/>
      </c>
      <c r="M162" s="37" t="str">
        <f aca="false">IF($A162="","",IF($I162&lt;=0,"Đã thanh toán đủ",IF($K162&gt;0,"QUÁ HẠN","Còn nợ, trong hạn")))</f>
        <v/>
      </c>
    </row>
    <row r="163" customFormat="false" ht="15" hidden="false" customHeight="false" outlineLevel="0" collapsed="false">
      <c r="A163" s="37" t="str">
        <f aca="false">IF(PO!$A163="","",PO!$A163)</f>
        <v/>
      </c>
      <c r="B163" s="37" t="str">
        <f aca="false">IF($A163="","",PO!$D163)</f>
        <v/>
      </c>
      <c r="C163" s="37" t="str">
        <f aca="false">IF($A163="","",PO!$E163)</f>
        <v/>
      </c>
      <c r="D163" s="37" t="str">
        <f aca="false">IF($A163="","",PO!$H163)</f>
        <v/>
      </c>
      <c r="E163" s="37" t="str">
        <f aca="false">IF($A163="","",PO!$I163)</f>
        <v/>
      </c>
      <c r="F163" s="41" t="str">
        <f aca="false">IF($A163="","",IF(PO!$R163="","",PO!$R163))</f>
        <v/>
      </c>
      <c r="G163" s="38" t="str">
        <f aca="false">IF($A163="","",PO!$L163)</f>
        <v/>
      </c>
      <c r="H163" s="38" t="str">
        <f aca="false">IF($A163="","",SUMIFS('Thanh toán'!$H$4:$H$203,'Thanh toán'!$C$4:$C$203,$A163))</f>
        <v/>
      </c>
      <c r="I163" s="38" t="str">
        <f aca="false">IF($A163="","",IFERROR($G163-$H163,""))</f>
        <v/>
      </c>
      <c r="J163" s="41" t="str">
        <f aca="false">IF($A163="","",IF(PO!$AA163="","",PO!$AA163))</f>
        <v/>
      </c>
      <c r="K163" s="38" t="str">
        <f aca="true">IF($A163="","",IF($I163&lt;=0,0,IF($J163="",0,MAX(0,TODAY()-$J163))))</f>
        <v/>
      </c>
      <c r="L163" s="37" t="str">
        <f aca="false">IF($A163="","",IF($I163&lt;=0,"Đã thanh toán",IF($K163=0,"Trong hạn",IF($K163&lt;=30,"1-30",IF($K163&lt;=60,"31-60",IF($K163&lt;=90,"61-90","&gt;90"))))))</f>
        <v/>
      </c>
      <c r="M163" s="37" t="str">
        <f aca="false">IF($A163="","",IF($I163&lt;=0,"Đã thanh toán đủ",IF($K163&gt;0,"QUÁ HẠN","Còn nợ, trong hạn")))</f>
        <v/>
      </c>
    </row>
    <row r="164" customFormat="false" ht="15" hidden="false" customHeight="false" outlineLevel="0" collapsed="false">
      <c r="A164" s="37" t="str">
        <f aca="false">IF(PO!$A164="","",PO!$A164)</f>
        <v/>
      </c>
      <c r="B164" s="37" t="str">
        <f aca="false">IF($A164="","",PO!$D164)</f>
        <v/>
      </c>
      <c r="C164" s="37" t="str">
        <f aca="false">IF($A164="","",PO!$E164)</f>
        <v/>
      </c>
      <c r="D164" s="37" t="str">
        <f aca="false">IF($A164="","",PO!$H164)</f>
        <v/>
      </c>
      <c r="E164" s="37" t="str">
        <f aca="false">IF($A164="","",PO!$I164)</f>
        <v/>
      </c>
      <c r="F164" s="41" t="str">
        <f aca="false">IF($A164="","",IF(PO!$R164="","",PO!$R164))</f>
        <v/>
      </c>
      <c r="G164" s="38" t="str">
        <f aca="false">IF($A164="","",PO!$L164)</f>
        <v/>
      </c>
      <c r="H164" s="38" t="str">
        <f aca="false">IF($A164="","",SUMIFS('Thanh toán'!$H$4:$H$203,'Thanh toán'!$C$4:$C$203,$A164))</f>
        <v/>
      </c>
      <c r="I164" s="38" t="str">
        <f aca="false">IF($A164="","",IFERROR($G164-$H164,""))</f>
        <v/>
      </c>
      <c r="J164" s="41" t="str">
        <f aca="false">IF($A164="","",IF(PO!$AA164="","",PO!$AA164))</f>
        <v/>
      </c>
      <c r="K164" s="38" t="str">
        <f aca="true">IF($A164="","",IF($I164&lt;=0,0,IF($J164="",0,MAX(0,TODAY()-$J164))))</f>
        <v/>
      </c>
      <c r="L164" s="37" t="str">
        <f aca="false">IF($A164="","",IF($I164&lt;=0,"Đã thanh toán",IF($K164=0,"Trong hạn",IF($K164&lt;=30,"1-30",IF($K164&lt;=60,"31-60",IF($K164&lt;=90,"61-90","&gt;90"))))))</f>
        <v/>
      </c>
      <c r="M164" s="37" t="str">
        <f aca="false">IF($A164="","",IF($I164&lt;=0,"Đã thanh toán đủ",IF($K164&gt;0,"QUÁ HẠN","Còn nợ, trong hạn")))</f>
        <v/>
      </c>
    </row>
    <row r="165" customFormat="false" ht="15" hidden="false" customHeight="false" outlineLevel="0" collapsed="false">
      <c r="A165" s="37" t="str">
        <f aca="false">IF(PO!$A165="","",PO!$A165)</f>
        <v/>
      </c>
      <c r="B165" s="37" t="str">
        <f aca="false">IF($A165="","",PO!$D165)</f>
        <v/>
      </c>
      <c r="C165" s="37" t="str">
        <f aca="false">IF($A165="","",PO!$E165)</f>
        <v/>
      </c>
      <c r="D165" s="37" t="str">
        <f aca="false">IF($A165="","",PO!$H165)</f>
        <v/>
      </c>
      <c r="E165" s="37" t="str">
        <f aca="false">IF($A165="","",PO!$I165)</f>
        <v/>
      </c>
      <c r="F165" s="41" t="str">
        <f aca="false">IF($A165="","",IF(PO!$R165="","",PO!$R165))</f>
        <v/>
      </c>
      <c r="G165" s="38" t="str">
        <f aca="false">IF($A165="","",PO!$L165)</f>
        <v/>
      </c>
      <c r="H165" s="38" t="str">
        <f aca="false">IF($A165="","",SUMIFS('Thanh toán'!$H$4:$H$203,'Thanh toán'!$C$4:$C$203,$A165))</f>
        <v/>
      </c>
      <c r="I165" s="38" t="str">
        <f aca="false">IF($A165="","",IFERROR($G165-$H165,""))</f>
        <v/>
      </c>
      <c r="J165" s="41" t="str">
        <f aca="false">IF($A165="","",IF(PO!$AA165="","",PO!$AA165))</f>
        <v/>
      </c>
      <c r="K165" s="38" t="str">
        <f aca="true">IF($A165="","",IF($I165&lt;=0,0,IF($J165="",0,MAX(0,TODAY()-$J165))))</f>
        <v/>
      </c>
      <c r="L165" s="37" t="str">
        <f aca="false">IF($A165="","",IF($I165&lt;=0,"Đã thanh toán",IF($K165=0,"Trong hạn",IF($K165&lt;=30,"1-30",IF($K165&lt;=60,"31-60",IF($K165&lt;=90,"61-90","&gt;90"))))))</f>
        <v/>
      </c>
      <c r="M165" s="37" t="str">
        <f aca="false">IF($A165="","",IF($I165&lt;=0,"Đã thanh toán đủ",IF($K165&gt;0,"QUÁ HẠN","Còn nợ, trong hạn")))</f>
        <v/>
      </c>
    </row>
    <row r="166" customFormat="false" ht="15" hidden="false" customHeight="false" outlineLevel="0" collapsed="false">
      <c r="A166" s="37" t="str">
        <f aca="false">IF(PO!$A166="","",PO!$A166)</f>
        <v/>
      </c>
      <c r="B166" s="37" t="str">
        <f aca="false">IF($A166="","",PO!$D166)</f>
        <v/>
      </c>
      <c r="C166" s="37" t="str">
        <f aca="false">IF($A166="","",PO!$E166)</f>
        <v/>
      </c>
      <c r="D166" s="37" t="str">
        <f aca="false">IF($A166="","",PO!$H166)</f>
        <v/>
      </c>
      <c r="E166" s="37" t="str">
        <f aca="false">IF($A166="","",PO!$I166)</f>
        <v/>
      </c>
      <c r="F166" s="41" t="str">
        <f aca="false">IF($A166="","",IF(PO!$R166="","",PO!$R166))</f>
        <v/>
      </c>
      <c r="G166" s="38" t="str">
        <f aca="false">IF($A166="","",PO!$L166)</f>
        <v/>
      </c>
      <c r="H166" s="38" t="str">
        <f aca="false">IF($A166="","",SUMIFS('Thanh toán'!$H$4:$H$203,'Thanh toán'!$C$4:$C$203,$A166))</f>
        <v/>
      </c>
      <c r="I166" s="38" t="str">
        <f aca="false">IF($A166="","",IFERROR($G166-$H166,""))</f>
        <v/>
      </c>
      <c r="J166" s="41" t="str">
        <f aca="false">IF($A166="","",IF(PO!$AA166="","",PO!$AA166))</f>
        <v/>
      </c>
      <c r="K166" s="38" t="str">
        <f aca="true">IF($A166="","",IF($I166&lt;=0,0,IF($J166="",0,MAX(0,TODAY()-$J166))))</f>
        <v/>
      </c>
      <c r="L166" s="37" t="str">
        <f aca="false">IF($A166="","",IF($I166&lt;=0,"Đã thanh toán",IF($K166=0,"Trong hạn",IF($K166&lt;=30,"1-30",IF($K166&lt;=60,"31-60",IF($K166&lt;=90,"61-90","&gt;90"))))))</f>
        <v/>
      </c>
      <c r="M166" s="37" t="str">
        <f aca="false">IF($A166="","",IF($I166&lt;=0,"Đã thanh toán đủ",IF($K166&gt;0,"QUÁ HẠN","Còn nợ, trong hạn")))</f>
        <v/>
      </c>
    </row>
    <row r="167" customFormat="false" ht="15" hidden="false" customHeight="false" outlineLevel="0" collapsed="false">
      <c r="A167" s="37" t="str">
        <f aca="false">IF(PO!$A167="","",PO!$A167)</f>
        <v/>
      </c>
      <c r="B167" s="37" t="str">
        <f aca="false">IF($A167="","",PO!$D167)</f>
        <v/>
      </c>
      <c r="C167" s="37" t="str">
        <f aca="false">IF($A167="","",PO!$E167)</f>
        <v/>
      </c>
      <c r="D167" s="37" t="str">
        <f aca="false">IF($A167="","",PO!$H167)</f>
        <v/>
      </c>
      <c r="E167" s="37" t="str">
        <f aca="false">IF($A167="","",PO!$I167)</f>
        <v/>
      </c>
      <c r="F167" s="41" t="str">
        <f aca="false">IF($A167="","",IF(PO!$R167="","",PO!$R167))</f>
        <v/>
      </c>
      <c r="G167" s="38" t="str">
        <f aca="false">IF($A167="","",PO!$L167)</f>
        <v/>
      </c>
      <c r="H167" s="38" t="str">
        <f aca="false">IF($A167="","",SUMIFS('Thanh toán'!$H$4:$H$203,'Thanh toán'!$C$4:$C$203,$A167))</f>
        <v/>
      </c>
      <c r="I167" s="38" t="str">
        <f aca="false">IF($A167="","",IFERROR($G167-$H167,""))</f>
        <v/>
      </c>
      <c r="J167" s="41" t="str">
        <f aca="false">IF($A167="","",IF(PO!$AA167="","",PO!$AA167))</f>
        <v/>
      </c>
      <c r="K167" s="38" t="str">
        <f aca="true">IF($A167="","",IF($I167&lt;=0,0,IF($J167="",0,MAX(0,TODAY()-$J167))))</f>
        <v/>
      </c>
      <c r="L167" s="37" t="str">
        <f aca="false">IF($A167="","",IF($I167&lt;=0,"Đã thanh toán",IF($K167=0,"Trong hạn",IF($K167&lt;=30,"1-30",IF($K167&lt;=60,"31-60",IF($K167&lt;=90,"61-90","&gt;90"))))))</f>
        <v/>
      </c>
      <c r="M167" s="37" t="str">
        <f aca="false">IF($A167="","",IF($I167&lt;=0,"Đã thanh toán đủ",IF($K167&gt;0,"QUÁ HẠN","Còn nợ, trong hạn")))</f>
        <v/>
      </c>
    </row>
    <row r="168" customFormat="false" ht="15" hidden="false" customHeight="false" outlineLevel="0" collapsed="false">
      <c r="A168" s="37" t="str">
        <f aca="false">IF(PO!$A168="","",PO!$A168)</f>
        <v/>
      </c>
      <c r="B168" s="37" t="str">
        <f aca="false">IF($A168="","",PO!$D168)</f>
        <v/>
      </c>
      <c r="C168" s="37" t="str">
        <f aca="false">IF($A168="","",PO!$E168)</f>
        <v/>
      </c>
      <c r="D168" s="37" t="str">
        <f aca="false">IF($A168="","",PO!$H168)</f>
        <v/>
      </c>
      <c r="E168" s="37" t="str">
        <f aca="false">IF($A168="","",PO!$I168)</f>
        <v/>
      </c>
      <c r="F168" s="41" t="str">
        <f aca="false">IF($A168="","",IF(PO!$R168="","",PO!$R168))</f>
        <v/>
      </c>
      <c r="G168" s="38" t="str">
        <f aca="false">IF($A168="","",PO!$L168)</f>
        <v/>
      </c>
      <c r="H168" s="38" t="str">
        <f aca="false">IF($A168="","",SUMIFS('Thanh toán'!$H$4:$H$203,'Thanh toán'!$C$4:$C$203,$A168))</f>
        <v/>
      </c>
      <c r="I168" s="38" t="str">
        <f aca="false">IF($A168="","",IFERROR($G168-$H168,""))</f>
        <v/>
      </c>
      <c r="J168" s="41" t="str">
        <f aca="false">IF($A168="","",IF(PO!$AA168="","",PO!$AA168))</f>
        <v/>
      </c>
      <c r="K168" s="38" t="str">
        <f aca="true">IF($A168="","",IF($I168&lt;=0,0,IF($J168="",0,MAX(0,TODAY()-$J168))))</f>
        <v/>
      </c>
      <c r="L168" s="37" t="str">
        <f aca="false">IF($A168="","",IF($I168&lt;=0,"Đã thanh toán",IF($K168=0,"Trong hạn",IF($K168&lt;=30,"1-30",IF($K168&lt;=60,"31-60",IF($K168&lt;=90,"61-90","&gt;90"))))))</f>
        <v/>
      </c>
      <c r="M168" s="37" t="str">
        <f aca="false">IF($A168="","",IF($I168&lt;=0,"Đã thanh toán đủ",IF($K168&gt;0,"QUÁ HẠN","Còn nợ, trong hạn")))</f>
        <v/>
      </c>
    </row>
    <row r="169" customFormat="false" ht="15" hidden="false" customHeight="false" outlineLevel="0" collapsed="false">
      <c r="A169" s="37" t="str">
        <f aca="false">IF(PO!$A169="","",PO!$A169)</f>
        <v/>
      </c>
      <c r="B169" s="37" t="str">
        <f aca="false">IF($A169="","",PO!$D169)</f>
        <v/>
      </c>
      <c r="C169" s="37" t="str">
        <f aca="false">IF($A169="","",PO!$E169)</f>
        <v/>
      </c>
      <c r="D169" s="37" t="str">
        <f aca="false">IF($A169="","",PO!$H169)</f>
        <v/>
      </c>
      <c r="E169" s="37" t="str">
        <f aca="false">IF($A169="","",PO!$I169)</f>
        <v/>
      </c>
      <c r="F169" s="41" t="str">
        <f aca="false">IF($A169="","",IF(PO!$R169="","",PO!$R169))</f>
        <v/>
      </c>
      <c r="G169" s="38" t="str">
        <f aca="false">IF($A169="","",PO!$L169)</f>
        <v/>
      </c>
      <c r="H169" s="38" t="str">
        <f aca="false">IF($A169="","",SUMIFS('Thanh toán'!$H$4:$H$203,'Thanh toán'!$C$4:$C$203,$A169))</f>
        <v/>
      </c>
      <c r="I169" s="38" t="str">
        <f aca="false">IF($A169="","",IFERROR($G169-$H169,""))</f>
        <v/>
      </c>
      <c r="J169" s="41" t="str">
        <f aca="false">IF($A169="","",IF(PO!$AA169="","",PO!$AA169))</f>
        <v/>
      </c>
      <c r="K169" s="38" t="str">
        <f aca="true">IF($A169="","",IF($I169&lt;=0,0,IF($J169="",0,MAX(0,TODAY()-$J169))))</f>
        <v/>
      </c>
      <c r="L169" s="37" t="str">
        <f aca="false">IF($A169="","",IF($I169&lt;=0,"Đã thanh toán",IF($K169=0,"Trong hạn",IF($K169&lt;=30,"1-30",IF($K169&lt;=60,"31-60",IF($K169&lt;=90,"61-90","&gt;90"))))))</f>
        <v/>
      </c>
      <c r="M169" s="37" t="str">
        <f aca="false">IF($A169="","",IF($I169&lt;=0,"Đã thanh toán đủ",IF($K169&gt;0,"QUÁ HẠN","Còn nợ, trong hạn")))</f>
        <v/>
      </c>
    </row>
    <row r="170" customFormat="false" ht="15" hidden="false" customHeight="false" outlineLevel="0" collapsed="false">
      <c r="A170" s="37" t="str">
        <f aca="false">IF(PO!$A170="","",PO!$A170)</f>
        <v/>
      </c>
      <c r="B170" s="37" t="str">
        <f aca="false">IF($A170="","",PO!$D170)</f>
        <v/>
      </c>
      <c r="C170" s="37" t="str">
        <f aca="false">IF($A170="","",PO!$E170)</f>
        <v/>
      </c>
      <c r="D170" s="37" t="str">
        <f aca="false">IF($A170="","",PO!$H170)</f>
        <v/>
      </c>
      <c r="E170" s="37" t="str">
        <f aca="false">IF($A170="","",PO!$I170)</f>
        <v/>
      </c>
      <c r="F170" s="41" t="str">
        <f aca="false">IF($A170="","",IF(PO!$R170="","",PO!$R170))</f>
        <v/>
      </c>
      <c r="G170" s="38" t="str">
        <f aca="false">IF($A170="","",PO!$L170)</f>
        <v/>
      </c>
      <c r="H170" s="38" t="str">
        <f aca="false">IF($A170="","",SUMIFS('Thanh toán'!$H$4:$H$203,'Thanh toán'!$C$4:$C$203,$A170))</f>
        <v/>
      </c>
      <c r="I170" s="38" t="str">
        <f aca="false">IF($A170="","",IFERROR($G170-$H170,""))</f>
        <v/>
      </c>
      <c r="J170" s="41" t="str">
        <f aca="false">IF($A170="","",IF(PO!$AA170="","",PO!$AA170))</f>
        <v/>
      </c>
      <c r="K170" s="38" t="str">
        <f aca="true">IF($A170="","",IF($I170&lt;=0,0,IF($J170="",0,MAX(0,TODAY()-$J170))))</f>
        <v/>
      </c>
      <c r="L170" s="37" t="str">
        <f aca="false">IF($A170="","",IF($I170&lt;=0,"Đã thanh toán",IF($K170=0,"Trong hạn",IF($K170&lt;=30,"1-30",IF($K170&lt;=60,"31-60",IF($K170&lt;=90,"61-90","&gt;90"))))))</f>
        <v/>
      </c>
      <c r="M170" s="37" t="str">
        <f aca="false">IF($A170="","",IF($I170&lt;=0,"Đã thanh toán đủ",IF($K170&gt;0,"QUÁ HẠN","Còn nợ, trong hạn")))</f>
        <v/>
      </c>
    </row>
    <row r="171" customFormat="false" ht="15" hidden="false" customHeight="false" outlineLevel="0" collapsed="false">
      <c r="A171" s="37" t="str">
        <f aca="false">IF(PO!$A171="","",PO!$A171)</f>
        <v/>
      </c>
      <c r="B171" s="37" t="str">
        <f aca="false">IF($A171="","",PO!$D171)</f>
        <v/>
      </c>
      <c r="C171" s="37" t="str">
        <f aca="false">IF($A171="","",PO!$E171)</f>
        <v/>
      </c>
      <c r="D171" s="37" t="str">
        <f aca="false">IF($A171="","",PO!$H171)</f>
        <v/>
      </c>
      <c r="E171" s="37" t="str">
        <f aca="false">IF($A171="","",PO!$I171)</f>
        <v/>
      </c>
      <c r="F171" s="41" t="str">
        <f aca="false">IF($A171="","",IF(PO!$R171="","",PO!$R171))</f>
        <v/>
      </c>
      <c r="G171" s="38" t="str">
        <f aca="false">IF($A171="","",PO!$L171)</f>
        <v/>
      </c>
      <c r="H171" s="38" t="str">
        <f aca="false">IF($A171="","",SUMIFS('Thanh toán'!$H$4:$H$203,'Thanh toán'!$C$4:$C$203,$A171))</f>
        <v/>
      </c>
      <c r="I171" s="38" t="str">
        <f aca="false">IF($A171="","",IFERROR($G171-$H171,""))</f>
        <v/>
      </c>
      <c r="J171" s="41" t="str">
        <f aca="false">IF($A171="","",IF(PO!$AA171="","",PO!$AA171))</f>
        <v/>
      </c>
      <c r="K171" s="38" t="str">
        <f aca="true">IF($A171="","",IF($I171&lt;=0,0,IF($J171="",0,MAX(0,TODAY()-$J171))))</f>
        <v/>
      </c>
      <c r="L171" s="37" t="str">
        <f aca="false">IF($A171="","",IF($I171&lt;=0,"Đã thanh toán",IF($K171=0,"Trong hạn",IF($K171&lt;=30,"1-30",IF($K171&lt;=60,"31-60",IF($K171&lt;=90,"61-90","&gt;90"))))))</f>
        <v/>
      </c>
      <c r="M171" s="37" t="str">
        <f aca="false">IF($A171="","",IF($I171&lt;=0,"Đã thanh toán đủ",IF($K171&gt;0,"QUÁ HẠN","Còn nợ, trong hạn")))</f>
        <v/>
      </c>
    </row>
    <row r="172" customFormat="false" ht="15" hidden="false" customHeight="false" outlineLevel="0" collapsed="false">
      <c r="A172" s="37" t="str">
        <f aca="false">IF(PO!$A172="","",PO!$A172)</f>
        <v/>
      </c>
      <c r="B172" s="37" t="str">
        <f aca="false">IF($A172="","",PO!$D172)</f>
        <v/>
      </c>
      <c r="C172" s="37" t="str">
        <f aca="false">IF($A172="","",PO!$E172)</f>
        <v/>
      </c>
      <c r="D172" s="37" t="str">
        <f aca="false">IF($A172="","",PO!$H172)</f>
        <v/>
      </c>
      <c r="E172" s="37" t="str">
        <f aca="false">IF($A172="","",PO!$I172)</f>
        <v/>
      </c>
      <c r="F172" s="41" t="str">
        <f aca="false">IF($A172="","",IF(PO!$R172="","",PO!$R172))</f>
        <v/>
      </c>
      <c r="G172" s="38" t="str">
        <f aca="false">IF($A172="","",PO!$L172)</f>
        <v/>
      </c>
      <c r="H172" s="38" t="str">
        <f aca="false">IF($A172="","",SUMIFS('Thanh toán'!$H$4:$H$203,'Thanh toán'!$C$4:$C$203,$A172))</f>
        <v/>
      </c>
      <c r="I172" s="38" t="str">
        <f aca="false">IF($A172="","",IFERROR($G172-$H172,""))</f>
        <v/>
      </c>
      <c r="J172" s="41" t="str">
        <f aca="false">IF($A172="","",IF(PO!$AA172="","",PO!$AA172))</f>
        <v/>
      </c>
      <c r="K172" s="38" t="str">
        <f aca="true">IF($A172="","",IF($I172&lt;=0,0,IF($J172="",0,MAX(0,TODAY()-$J172))))</f>
        <v/>
      </c>
      <c r="L172" s="37" t="str">
        <f aca="false">IF($A172="","",IF($I172&lt;=0,"Đã thanh toán",IF($K172=0,"Trong hạn",IF($K172&lt;=30,"1-30",IF($K172&lt;=60,"31-60",IF($K172&lt;=90,"61-90","&gt;90"))))))</f>
        <v/>
      </c>
      <c r="M172" s="37" t="str">
        <f aca="false">IF($A172="","",IF($I172&lt;=0,"Đã thanh toán đủ",IF($K172&gt;0,"QUÁ HẠN","Còn nợ, trong hạn")))</f>
        <v/>
      </c>
    </row>
    <row r="173" customFormat="false" ht="15" hidden="false" customHeight="false" outlineLevel="0" collapsed="false">
      <c r="A173" s="37" t="str">
        <f aca="false">IF(PO!$A173="","",PO!$A173)</f>
        <v/>
      </c>
      <c r="B173" s="37" t="str">
        <f aca="false">IF($A173="","",PO!$D173)</f>
        <v/>
      </c>
      <c r="C173" s="37" t="str">
        <f aca="false">IF($A173="","",PO!$E173)</f>
        <v/>
      </c>
      <c r="D173" s="37" t="str">
        <f aca="false">IF($A173="","",PO!$H173)</f>
        <v/>
      </c>
      <c r="E173" s="37" t="str">
        <f aca="false">IF($A173="","",PO!$I173)</f>
        <v/>
      </c>
      <c r="F173" s="41" t="str">
        <f aca="false">IF($A173="","",IF(PO!$R173="","",PO!$R173))</f>
        <v/>
      </c>
      <c r="G173" s="38" t="str">
        <f aca="false">IF($A173="","",PO!$L173)</f>
        <v/>
      </c>
      <c r="H173" s="38" t="str">
        <f aca="false">IF($A173="","",SUMIFS('Thanh toán'!$H$4:$H$203,'Thanh toán'!$C$4:$C$203,$A173))</f>
        <v/>
      </c>
      <c r="I173" s="38" t="str">
        <f aca="false">IF($A173="","",IFERROR($G173-$H173,""))</f>
        <v/>
      </c>
      <c r="J173" s="41" t="str">
        <f aca="false">IF($A173="","",IF(PO!$AA173="","",PO!$AA173))</f>
        <v/>
      </c>
      <c r="K173" s="38" t="str">
        <f aca="true">IF($A173="","",IF($I173&lt;=0,0,IF($J173="",0,MAX(0,TODAY()-$J173))))</f>
        <v/>
      </c>
      <c r="L173" s="37" t="str">
        <f aca="false">IF($A173="","",IF($I173&lt;=0,"Đã thanh toán",IF($K173=0,"Trong hạn",IF($K173&lt;=30,"1-30",IF($K173&lt;=60,"31-60",IF($K173&lt;=90,"61-90","&gt;90"))))))</f>
        <v/>
      </c>
      <c r="M173" s="37" t="str">
        <f aca="false">IF($A173="","",IF($I173&lt;=0,"Đã thanh toán đủ",IF($K173&gt;0,"QUÁ HẠN","Còn nợ, trong hạn")))</f>
        <v/>
      </c>
    </row>
    <row r="174" customFormat="false" ht="15" hidden="false" customHeight="false" outlineLevel="0" collapsed="false">
      <c r="A174" s="37" t="str">
        <f aca="false">IF(PO!$A174="","",PO!$A174)</f>
        <v/>
      </c>
      <c r="B174" s="37" t="str">
        <f aca="false">IF($A174="","",PO!$D174)</f>
        <v/>
      </c>
      <c r="C174" s="37" t="str">
        <f aca="false">IF($A174="","",PO!$E174)</f>
        <v/>
      </c>
      <c r="D174" s="37" t="str">
        <f aca="false">IF($A174="","",PO!$H174)</f>
        <v/>
      </c>
      <c r="E174" s="37" t="str">
        <f aca="false">IF($A174="","",PO!$I174)</f>
        <v/>
      </c>
      <c r="F174" s="41" t="str">
        <f aca="false">IF($A174="","",IF(PO!$R174="","",PO!$R174))</f>
        <v/>
      </c>
      <c r="G174" s="38" t="str">
        <f aca="false">IF($A174="","",PO!$L174)</f>
        <v/>
      </c>
      <c r="H174" s="38" t="str">
        <f aca="false">IF($A174="","",SUMIFS('Thanh toán'!$H$4:$H$203,'Thanh toán'!$C$4:$C$203,$A174))</f>
        <v/>
      </c>
      <c r="I174" s="38" t="str">
        <f aca="false">IF($A174="","",IFERROR($G174-$H174,""))</f>
        <v/>
      </c>
      <c r="J174" s="41" t="str">
        <f aca="false">IF($A174="","",IF(PO!$AA174="","",PO!$AA174))</f>
        <v/>
      </c>
      <c r="K174" s="38" t="str">
        <f aca="true">IF($A174="","",IF($I174&lt;=0,0,IF($J174="",0,MAX(0,TODAY()-$J174))))</f>
        <v/>
      </c>
      <c r="L174" s="37" t="str">
        <f aca="false">IF($A174="","",IF($I174&lt;=0,"Đã thanh toán",IF($K174=0,"Trong hạn",IF($K174&lt;=30,"1-30",IF($K174&lt;=60,"31-60",IF($K174&lt;=90,"61-90","&gt;90"))))))</f>
        <v/>
      </c>
      <c r="M174" s="37" t="str">
        <f aca="false">IF($A174="","",IF($I174&lt;=0,"Đã thanh toán đủ",IF($K174&gt;0,"QUÁ HẠN","Còn nợ, trong hạn")))</f>
        <v/>
      </c>
    </row>
    <row r="175" customFormat="false" ht="15" hidden="false" customHeight="false" outlineLevel="0" collapsed="false">
      <c r="A175" s="37" t="str">
        <f aca="false">IF(PO!$A175="","",PO!$A175)</f>
        <v/>
      </c>
      <c r="B175" s="37" t="str">
        <f aca="false">IF($A175="","",PO!$D175)</f>
        <v/>
      </c>
      <c r="C175" s="37" t="str">
        <f aca="false">IF($A175="","",PO!$E175)</f>
        <v/>
      </c>
      <c r="D175" s="37" t="str">
        <f aca="false">IF($A175="","",PO!$H175)</f>
        <v/>
      </c>
      <c r="E175" s="37" t="str">
        <f aca="false">IF($A175="","",PO!$I175)</f>
        <v/>
      </c>
      <c r="F175" s="41" t="str">
        <f aca="false">IF($A175="","",IF(PO!$R175="","",PO!$R175))</f>
        <v/>
      </c>
      <c r="G175" s="38" t="str">
        <f aca="false">IF($A175="","",PO!$L175)</f>
        <v/>
      </c>
      <c r="H175" s="38" t="str">
        <f aca="false">IF($A175="","",SUMIFS('Thanh toán'!$H$4:$H$203,'Thanh toán'!$C$4:$C$203,$A175))</f>
        <v/>
      </c>
      <c r="I175" s="38" t="str">
        <f aca="false">IF($A175="","",IFERROR($G175-$H175,""))</f>
        <v/>
      </c>
      <c r="J175" s="41" t="str">
        <f aca="false">IF($A175="","",IF(PO!$AA175="","",PO!$AA175))</f>
        <v/>
      </c>
      <c r="K175" s="38" t="str">
        <f aca="true">IF($A175="","",IF($I175&lt;=0,0,IF($J175="",0,MAX(0,TODAY()-$J175))))</f>
        <v/>
      </c>
      <c r="L175" s="37" t="str">
        <f aca="false">IF($A175="","",IF($I175&lt;=0,"Đã thanh toán",IF($K175=0,"Trong hạn",IF($K175&lt;=30,"1-30",IF($K175&lt;=60,"31-60",IF($K175&lt;=90,"61-90","&gt;90"))))))</f>
        <v/>
      </c>
      <c r="M175" s="37" t="str">
        <f aca="false">IF($A175="","",IF($I175&lt;=0,"Đã thanh toán đủ",IF($K175&gt;0,"QUÁ HẠN","Còn nợ, trong hạn")))</f>
        <v/>
      </c>
    </row>
    <row r="176" customFormat="false" ht="15" hidden="false" customHeight="false" outlineLevel="0" collapsed="false">
      <c r="A176" s="37" t="str">
        <f aca="false">IF(PO!$A176="","",PO!$A176)</f>
        <v/>
      </c>
      <c r="B176" s="37" t="str">
        <f aca="false">IF($A176="","",PO!$D176)</f>
        <v/>
      </c>
      <c r="C176" s="37" t="str">
        <f aca="false">IF($A176="","",PO!$E176)</f>
        <v/>
      </c>
      <c r="D176" s="37" t="str">
        <f aca="false">IF($A176="","",PO!$H176)</f>
        <v/>
      </c>
      <c r="E176" s="37" t="str">
        <f aca="false">IF($A176="","",PO!$I176)</f>
        <v/>
      </c>
      <c r="F176" s="41" t="str">
        <f aca="false">IF($A176="","",IF(PO!$R176="","",PO!$R176))</f>
        <v/>
      </c>
      <c r="G176" s="38" t="str">
        <f aca="false">IF($A176="","",PO!$L176)</f>
        <v/>
      </c>
      <c r="H176" s="38" t="str">
        <f aca="false">IF($A176="","",SUMIFS('Thanh toán'!$H$4:$H$203,'Thanh toán'!$C$4:$C$203,$A176))</f>
        <v/>
      </c>
      <c r="I176" s="38" t="str">
        <f aca="false">IF($A176="","",IFERROR($G176-$H176,""))</f>
        <v/>
      </c>
      <c r="J176" s="41" t="str">
        <f aca="false">IF($A176="","",IF(PO!$AA176="","",PO!$AA176))</f>
        <v/>
      </c>
      <c r="K176" s="38" t="str">
        <f aca="true">IF($A176="","",IF($I176&lt;=0,0,IF($J176="",0,MAX(0,TODAY()-$J176))))</f>
        <v/>
      </c>
      <c r="L176" s="37" t="str">
        <f aca="false">IF($A176="","",IF($I176&lt;=0,"Đã thanh toán",IF($K176=0,"Trong hạn",IF($K176&lt;=30,"1-30",IF($K176&lt;=60,"31-60",IF($K176&lt;=90,"61-90","&gt;90"))))))</f>
        <v/>
      </c>
      <c r="M176" s="37" t="str">
        <f aca="false">IF($A176="","",IF($I176&lt;=0,"Đã thanh toán đủ",IF($K176&gt;0,"QUÁ HẠN","Còn nợ, trong hạn")))</f>
        <v/>
      </c>
    </row>
    <row r="177" customFormat="false" ht="15" hidden="false" customHeight="false" outlineLevel="0" collapsed="false">
      <c r="A177" s="37" t="str">
        <f aca="false">IF(PO!$A177="","",PO!$A177)</f>
        <v/>
      </c>
      <c r="B177" s="37" t="str">
        <f aca="false">IF($A177="","",PO!$D177)</f>
        <v/>
      </c>
      <c r="C177" s="37" t="str">
        <f aca="false">IF($A177="","",PO!$E177)</f>
        <v/>
      </c>
      <c r="D177" s="37" t="str">
        <f aca="false">IF($A177="","",PO!$H177)</f>
        <v/>
      </c>
      <c r="E177" s="37" t="str">
        <f aca="false">IF($A177="","",PO!$I177)</f>
        <v/>
      </c>
      <c r="F177" s="41" t="str">
        <f aca="false">IF($A177="","",IF(PO!$R177="","",PO!$R177))</f>
        <v/>
      </c>
      <c r="G177" s="38" t="str">
        <f aca="false">IF($A177="","",PO!$L177)</f>
        <v/>
      </c>
      <c r="H177" s="38" t="str">
        <f aca="false">IF($A177="","",SUMIFS('Thanh toán'!$H$4:$H$203,'Thanh toán'!$C$4:$C$203,$A177))</f>
        <v/>
      </c>
      <c r="I177" s="38" t="str">
        <f aca="false">IF($A177="","",IFERROR($G177-$H177,""))</f>
        <v/>
      </c>
      <c r="J177" s="41" t="str">
        <f aca="false">IF($A177="","",IF(PO!$AA177="","",PO!$AA177))</f>
        <v/>
      </c>
      <c r="K177" s="38" t="str">
        <f aca="true">IF($A177="","",IF($I177&lt;=0,0,IF($J177="",0,MAX(0,TODAY()-$J177))))</f>
        <v/>
      </c>
      <c r="L177" s="37" t="str">
        <f aca="false">IF($A177="","",IF($I177&lt;=0,"Đã thanh toán",IF($K177=0,"Trong hạn",IF($K177&lt;=30,"1-30",IF($K177&lt;=60,"31-60",IF($K177&lt;=90,"61-90","&gt;90"))))))</f>
        <v/>
      </c>
      <c r="M177" s="37" t="str">
        <f aca="false">IF($A177="","",IF($I177&lt;=0,"Đã thanh toán đủ",IF($K177&gt;0,"QUÁ HẠN","Còn nợ, trong hạn")))</f>
        <v/>
      </c>
    </row>
    <row r="178" customFormat="false" ht="15" hidden="false" customHeight="false" outlineLevel="0" collapsed="false">
      <c r="A178" s="37" t="str">
        <f aca="false">IF(PO!$A178="","",PO!$A178)</f>
        <v/>
      </c>
      <c r="B178" s="37" t="str">
        <f aca="false">IF($A178="","",PO!$D178)</f>
        <v/>
      </c>
      <c r="C178" s="37" t="str">
        <f aca="false">IF($A178="","",PO!$E178)</f>
        <v/>
      </c>
      <c r="D178" s="37" t="str">
        <f aca="false">IF($A178="","",PO!$H178)</f>
        <v/>
      </c>
      <c r="E178" s="37" t="str">
        <f aca="false">IF($A178="","",PO!$I178)</f>
        <v/>
      </c>
      <c r="F178" s="41" t="str">
        <f aca="false">IF($A178="","",IF(PO!$R178="","",PO!$R178))</f>
        <v/>
      </c>
      <c r="G178" s="38" t="str">
        <f aca="false">IF($A178="","",PO!$L178)</f>
        <v/>
      </c>
      <c r="H178" s="38" t="str">
        <f aca="false">IF($A178="","",SUMIFS('Thanh toán'!$H$4:$H$203,'Thanh toán'!$C$4:$C$203,$A178))</f>
        <v/>
      </c>
      <c r="I178" s="38" t="str">
        <f aca="false">IF($A178="","",IFERROR($G178-$H178,""))</f>
        <v/>
      </c>
      <c r="J178" s="41" t="str">
        <f aca="false">IF($A178="","",IF(PO!$AA178="","",PO!$AA178))</f>
        <v/>
      </c>
      <c r="K178" s="38" t="str">
        <f aca="true">IF($A178="","",IF($I178&lt;=0,0,IF($J178="",0,MAX(0,TODAY()-$J178))))</f>
        <v/>
      </c>
      <c r="L178" s="37" t="str">
        <f aca="false">IF($A178="","",IF($I178&lt;=0,"Đã thanh toán",IF($K178=0,"Trong hạn",IF($K178&lt;=30,"1-30",IF($K178&lt;=60,"31-60",IF($K178&lt;=90,"61-90","&gt;90"))))))</f>
        <v/>
      </c>
      <c r="M178" s="37" t="str">
        <f aca="false">IF($A178="","",IF($I178&lt;=0,"Đã thanh toán đủ",IF($K178&gt;0,"QUÁ HẠN","Còn nợ, trong hạn")))</f>
        <v/>
      </c>
    </row>
    <row r="179" customFormat="false" ht="15" hidden="false" customHeight="false" outlineLevel="0" collapsed="false">
      <c r="A179" s="37" t="str">
        <f aca="false">IF(PO!$A179="","",PO!$A179)</f>
        <v/>
      </c>
      <c r="B179" s="37" t="str">
        <f aca="false">IF($A179="","",PO!$D179)</f>
        <v/>
      </c>
      <c r="C179" s="37" t="str">
        <f aca="false">IF($A179="","",PO!$E179)</f>
        <v/>
      </c>
      <c r="D179" s="37" t="str">
        <f aca="false">IF($A179="","",PO!$H179)</f>
        <v/>
      </c>
      <c r="E179" s="37" t="str">
        <f aca="false">IF($A179="","",PO!$I179)</f>
        <v/>
      </c>
      <c r="F179" s="41" t="str">
        <f aca="false">IF($A179="","",IF(PO!$R179="","",PO!$R179))</f>
        <v/>
      </c>
      <c r="G179" s="38" t="str">
        <f aca="false">IF($A179="","",PO!$L179)</f>
        <v/>
      </c>
      <c r="H179" s="38" t="str">
        <f aca="false">IF($A179="","",SUMIFS('Thanh toán'!$H$4:$H$203,'Thanh toán'!$C$4:$C$203,$A179))</f>
        <v/>
      </c>
      <c r="I179" s="38" t="str">
        <f aca="false">IF($A179="","",IFERROR($G179-$H179,""))</f>
        <v/>
      </c>
      <c r="J179" s="41" t="str">
        <f aca="false">IF($A179="","",IF(PO!$AA179="","",PO!$AA179))</f>
        <v/>
      </c>
      <c r="K179" s="38" t="str">
        <f aca="true">IF($A179="","",IF($I179&lt;=0,0,IF($J179="",0,MAX(0,TODAY()-$J179))))</f>
        <v/>
      </c>
      <c r="L179" s="37" t="str">
        <f aca="false">IF($A179="","",IF($I179&lt;=0,"Đã thanh toán",IF($K179=0,"Trong hạn",IF($K179&lt;=30,"1-30",IF($K179&lt;=60,"31-60",IF($K179&lt;=90,"61-90","&gt;90"))))))</f>
        <v/>
      </c>
      <c r="M179" s="37" t="str">
        <f aca="false">IF($A179="","",IF($I179&lt;=0,"Đã thanh toán đủ",IF($K179&gt;0,"QUÁ HẠN","Còn nợ, trong hạn")))</f>
        <v/>
      </c>
    </row>
    <row r="180" customFormat="false" ht="15" hidden="false" customHeight="false" outlineLevel="0" collapsed="false">
      <c r="A180" s="37" t="str">
        <f aca="false">IF(PO!$A180="","",PO!$A180)</f>
        <v/>
      </c>
      <c r="B180" s="37" t="str">
        <f aca="false">IF($A180="","",PO!$D180)</f>
        <v/>
      </c>
      <c r="C180" s="37" t="str">
        <f aca="false">IF($A180="","",PO!$E180)</f>
        <v/>
      </c>
      <c r="D180" s="37" t="str">
        <f aca="false">IF($A180="","",PO!$H180)</f>
        <v/>
      </c>
      <c r="E180" s="37" t="str">
        <f aca="false">IF($A180="","",PO!$I180)</f>
        <v/>
      </c>
      <c r="F180" s="41" t="str">
        <f aca="false">IF($A180="","",IF(PO!$R180="","",PO!$R180))</f>
        <v/>
      </c>
      <c r="G180" s="38" t="str">
        <f aca="false">IF($A180="","",PO!$L180)</f>
        <v/>
      </c>
      <c r="H180" s="38" t="str">
        <f aca="false">IF($A180="","",SUMIFS('Thanh toán'!$H$4:$H$203,'Thanh toán'!$C$4:$C$203,$A180))</f>
        <v/>
      </c>
      <c r="I180" s="38" t="str">
        <f aca="false">IF($A180="","",IFERROR($G180-$H180,""))</f>
        <v/>
      </c>
      <c r="J180" s="41" t="str">
        <f aca="false">IF($A180="","",IF(PO!$AA180="","",PO!$AA180))</f>
        <v/>
      </c>
      <c r="K180" s="38" t="str">
        <f aca="true">IF($A180="","",IF($I180&lt;=0,0,IF($J180="",0,MAX(0,TODAY()-$J180))))</f>
        <v/>
      </c>
      <c r="L180" s="37" t="str">
        <f aca="false">IF($A180="","",IF($I180&lt;=0,"Đã thanh toán",IF($K180=0,"Trong hạn",IF($K180&lt;=30,"1-30",IF($K180&lt;=60,"31-60",IF($K180&lt;=90,"61-90","&gt;90"))))))</f>
        <v/>
      </c>
      <c r="M180" s="37" t="str">
        <f aca="false">IF($A180="","",IF($I180&lt;=0,"Đã thanh toán đủ",IF($K180&gt;0,"QUÁ HẠN","Còn nợ, trong hạn")))</f>
        <v/>
      </c>
    </row>
    <row r="181" customFormat="false" ht="15" hidden="false" customHeight="false" outlineLevel="0" collapsed="false">
      <c r="A181" s="37" t="str">
        <f aca="false">IF(PO!$A181="","",PO!$A181)</f>
        <v/>
      </c>
      <c r="B181" s="37" t="str">
        <f aca="false">IF($A181="","",PO!$D181)</f>
        <v/>
      </c>
      <c r="C181" s="37" t="str">
        <f aca="false">IF($A181="","",PO!$E181)</f>
        <v/>
      </c>
      <c r="D181" s="37" t="str">
        <f aca="false">IF($A181="","",PO!$H181)</f>
        <v/>
      </c>
      <c r="E181" s="37" t="str">
        <f aca="false">IF($A181="","",PO!$I181)</f>
        <v/>
      </c>
      <c r="F181" s="41" t="str">
        <f aca="false">IF($A181="","",IF(PO!$R181="","",PO!$R181))</f>
        <v/>
      </c>
      <c r="G181" s="38" t="str">
        <f aca="false">IF($A181="","",PO!$L181)</f>
        <v/>
      </c>
      <c r="H181" s="38" t="str">
        <f aca="false">IF($A181="","",SUMIFS('Thanh toán'!$H$4:$H$203,'Thanh toán'!$C$4:$C$203,$A181))</f>
        <v/>
      </c>
      <c r="I181" s="38" t="str">
        <f aca="false">IF($A181="","",IFERROR($G181-$H181,""))</f>
        <v/>
      </c>
      <c r="J181" s="41" t="str">
        <f aca="false">IF($A181="","",IF(PO!$AA181="","",PO!$AA181))</f>
        <v/>
      </c>
      <c r="K181" s="38" t="str">
        <f aca="true">IF($A181="","",IF($I181&lt;=0,0,IF($J181="",0,MAX(0,TODAY()-$J181))))</f>
        <v/>
      </c>
      <c r="L181" s="37" t="str">
        <f aca="false">IF($A181="","",IF($I181&lt;=0,"Đã thanh toán",IF($K181=0,"Trong hạn",IF($K181&lt;=30,"1-30",IF($K181&lt;=60,"31-60",IF($K181&lt;=90,"61-90","&gt;90"))))))</f>
        <v/>
      </c>
      <c r="M181" s="37" t="str">
        <f aca="false">IF($A181="","",IF($I181&lt;=0,"Đã thanh toán đủ",IF($K181&gt;0,"QUÁ HẠN","Còn nợ, trong hạn")))</f>
        <v/>
      </c>
    </row>
    <row r="182" customFormat="false" ht="15" hidden="false" customHeight="false" outlineLevel="0" collapsed="false">
      <c r="A182" s="37" t="str">
        <f aca="false">IF(PO!$A182="","",PO!$A182)</f>
        <v/>
      </c>
      <c r="B182" s="37" t="str">
        <f aca="false">IF($A182="","",PO!$D182)</f>
        <v/>
      </c>
      <c r="C182" s="37" t="str">
        <f aca="false">IF($A182="","",PO!$E182)</f>
        <v/>
      </c>
      <c r="D182" s="37" t="str">
        <f aca="false">IF($A182="","",PO!$H182)</f>
        <v/>
      </c>
      <c r="E182" s="37" t="str">
        <f aca="false">IF($A182="","",PO!$I182)</f>
        <v/>
      </c>
      <c r="F182" s="41" t="str">
        <f aca="false">IF($A182="","",IF(PO!$R182="","",PO!$R182))</f>
        <v/>
      </c>
      <c r="G182" s="38" t="str">
        <f aca="false">IF($A182="","",PO!$L182)</f>
        <v/>
      </c>
      <c r="H182" s="38" t="str">
        <f aca="false">IF($A182="","",SUMIFS('Thanh toán'!$H$4:$H$203,'Thanh toán'!$C$4:$C$203,$A182))</f>
        <v/>
      </c>
      <c r="I182" s="38" t="str">
        <f aca="false">IF($A182="","",IFERROR($G182-$H182,""))</f>
        <v/>
      </c>
      <c r="J182" s="41" t="str">
        <f aca="false">IF($A182="","",IF(PO!$AA182="","",PO!$AA182))</f>
        <v/>
      </c>
      <c r="K182" s="38" t="str">
        <f aca="true">IF($A182="","",IF($I182&lt;=0,0,IF($J182="",0,MAX(0,TODAY()-$J182))))</f>
        <v/>
      </c>
      <c r="L182" s="37" t="str">
        <f aca="false">IF($A182="","",IF($I182&lt;=0,"Đã thanh toán",IF($K182=0,"Trong hạn",IF($K182&lt;=30,"1-30",IF($K182&lt;=60,"31-60",IF($K182&lt;=90,"61-90","&gt;90"))))))</f>
        <v/>
      </c>
      <c r="M182" s="37" t="str">
        <f aca="false">IF($A182="","",IF($I182&lt;=0,"Đã thanh toán đủ",IF($K182&gt;0,"QUÁ HẠN","Còn nợ, trong hạn")))</f>
        <v/>
      </c>
    </row>
    <row r="183" customFormat="false" ht="15" hidden="false" customHeight="false" outlineLevel="0" collapsed="false">
      <c r="A183" s="37" t="str">
        <f aca="false">IF(PO!$A183="","",PO!$A183)</f>
        <v/>
      </c>
      <c r="B183" s="37" t="str">
        <f aca="false">IF($A183="","",PO!$D183)</f>
        <v/>
      </c>
      <c r="C183" s="37" t="str">
        <f aca="false">IF($A183="","",PO!$E183)</f>
        <v/>
      </c>
      <c r="D183" s="37" t="str">
        <f aca="false">IF($A183="","",PO!$H183)</f>
        <v/>
      </c>
      <c r="E183" s="37" t="str">
        <f aca="false">IF($A183="","",PO!$I183)</f>
        <v/>
      </c>
      <c r="F183" s="41" t="str">
        <f aca="false">IF($A183="","",IF(PO!$R183="","",PO!$R183))</f>
        <v/>
      </c>
      <c r="G183" s="38" t="str">
        <f aca="false">IF($A183="","",PO!$L183)</f>
        <v/>
      </c>
      <c r="H183" s="38" t="str">
        <f aca="false">IF($A183="","",SUMIFS('Thanh toán'!$H$4:$H$203,'Thanh toán'!$C$4:$C$203,$A183))</f>
        <v/>
      </c>
      <c r="I183" s="38" t="str">
        <f aca="false">IF($A183="","",IFERROR($G183-$H183,""))</f>
        <v/>
      </c>
      <c r="J183" s="41" t="str">
        <f aca="false">IF($A183="","",IF(PO!$AA183="","",PO!$AA183))</f>
        <v/>
      </c>
      <c r="K183" s="38" t="str">
        <f aca="true">IF($A183="","",IF($I183&lt;=0,0,IF($J183="",0,MAX(0,TODAY()-$J183))))</f>
        <v/>
      </c>
      <c r="L183" s="37" t="str">
        <f aca="false">IF($A183="","",IF($I183&lt;=0,"Đã thanh toán",IF($K183=0,"Trong hạn",IF($K183&lt;=30,"1-30",IF($K183&lt;=60,"31-60",IF($K183&lt;=90,"61-90","&gt;90"))))))</f>
        <v/>
      </c>
      <c r="M183" s="37" t="str">
        <f aca="false">IF($A183="","",IF($I183&lt;=0,"Đã thanh toán đủ",IF($K183&gt;0,"QUÁ HẠN","Còn nợ, trong hạn")))</f>
        <v/>
      </c>
    </row>
    <row r="184" customFormat="false" ht="15" hidden="false" customHeight="false" outlineLevel="0" collapsed="false">
      <c r="A184" s="37" t="str">
        <f aca="false">IF(PO!$A184="","",PO!$A184)</f>
        <v/>
      </c>
      <c r="B184" s="37" t="str">
        <f aca="false">IF($A184="","",PO!$D184)</f>
        <v/>
      </c>
      <c r="C184" s="37" t="str">
        <f aca="false">IF($A184="","",PO!$E184)</f>
        <v/>
      </c>
      <c r="D184" s="37" t="str">
        <f aca="false">IF($A184="","",PO!$H184)</f>
        <v/>
      </c>
      <c r="E184" s="37" t="str">
        <f aca="false">IF($A184="","",PO!$I184)</f>
        <v/>
      </c>
      <c r="F184" s="41" t="str">
        <f aca="false">IF($A184="","",IF(PO!$R184="","",PO!$R184))</f>
        <v/>
      </c>
      <c r="G184" s="38" t="str">
        <f aca="false">IF($A184="","",PO!$L184)</f>
        <v/>
      </c>
      <c r="H184" s="38" t="str">
        <f aca="false">IF($A184="","",SUMIFS('Thanh toán'!$H$4:$H$203,'Thanh toán'!$C$4:$C$203,$A184))</f>
        <v/>
      </c>
      <c r="I184" s="38" t="str">
        <f aca="false">IF($A184="","",IFERROR($G184-$H184,""))</f>
        <v/>
      </c>
      <c r="J184" s="41" t="str">
        <f aca="false">IF($A184="","",IF(PO!$AA184="","",PO!$AA184))</f>
        <v/>
      </c>
      <c r="K184" s="38" t="str">
        <f aca="true">IF($A184="","",IF($I184&lt;=0,0,IF($J184="",0,MAX(0,TODAY()-$J184))))</f>
        <v/>
      </c>
      <c r="L184" s="37" t="str">
        <f aca="false">IF($A184="","",IF($I184&lt;=0,"Đã thanh toán",IF($K184=0,"Trong hạn",IF($K184&lt;=30,"1-30",IF($K184&lt;=60,"31-60",IF($K184&lt;=90,"61-90","&gt;90"))))))</f>
        <v/>
      </c>
      <c r="M184" s="37" t="str">
        <f aca="false">IF($A184="","",IF($I184&lt;=0,"Đã thanh toán đủ",IF($K184&gt;0,"QUÁ HẠN","Còn nợ, trong hạn")))</f>
        <v/>
      </c>
    </row>
    <row r="185" customFormat="false" ht="15" hidden="false" customHeight="false" outlineLevel="0" collapsed="false">
      <c r="A185" s="37" t="str">
        <f aca="false">IF(PO!$A185="","",PO!$A185)</f>
        <v/>
      </c>
      <c r="B185" s="37" t="str">
        <f aca="false">IF($A185="","",PO!$D185)</f>
        <v/>
      </c>
      <c r="C185" s="37" t="str">
        <f aca="false">IF($A185="","",PO!$E185)</f>
        <v/>
      </c>
      <c r="D185" s="37" t="str">
        <f aca="false">IF($A185="","",PO!$H185)</f>
        <v/>
      </c>
      <c r="E185" s="37" t="str">
        <f aca="false">IF($A185="","",PO!$I185)</f>
        <v/>
      </c>
      <c r="F185" s="41" t="str">
        <f aca="false">IF($A185="","",IF(PO!$R185="","",PO!$R185))</f>
        <v/>
      </c>
      <c r="G185" s="38" t="str">
        <f aca="false">IF($A185="","",PO!$L185)</f>
        <v/>
      </c>
      <c r="H185" s="38" t="str">
        <f aca="false">IF($A185="","",SUMIFS('Thanh toán'!$H$4:$H$203,'Thanh toán'!$C$4:$C$203,$A185))</f>
        <v/>
      </c>
      <c r="I185" s="38" t="str">
        <f aca="false">IF($A185="","",IFERROR($G185-$H185,""))</f>
        <v/>
      </c>
      <c r="J185" s="41" t="str">
        <f aca="false">IF($A185="","",IF(PO!$AA185="","",PO!$AA185))</f>
        <v/>
      </c>
      <c r="K185" s="38" t="str">
        <f aca="true">IF($A185="","",IF($I185&lt;=0,0,IF($J185="",0,MAX(0,TODAY()-$J185))))</f>
        <v/>
      </c>
      <c r="L185" s="37" t="str">
        <f aca="false">IF($A185="","",IF($I185&lt;=0,"Đã thanh toán",IF($K185=0,"Trong hạn",IF($K185&lt;=30,"1-30",IF($K185&lt;=60,"31-60",IF($K185&lt;=90,"61-90","&gt;90"))))))</f>
        <v/>
      </c>
      <c r="M185" s="37" t="str">
        <f aca="false">IF($A185="","",IF($I185&lt;=0,"Đã thanh toán đủ",IF($K185&gt;0,"QUÁ HẠN","Còn nợ, trong hạn")))</f>
        <v/>
      </c>
    </row>
    <row r="186" customFormat="false" ht="15" hidden="false" customHeight="false" outlineLevel="0" collapsed="false">
      <c r="A186" s="37" t="str">
        <f aca="false">IF(PO!$A186="","",PO!$A186)</f>
        <v/>
      </c>
      <c r="B186" s="37" t="str">
        <f aca="false">IF($A186="","",PO!$D186)</f>
        <v/>
      </c>
      <c r="C186" s="37" t="str">
        <f aca="false">IF($A186="","",PO!$E186)</f>
        <v/>
      </c>
      <c r="D186" s="37" t="str">
        <f aca="false">IF($A186="","",PO!$H186)</f>
        <v/>
      </c>
      <c r="E186" s="37" t="str">
        <f aca="false">IF($A186="","",PO!$I186)</f>
        <v/>
      </c>
      <c r="F186" s="41" t="str">
        <f aca="false">IF($A186="","",IF(PO!$R186="","",PO!$R186))</f>
        <v/>
      </c>
      <c r="G186" s="38" t="str">
        <f aca="false">IF($A186="","",PO!$L186)</f>
        <v/>
      </c>
      <c r="H186" s="38" t="str">
        <f aca="false">IF($A186="","",SUMIFS('Thanh toán'!$H$4:$H$203,'Thanh toán'!$C$4:$C$203,$A186))</f>
        <v/>
      </c>
      <c r="I186" s="38" t="str">
        <f aca="false">IF($A186="","",IFERROR($G186-$H186,""))</f>
        <v/>
      </c>
      <c r="J186" s="41" t="str">
        <f aca="false">IF($A186="","",IF(PO!$AA186="","",PO!$AA186))</f>
        <v/>
      </c>
      <c r="K186" s="38" t="str">
        <f aca="true">IF($A186="","",IF($I186&lt;=0,0,IF($J186="",0,MAX(0,TODAY()-$J186))))</f>
        <v/>
      </c>
      <c r="L186" s="37" t="str">
        <f aca="false">IF($A186="","",IF($I186&lt;=0,"Đã thanh toán",IF($K186=0,"Trong hạn",IF($K186&lt;=30,"1-30",IF($K186&lt;=60,"31-60",IF($K186&lt;=90,"61-90","&gt;90"))))))</f>
        <v/>
      </c>
      <c r="M186" s="37" t="str">
        <f aca="false">IF($A186="","",IF($I186&lt;=0,"Đã thanh toán đủ",IF($K186&gt;0,"QUÁ HẠN","Còn nợ, trong hạn")))</f>
        <v/>
      </c>
    </row>
    <row r="187" customFormat="false" ht="15" hidden="false" customHeight="false" outlineLevel="0" collapsed="false">
      <c r="A187" s="37" t="str">
        <f aca="false">IF(PO!$A187="","",PO!$A187)</f>
        <v/>
      </c>
      <c r="B187" s="37" t="str">
        <f aca="false">IF($A187="","",PO!$D187)</f>
        <v/>
      </c>
      <c r="C187" s="37" t="str">
        <f aca="false">IF($A187="","",PO!$E187)</f>
        <v/>
      </c>
      <c r="D187" s="37" t="str">
        <f aca="false">IF($A187="","",PO!$H187)</f>
        <v/>
      </c>
      <c r="E187" s="37" t="str">
        <f aca="false">IF($A187="","",PO!$I187)</f>
        <v/>
      </c>
      <c r="F187" s="41" t="str">
        <f aca="false">IF($A187="","",IF(PO!$R187="","",PO!$R187))</f>
        <v/>
      </c>
      <c r="G187" s="38" t="str">
        <f aca="false">IF($A187="","",PO!$L187)</f>
        <v/>
      </c>
      <c r="H187" s="38" t="str">
        <f aca="false">IF($A187="","",SUMIFS('Thanh toán'!$H$4:$H$203,'Thanh toán'!$C$4:$C$203,$A187))</f>
        <v/>
      </c>
      <c r="I187" s="38" t="str">
        <f aca="false">IF($A187="","",IFERROR($G187-$H187,""))</f>
        <v/>
      </c>
      <c r="J187" s="41" t="str">
        <f aca="false">IF($A187="","",IF(PO!$AA187="","",PO!$AA187))</f>
        <v/>
      </c>
      <c r="K187" s="38" t="str">
        <f aca="true">IF($A187="","",IF($I187&lt;=0,0,IF($J187="",0,MAX(0,TODAY()-$J187))))</f>
        <v/>
      </c>
      <c r="L187" s="37" t="str">
        <f aca="false">IF($A187="","",IF($I187&lt;=0,"Đã thanh toán",IF($K187=0,"Trong hạn",IF($K187&lt;=30,"1-30",IF($K187&lt;=60,"31-60",IF($K187&lt;=90,"61-90","&gt;90"))))))</f>
        <v/>
      </c>
      <c r="M187" s="37" t="str">
        <f aca="false">IF($A187="","",IF($I187&lt;=0,"Đã thanh toán đủ",IF($K187&gt;0,"QUÁ HẠN","Còn nợ, trong hạn")))</f>
        <v/>
      </c>
    </row>
    <row r="188" customFormat="false" ht="15" hidden="false" customHeight="false" outlineLevel="0" collapsed="false">
      <c r="A188" s="37" t="str">
        <f aca="false">IF(PO!$A188="","",PO!$A188)</f>
        <v/>
      </c>
      <c r="B188" s="37" t="str">
        <f aca="false">IF($A188="","",PO!$D188)</f>
        <v/>
      </c>
      <c r="C188" s="37" t="str">
        <f aca="false">IF($A188="","",PO!$E188)</f>
        <v/>
      </c>
      <c r="D188" s="37" t="str">
        <f aca="false">IF($A188="","",PO!$H188)</f>
        <v/>
      </c>
      <c r="E188" s="37" t="str">
        <f aca="false">IF($A188="","",PO!$I188)</f>
        <v/>
      </c>
      <c r="F188" s="41" t="str">
        <f aca="false">IF($A188="","",IF(PO!$R188="","",PO!$R188))</f>
        <v/>
      </c>
      <c r="G188" s="38" t="str">
        <f aca="false">IF($A188="","",PO!$L188)</f>
        <v/>
      </c>
      <c r="H188" s="38" t="str">
        <f aca="false">IF($A188="","",SUMIFS('Thanh toán'!$H$4:$H$203,'Thanh toán'!$C$4:$C$203,$A188))</f>
        <v/>
      </c>
      <c r="I188" s="38" t="str">
        <f aca="false">IF($A188="","",IFERROR($G188-$H188,""))</f>
        <v/>
      </c>
      <c r="J188" s="41" t="str">
        <f aca="false">IF($A188="","",IF(PO!$AA188="","",PO!$AA188))</f>
        <v/>
      </c>
      <c r="K188" s="38" t="str">
        <f aca="true">IF($A188="","",IF($I188&lt;=0,0,IF($J188="",0,MAX(0,TODAY()-$J188))))</f>
        <v/>
      </c>
      <c r="L188" s="37" t="str">
        <f aca="false">IF($A188="","",IF($I188&lt;=0,"Đã thanh toán",IF($K188=0,"Trong hạn",IF($K188&lt;=30,"1-30",IF($K188&lt;=60,"31-60",IF($K188&lt;=90,"61-90","&gt;90"))))))</f>
        <v/>
      </c>
      <c r="M188" s="37" t="str">
        <f aca="false">IF($A188="","",IF($I188&lt;=0,"Đã thanh toán đủ",IF($K188&gt;0,"QUÁ HẠN","Còn nợ, trong hạn")))</f>
        <v/>
      </c>
    </row>
    <row r="189" customFormat="false" ht="15" hidden="false" customHeight="false" outlineLevel="0" collapsed="false">
      <c r="A189" s="37" t="str">
        <f aca="false">IF(PO!$A189="","",PO!$A189)</f>
        <v/>
      </c>
      <c r="B189" s="37" t="str">
        <f aca="false">IF($A189="","",PO!$D189)</f>
        <v/>
      </c>
      <c r="C189" s="37" t="str">
        <f aca="false">IF($A189="","",PO!$E189)</f>
        <v/>
      </c>
      <c r="D189" s="37" t="str">
        <f aca="false">IF($A189="","",PO!$H189)</f>
        <v/>
      </c>
      <c r="E189" s="37" t="str">
        <f aca="false">IF($A189="","",PO!$I189)</f>
        <v/>
      </c>
      <c r="F189" s="41" t="str">
        <f aca="false">IF($A189="","",IF(PO!$R189="","",PO!$R189))</f>
        <v/>
      </c>
      <c r="G189" s="38" t="str">
        <f aca="false">IF($A189="","",PO!$L189)</f>
        <v/>
      </c>
      <c r="H189" s="38" t="str">
        <f aca="false">IF($A189="","",SUMIFS('Thanh toán'!$H$4:$H$203,'Thanh toán'!$C$4:$C$203,$A189))</f>
        <v/>
      </c>
      <c r="I189" s="38" t="str">
        <f aca="false">IF($A189="","",IFERROR($G189-$H189,""))</f>
        <v/>
      </c>
      <c r="J189" s="41" t="str">
        <f aca="false">IF($A189="","",IF(PO!$AA189="","",PO!$AA189))</f>
        <v/>
      </c>
      <c r="K189" s="38" t="str">
        <f aca="true">IF($A189="","",IF($I189&lt;=0,0,IF($J189="",0,MAX(0,TODAY()-$J189))))</f>
        <v/>
      </c>
      <c r="L189" s="37" t="str">
        <f aca="false">IF($A189="","",IF($I189&lt;=0,"Đã thanh toán",IF($K189=0,"Trong hạn",IF($K189&lt;=30,"1-30",IF($K189&lt;=60,"31-60",IF($K189&lt;=90,"61-90","&gt;90"))))))</f>
        <v/>
      </c>
      <c r="M189" s="37" t="str">
        <f aca="false">IF($A189="","",IF($I189&lt;=0,"Đã thanh toán đủ",IF($K189&gt;0,"QUÁ HẠN","Còn nợ, trong hạn")))</f>
        <v/>
      </c>
    </row>
    <row r="190" customFormat="false" ht="15" hidden="false" customHeight="false" outlineLevel="0" collapsed="false">
      <c r="A190" s="37" t="str">
        <f aca="false">IF(PO!$A190="","",PO!$A190)</f>
        <v/>
      </c>
      <c r="B190" s="37" t="str">
        <f aca="false">IF($A190="","",PO!$D190)</f>
        <v/>
      </c>
      <c r="C190" s="37" t="str">
        <f aca="false">IF($A190="","",PO!$E190)</f>
        <v/>
      </c>
      <c r="D190" s="37" t="str">
        <f aca="false">IF($A190="","",PO!$H190)</f>
        <v/>
      </c>
      <c r="E190" s="37" t="str">
        <f aca="false">IF($A190="","",PO!$I190)</f>
        <v/>
      </c>
      <c r="F190" s="41" t="str">
        <f aca="false">IF($A190="","",IF(PO!$R190="","",PO!$R190))</f>
        <v/>
      </c>
      <c r="G190" s="38" t="str">
        <f aca="false">IF($A190="","",PO!$L190)</f>
        <v/>
      </c>
      <c r="H190" s="38" t="str">
        <f aca="false">IF($A190="","",SUMIFS('Thanh toán'!$H$4:$H$203,'Thanh toán'!$C$4:$C$203,$A190))</f>
        <v/>
      </c>
      <c r="I190" s="38" t="str">
        <f aca="false">IF($A190="","",IFERROR($G190-$H190,""))</f>
        <v/>
      </c>
      <c r="J190" s="41" t="str">
        <f aca="false">IF($A190="","",IF(PO!$AA190="","",PO!$AA190))</f>
        <v/>
      </c>
      <c r="K190" s="38" t="str">
        <f aca="true">IF($A190="","",IF($I190&lt;=0,0,IF($J190="",0,MAX(0,TODAY()-$J190))))</f>
        <v/>
      </c>
      <c r="L190" s="37" t="str">
        <f aca="false">IF($A190="","",IF($I190&lt;=0,"Đã thanh toán",IF($K190=0,"Trong hạn",IF($K190&lt;=30,"1-30",IF($K190&lt;=60,"31-60",IF($K190&lt;=90,"61-90","&gt;90"))))))</f>
        <v/>
      </c>
      <c r="M190" s="37" t="str">
        <f aca="false">IF($A190="","",IF($I190&lt;=0,"Đã thanh toán đủ",IF($K190&gt;0,"QUÁ HẠN","Còn nợ, trong hạn")))</f>
        <v/>
      </c>
    </row>
    <row r="191" customFormat="false" ht="15" hidden="false" customHeight="false" outlineLevel="0" collapsed="false">
      <c r="A191" s="37" t="str">
        <f aca="false">IF(PO!$A191="","",PO!$A191)</f>
        <v/>
      </c>
      <c r="B191" s="37" t="str">
        <f aca="false">IF($A191="","",PO!$D191)</f>
        <v/>
      </c>
      <c r="C191" s="37" t="str">
        <f aca="false">IF($A191="","",PO!$E191)</f>
        <v/>
      </c>
      <c r="D191" s="37" t="str">
        <f aca="false">IF($A191="","",PO!$H191)</f>
        <v/>
      </c>
      <c r="E191" s="37" t="str">
        <f aca="false">IF($A191="","",PO!$I191)</f>
        <v/>
      </c>
      <c r="F191" s="41" t="str">
        <f aca="false">IF($A191="","",IF(PO!$R191="","",PO!$R191))</f>
        <v/>
      </c>
      <c r="G191" s="38" t="str">
        <f aca="false">IF($A191="","",PO!$L191)</f>
        <v/>
      </c>
      <c r="H191" s="38" t="str">
        <f aca="false">IF($A191="","",SUMIFS('Thanh toán'!$H$4:$H$203,'Thanh toán'!$C$4:$C$203,$A191))</f>
        <v/>
      </c>
      <c r="I191" s="38" t="str">
        <f aca="false">IF($A191="","",IFERROR($G191-$H191,""))</f>
        <v/>
      </c>
      <c r="J191" s="41" t="str">
        <f aca="false">IF($A191="","",IF(PO!$AA191="","",PO!$AA191))</f>
        <v/>
      </c>
      <c r="K191" s="38" t="str">
        <f aca="true">IF($A191="","",IF($I191&lt;=0,0,IF($J191="",0,MAX(0,TODAY()-$J191))))</f>
        <v/>
      </c>
      <c r="L191" s="37" t="str">
        <f aca="false">IF($A191="","",IF($I191&lt;=0,"Đã thanh toán",IF($K191=0,"Trong hạn",IF($K191&lt;=30,"1-30",IF($K191&lt;=60,"31-60",IF($K191&lt;=90,"61-90","&gt;90"))))))</f>
        <v/>
      </c>
      <c r="M191" s="37" t="str">
        <f aca="false">IF($A191="","",IF($I191&lt;=0,"Đã thanh toán đủ",IF($K191&gt;0,"QUÁ HẠN","Còn nợ, trong hạn")))</f>
        <v/>
      </c>
    </row>
    <row r="192" customFormat="false" ht="15" hidden="false" customHeight="false" outlineLevel="0" collapsed="false">
      <c r="A192" s="37" t="str">
        <f aca="false">IF(PO!$A192="","",PO!$A192)</f>
        <v/>
      </c>
      <c r="B192" s="37" t="str">
        <f aca="false">IF($A192="","",PO!$D192)</f>
        <v/>
      </c>
      <c r="C192" s="37" t="str">
        <f aca="false">IF($A192="","",PO!$E192)</f>
        <v/>
      </c>
      <c r="D192" s="37" t="str">
        <f aca="false">IF($A192="","",PO!$H192)</f>
        <v/>
      </c>
      <c r="E192" s="37" t="str">
        <f aca="false">IF($A192="","",PO!$I192)</f>
        <v/>
      </c>
      <c r="F192" s="41" t="str">
        <f aca="false">IF($A192="","",IF(PO!$R192="","",PO!$R192))</f>
        <v/>
      </c>
      <c r="G192" s="38" t="str">
        <f aca="false">IF($A192="","",PO!$L192)</f>
        <v/>
      </c>
      <c r="H192" s="38" t="str">
        <f aca="false">IF($A192="","",SUMIFS('Thanh toán'!$H$4:$H$203,'Thanh toán'!$C$4:$C$203,$A192))</f>
        <v/>
      </c>
      <c r="I192" s="38" t="str">
        <f aca="false">IF($A192="","",IFERROR($G192-$H192,""))</f>
        <v/>
      </c>
      <c r="J192" s="41" t="str">
        <f aca="false">IF($A192="","",IF(PO!$AA192="","",PO!$AA192))</f>
        <v/>
      </c>
      <c r="K192" s="38" t="str">
        <f aca="true">IF($A192="","",IF($I192&lt;=0,0,IF($J192="",0,MAX(0,TODAY()-$J192))))</f>
        <v/>
      </c>
      <c r="L192" s="37" t="str">
        <f aca="false">IF($A192="","",IF($I192&lt;=0,"Đã thanh toán",IF($K192=0,"Trong hạn",IF($K192&lt;=30,"1-30",IF($K192&lt;=60,"31-60",IF($K192&lt;=90,"61-90","&gt;90"))))))</f>
        <v/>
      </c>
      <c r="M192" s="37" t="str">
        <f aca="false">IF($A192="","",IF($I192&lt;=0,"Đã thanh toán đủ",IF($K192&gt;0,"QUÁ HẠN","Còn nợ, trong hạn")))</f>
        <v/>
      </c>
    </row>
    <row r="193" customFormat="false" ht="15" hidden="false" customHeight="false" outlineLevel="0" collapsed="false">
      <c r="A193" s="37" t="str">
        <f aca="false">IF(PO!$A193="","",PO!$A193)</f>
        <v/>
      </c>
      <c r="B193" s="37" t="str">
        <f aca="false">IF($A193="","",PO!$D193)</f>
        <v/>
      </c>
      <c r="C193" s="37" t="str">
        <f aca="false">IF($A193="","",PO!$E193)</f>
        <v/>
      </c>
      <c r="D193" s="37" t="str">
        <f aca="false">IF($A193="","",PO!$H193)</f>
        <v/>
      </c>
      <c r="E193" s="37" t="str">
        <f aca="false">IF($A193="","",PO!$I193)</f>
        <v/>
      </c>
      <c r="F193" s="41" t="str">
        <f aca="false">IF($A193="","",IF(PO!$R193="","",PO!$R193))</f>
        <v/>
      </c>
      <c r="G193" s="38" t="str">
        <f aca="false">IF($A193="","",PO!$L193)</f>
        <v/>
      </c>
      <c r="H193" s="38" t="str">
        <f aca="false">IF($A193="","",SUMIFS('Thanh toán'!$H$4:$H$203,'Thanh toán'!$C$4:$C$203,$A193))</f>
        <v/>
      </c>
      <c r="I193" s="38" t="str">
        <f aca="false">IF($A193="","",IFERROR($G193-$H193,""))</f>
        <v/>
      </c>
      <c r="J193" s="41" t="str">
        <f aca="false">IF($A193="","",IF(PO!$AA193="","",PO!$AA193))</f>
        <v/>
      </c>
      <c r="K193" s="38" t="str">
        <f aca="true">IF($A193="","",IF($I193&lt;=0,0,IF($J193="",0,MAX(0,TODAY()-$J193))))</f>
        <v/>
      </c>
      <c r="L193" s="37" t="str">
        <f aca="false">IF($A193="","",IF($I193&lt;=0,"Đã thanh toán",IF($K193=0,"Trong hạn",IF($K193&lt;=30,"1-30",IF($K193&lt;=60,"31-60",IF($K193&lt;=90,"61-90","&gt;90"))))))</f>
        <v/>
      </c>
      <c r="M193" s="37" t="str">
        <f aca="false">IF($A193="","",IF($I193&lt;=0,"Đã thanh toán đủ",IF($K193&gt;0,"QUÁ HẠN","Còn nợ, trong hạn")))</f>
        <v/>
      </c>
    </row>
    <row r="194" customFormat="false" ht="15" hidden="false" customHeight="false" outlineLevel="0" collapsed="false">
      <c r="A194" s="37" t="str">
        <f aca="false">IF(PO!$A194="","",PO!$A194)</f>
        <v/>
      </c>
      <c r="B194" s="37" t="str">
        <f aca="false">IF($A194="","",PO!$D194)</f>
        <v/>
      </c>
      <c r="C194" s="37" t="str">
        <f aca="false">IF($A194="","",PO!$E194)</f>
        <v/>
      </c>
      <c r="D194" s="37" t="str">
        <f aca="false">IF($A194="","",PO!$H194)</f>
        <v/>
      </c>
      <c r="E194" s="37" t="str">
        <f aca="false">IF($A194="","",PO!$I194)</f>
        <v/>
      </c>
      <c r="F194" s="41" t="str">
        <f aca="false">IF($A194="","",IF(PO!$R194="","",PO!$R194))</f>
        <v/>
      </c>
      <c r="G194" s="38" t="str">
        <f aca="false">IF($A194="","",PO!$L194)</f>
        <v/>
      </c>
      <c r="H194" s="38" t="str">
        <f aca="false">IF($A194="","",SUMIFS('Thanh toán'!$H$4:$H$203,'Thanh toán'!$C$4:$C$203,$A194))</f>
        <v/>
      </c>
      <c r="I194" s="38" t="str">
        <f aca="false">IF($A194="","",IFERROR($G194-$H194,""))</f>
        <v/>
      </c>
      <c r="J194" s="41" t="str">
        <f aca="false">IF($A194="","",IF(PO!$AA194="","",PO!$AA194))</f>
        <v/>
      </c>
      <c r="K194" s="38" t="str">
        <f aca="true">IF($A194="","",IF($I194&lt;=0,0,IF($J194="",0,MAX(0,TODAY()-$J194))))</f>
        <v/>
      </c>
      <c r="L194" s="37" t="str">
        <f aca="false">IF($A194="","",IF($I194&lt;=0,"Đã thanh toán",IF($K194=0,"Trong hạn",IF($K194&lt;=30,"1-30",IF($K194&lt;=60,"31-60",IF($K194&lt;=90,"61-90","&gt;90"))))))</f>
        <v/>
      </c>
      <c r="M194" s="37" t="str">
        <f aca="false">IF($A194="","",IF($I194&lt;=0,"Đã thanh toán đủ",IF($K194&gt;0,"QUÁ HẠN","Còn nợ, trong hạn")))</f>
        <v/>
      </c>
    </row>
    <row r="195" customFormat="false" ht="15" hidden="false" customHeight="false" outlineLevel="0" collapsed="false">
      <c r="A195" s="37" t="str">
        <f aca="false">IF(PO!$A195="","",PO!$A195)</f>
        <v/>
      </c>
      <c r="B195" s="37" t="str">
        <f aca="false">IF($A195="","",PO!$D195)</f>
        <v/>
      </c>
      <c r="C195" s="37" t="str">
        <f aca="false">IF($A195="","",PO!$E195)</f>
        <v/>
      </c>
      <c r="D195" s="37" t="str">
        <f aca="false">IF($A195="","",PO!$H195)</f>
        <v/>
      </c>
      <c r="E195" s="37" t="str">
        <f aca="false">IF($A195="","",PO!$I195)</f>
        <v/>
      </c>
      <c r="F195" s="41" t="str">
        <f aca="false">IF($A195="","",IF(PO!$R195="","",PO!$R195))</f>
        <v/>
      </c>
      <c r="G195" s="38" t="str">
        <f aca="false">IF($A195="","",PO!$L195)</f>
        <v/>
      </c>
      <c r="H195" s="38" t="str">
        <f aca="false">IF($A195="","",SUMIFS('Thanh toán'!$H$4:$H$203,'Thanh toán'!$C$4:$C$203,$A195))</f>
        <v/>
      </c>
      <c r="I195" s="38" t="str">
        <f aca="false">IF($A195="","",IFERROR($G195-$H195,""))</f>
        <v/>
      </c>
      <c r="J195" s="41" t="str">
        <f aca="false">IF($A195="","",IF(PO!$AA195="","",PO!$AA195))</f>
        <v/>
      </c>
      <c r="K195" s="38" t="str">
        <f aca="true">IF($A195="","",IF($I195&lt;=0,0,IF($J195="",0,MAX(0,TODAY()-$J195))))</f>
        <v/>
      </c>
      <c r="L195" s="37" t="str">
        <f aca="false">IF($A195="","",IF($I195&lt;=0,"Đã thanh toán",IF($K195=0,"Trong hạn",IF($K195&lt;=30,"1-30",IF($K195&lt;=60,"31-60",IF($K195&lt;=90,"61-90","&gt;90"))))))</f>
        <v/>
      </c>
      <c r="M195" s="37" t="str">
        <f aca="false">IF($A195="","",IF($I195&lt;=0,"Đã thanh toán đủ",IF($K195&gt;0,"QUÁ HẠN","Còn nợ, trong hạn")))</f>
        <v/>
      </c>
    </row>
    <row r="196" customFormat="false" ht="15" hidden="false" customHeight="false" outlineLevel="0" collapsed="false">
      <c r="A196" s="37" t="str">
        <f aca="false">IF(PO!$A196="","",PO!$A196)</f>
        <v/>
      </c>
      <c r="B196" s="37" t="str">
        <f aca="false">IF($A196="","",PO!$D196)</f>
        <v/>
      </c>
      <c r="C196" s="37" t="str">
        <f aca="false">IF($A196="","",PO!$E196)</f>
        <v/>
      </c>
      <c r="D196" s="37" t="str">
        <f aca="false">IF($A196="","",PO!$H196)</f>
        <v/>
      </c>
      <c r="E196" s="37" t="str">
        <f aca="false">IF($A196="","",PO!$I196)</f>
        <v/>
      </c>
      <c r="F196" s="41" t="str">
        <f aca="false">IF($A196="","",IF(PO!$R196="","",PO!$R196))</f>
        <v/>
      </c>
      <c r="G196" s="38" t="str">
        <f aca="false">IF($A196="","",PO!$L196)</f>
        <v/>
      </c>
      <c r="H196" s="38" t="str">
        <f aca="false">IF($A196="","",SUMIFS('Thanh toán'!$H$4:$H$203,'Thanh toán'!$C$4:$C$203,$A196))</f>
        <v/>
      </c>
      <c r="I196" s="38" t="str">
        <f aca="false">IF($A196="","",IFERROR($G196-$H196,""))</f>
        <v/>
      </c>
      <c r="J196" s="41" t="str">
        <f aca="false">IF($A196="","",IF(PO!$AA196="","",PO!$AA196))</f>
        <v/>
      </c>
      <c r="K196" s="38" t="str">
        <f aca="true">IF($A196="","",IF($I196&lt;=0,0,IF($J196="",0,MAX(0,TODAY()-$J196))))</f>
        <v/>
      </c>
      <c r="L196" s="37" t="str">
        <f aca="false">IF($A196="","",IF($I196&lt;=0,"Đã thanh toán",IF($K196=0,"Trong hạn",IF($K196&lt;=30,"1-30",IF($K196&lt;=60,"31-60",IF($K196&lt;=90,"61-90","&gt;90"))))))</f>
        <v/>
      </c>
      <c r="M196" s="37" t="str">
        <f aca="false">IF($A196="","",IF($I196&lt;=0,"Đã thanh toán đủ",IF($K196&gt;0,"QUÁ HẠN","Còn nợ, trong hạn")))</f>
        <v/>
      </c>
    </row>
    <row r="197" customFormat="false" ht="15" hidden="false" customHeight="false" outlineLevel="0" collapsed="false">
      <c r="A197" s="37" t="str">
        <f aca="false">IF(PO!$A197="","",PO!$A197)</f>
        <v/>
      </c>
      <c r="B197" s="37" t="str">
        <f aca="false">IF($A197="","",PO!$D197)</f>
        <v/>
      </c>
      <c r="C197" s="37" t="str">
        <f aca="false">IF($A197="","",PO!$E197)</f>
        <v/>
      </c>
      <c r="D197" s="37" t="str">
        <f aca="false">IF($A197="","",PO!$H197)</f>
        <v/>
      </c>
      <c r="E197" s="37" t="str">
        <f aca="false">IF($A197="","",PO!$I197)</f>
        <v/>
      </c>
      <c r="F197" s="41" t="str">
        <f aca="false">IF($A197="","",IF(PO!$R197="","",PO!$R197))</f>
        <v/>
      </c>
      <c r="G197" s="38" t="str">
        <f aca="false">IF($A197="","",PO!$L197)</f>
        <v/>
      </c>
      <c r="H197" s="38" t="str">
        <f aca="false">IF($A197="","",SUMIFS('Thanh toán'!$H$4:$H$203,'Thanh toán'!$C$4:$C$203,$A197))</f>
        <v/>
      </c>
      <c r="I197" s="38" t="str">
        <f aca="false">IF($A197="","",IFERROR($G197-$H197,""))</f>
        <v/>
      </c>
      <c r="J197" s="41" t="str">
        <f aca="false">IF($A197="","",IF(PO!$AA197="","",PO!$AA197))</f>
        <v/>
      </c>
      <c r="K197" s="38" t="str">
        <f aca="true">IF($A197="","",IF($I197&lt;=0,0,IF($J197="",0,MAX(0,TODAY()-$J197))))</f>
        <v/>
      </c>
      <c r="L197" s="37" t="str">
        <f aca="false">IF($A197="","",IF($I197&lt;=0,"Đã thanh toán",IF($K197=0,"Trong hạn",IF($K197&lt;=30,"1-30",IF($K197&lt;=60,"31-60",IF($K197&lt;=90,"61-90","&gt;90"))))))</f>
        <v/>
      </c>
      <c r="M197" s="37" t="str">
        <f aca="false">IF($A197="","",IF($I197&lt;=0,"Đã thanh toán đủ",IF($K197&gt;0,"QUÁ HẠN","Còn nợ, trong hạn")))</f>
        <v/>
      </c>
    </row>
    <row r="198" customFormat="false" ht="15" hidden="false" customHeight="false" outlineLevel="0" collapsed="false">
      <c r="A198" s="37" t="str">
        <f aca="false">IF(PO!$A198="","",PO!$A198)</f>
        <v/>
      </c>
      <c r="B198" s="37" t="str">
        <f aca="false">IF($A198="","",PO!$D198)</f>
        <v/>
      </c>
      <c r="C198" s="37" t="str">
        <f aca="false">IF($A198="","",PO!$E198)</f>
        <v/>
      </c>
      <c r="D198" s="37" t="str">
        <f aca="false">IF($A198="","",PO!$H198)</f>
        <v/>
      </c>
      <c r="E198" s="37" t="str">
        <f aca="false">IF($A198="","",PO!$I198)</f>
        <v/>
      </c>
      <c r="F198" s="41" t="str">
        <f aca="false">IF($A198="","",IF(PO!$R198="","",PO!$R198))</f>
        <v/>
      </c>
      <c r="G198" s="38" t="str">
        <f aca="false">IF($A198="","",PO!$L198)</f>
        <v/>
      </c>
      <c r="H198" s="38" t="str">
        <f aca="false">IF($A198="","",SUMIFS('Thanh toán'!$H$4:$H$203,'Thanh toán'!$C$4:$C$203,$A198))</f>
        <v/>
      </c>
      <c r="I198" s="38" t="str">
        <f aca="false">IF($A198="","",IFERROR($G198-$H198,""))</f>
        <v/>
      </c>
      <c r="J198" s="41" t="str">
        <f aca="false">IF($A198="","",IF(PO!$AA198="","",PO!$AA198))</f>
        <v/>
      </c>
      <c r="K198" s="38" t="str">
        <f aca="true">IF($A198="","",IF($I198&lt;=0,0,IF($J198="",0,MAX(0,TODAY()-$J198))))</f>
        <v/>
      </c>
      <c r="L198" s="37" t="str">
        <f aca="false">IF($A198="","",IF($I198&lt;=0,"Đã thanh toán",IF($K198=0,"Trong hạn",IF($K198&lt;=30,"1-30",IF($K198&lt;=60,"31-60",IF($K198&lt;=90,"61-90","&gt;90"))))))</f>
        <v/>
      </c>
      <c r="M198" s="37" t="str">
        <f aca="false">IF($A198="","",IF($I198&lt;=0,"Đã thanh toán đủ",IF($K198&gt;0,"QUÁ HẠN","Còn nợ, trong hạn")))</f>
        <v/>
      </c>
    </row>
    <row r="199" customFormat="false" ht="15" hidden="false" customHeight="false" outlineLevel="0" collapsed="false">
      <c r="A199" s="37" t="str">
        <f aca="false">IF(PO!$A199="","",PO!$A199)</f>
        <v/>
      </c>
      <c r="B199" s="37" t="str">
        <f aca="false">IF($A199="","",PO!$D199)</f>
        <v/>
      </c>
      <c r="C199" s="37" t="str">
        <f aca="false">IF($A199="","",PO!$E199)</f>
        <v/>
      </c>
      <c r="D199" s="37" t="str">
        <f aca="false">IF($A199="","",PO!$H199)</f>
        <v/>
      </c>
      <c r="E199" s="37" t="str">
        <f aca="false">IF($A199="","",PO!$I199)</f>
        <v/>
      </c>
      <c r="F199" s="41" t="str">
        <f aca="false">IF($A199="","",IF(PO!$R199="","",PO!$R199))</f>
        <v/>
      </c>
      <c r="G199" s="38" t="str">
        <f aca="false">IF($A199="","",PO!$L199)</f>
        <v/>
      </c>
      <c r="H199" s="38" t="str">
        <f aca="false">IF($A199="","",SUMIFS('Thanh toán'!$H$4:$H$203,'Thanh toán'!$C$4:$C$203,$A199))</f>
        <v/>
      </c>
      <c r="I199" s="38" t="str">
        <f aca="false">IF($A199="","",IFERROR($G199-$H199,""))</f>
        <v/>
      </c>
      <c r="J199" s="41" t="str">
        <f aca="false">IF($A199="","",IF(PO!$AA199="","",PO!$AA199))</f>
        <v/>
      </c>
      <c r="K199" s="38" t="str">
        <f aca="true">IF($A199="","",IF($I199&lt;=0,0,IF($J199="",0,MAX(0,TODAY()-$J199))))</f>
        <v/>
      </c>
      <c r="L199" s="37" t="str">
        <f aca="false">IF($A199="","",IF($I199&lt;=0,"Đã thanh toán",IF($K199=0,"Trong hạn",IF($K199&lt;=30,"1-30",IF($K199&lt;=60,"31-60",IF($K199&lt;=90,"61-90","&gt;90"))))))</f>
        <v/>
      </c>
      <c r="M199" s="37" t="str">
        <f aca="false">IF($A199="","",IF($I199&lt;=0,"Đã thanh toán đủ",IF($K199&gt;0,"QUÁ HẠN","Còn nợ, trong hạn")))</f>
        <v/>
      </c>
    </row>
    <row r="200" customFormat="false" ht="15" hidden="false" customHeight="false" outlineLevel="0" collapsed="false">
      <c r="A200" s="37" t="str">
        <f aca="false">IF(PO!$A200="","",PO!$A200)</f>
        <v/>
      </c>
      <c r="B200" s="37" t="str">
        <f aca="false">IF($A200="","",PO!$D200)</f>
        <v/>
      </c>
      <c r="C200" s="37" t="str">
        <f aca="false">IF($A200="","",PO!$E200)</f>
        <v/>
      </c>
      <c r="D200" s="37" t="str">
        <f aca="false">IF($A200="","",PO!$H200)</f>
        <v/>
      </c>
      <c r="E200" s="37" t="str">
        <f aca="false">IF($A200="","",PO!$I200)</f>
        <v/>
      </c>
      <c r="F200" s="41" t="str">
        <f aca="false">IF($A200="","",IF(PO!$R200="","",PO!$R200))</f>
        <v/>
      </c>
      <c r="G200" s="38" t="str">
        <f aca="false">IF($A200="","",PO!$L200)</f>
        <v/>
      </c>
      <c r="H200" s="38" t="str">
        <f aca="false">IF($A200="","",SUMIFS('Thanh toán'!$H$4:$H$203,'Thanh toán'!$C$4:$C$203,$A200))</f>
        <v/>
      </c>
      <c r="I200" s="38" t="str">
        <f aca="false">IF($A200="","",IFERROR($G200-$H200,""))</f>
        <v/>
      </c>
      <c r="J200" s="41" t="str">
        <f aca="false">IF($A200="","",IF(PO!$AA200="","",PO!$AA200))</f>
        <v/>
      </c>
      <c r="K200" s="38" t="str">
        <f aca="true">IF($A200="","",IF($I200&lt;=0,0,IF($J200="",0,MAX(0,TODAY()-$J200))))</f>
        <v/>
      </c>
      <c r="L200" s="37" t="str">
        <f aca="false">IF($A200="","",IF($I200&lt;=0,"Đã thanh toán",IF($K200=0,"Trong hạn",IF($K200&lt;=30,"1-30",IF($K200&lt;=60,"31-60",IF($K200&lt;=90,"61-90","&gt;90"))))))</f>
        <v/>
      </c>
      <c r="M200" s="37" t="str">
        <f aca="false">IF($A200="","",IF($I200&lt;=0,"Đã thanh toán đủ",IF($K200&gt;0,"QUÁ HẠN","Còn nợ, trong hạn")))</f>
        <v/>
      </c>
    </row>
    <row r="201" customFormat="false" ht="15" hidden="false" customHeight="false" outlineLevel="0" collapsed="false">
      <c r="A201" s="37" t="str">
        <f aca="false">IF(PO!$A201="","",PO!$A201)</f>
        <v/>
      </c>
      <c r="B201" s="37" t="str">
        <f aca="false">IF($A201="","",PO!$D201)</f>
        <v/>
      </c>
      <c r="C201" s="37" t="str">
        <f aca="false">IF($A201="","",PO!$E201)</f>
        <v/>
      </c>
      <c r="D201" s="37" t="str">
        <f aca="false">IF($A201="","",PO!$H201)</f>
        <v/>
      </c>
      <c r="E201" s="37" t="str">
        <f aca="false">IF($A201="","",PO!$I201)</f>
        <v/>
      </c>
      <c r="F201" s="41" t="str">
        <f aca="false">IF($A201="","",IF(PO!$R201="","",PO!$R201))</f>
        <v/>
      </c>
      <c r="G201" s="38" t="str">
        <f aca="false">IF($A201="","",PO!$L201)</f>
        <v/>
      </c>
      <c r="H201" s="38" t="str">
        <f aca="false">IF($A201="","",SUMIFS('Thanh toán'!$H$4:$H$203,'Thanh toán'!$C$4:$C$203,$A201))</f>
        <v/>
      </c>
      <c r="I201" s="38" t="str">
        <f aca="false">IF($A201="","",IFERROR($G201-$H201,""))</f>
        <v/>
      </c>
      <c r="J201" s="41" t="str">
        <f aca="false">IF($A201="","",IF(PO!$AA201="","",PO!$AA201))</f>
        <v/>
      </c>
      <c r="K201" s="38" t="str">
        <f aca="true">IF($A201="","",IF($I201&lt;=0,0,IF($J201="",0,MAX(0,TODAY()-$J201))))</f>
        <v/>
      </c>
      <c r="L201" s="37" t="str">
        <f aca="false">IF($A201="","",IF($I201&lt;=0,"Đã thanh toán",IF($K201=0,"Trong hạn",IF($K201&lt;=30,"1-30",IF($K201&lt;=60,"31-60",IF($K201&lt;=90,"61-90","&gt;90"))))))</f>
        <v/>
      </c>
      <c r="M201" s="37" t="str">
        <f aca="false">IF($A201="","",IF($I201&lt;=0,"Đã thanh toán đủ",IF($K201&gt;0,"QUÁ HẠN","Còn nợ, trong hạn")))</f>
        <v/>
      </c>
    </row>
    <row r="202" customFormat="false" ht="15" hidden="false" customHeight="false" outlineLevel="0" collapsed="false">
      <c r="A202" s="37" t="str">
        <f aca="false">IF(PO!$A202="","",PO!$A202)</f>
        <v/>
      </c>
      <c r="B202" s="37" t="str">
        <f aca="false">IF($A202="","",PO!$D202)</f>
        <v/>
      </c>
      <c r="C202" s="37" t="str">
        <f aca="false">IF($A202="","",PO!$E202)</f>
        <v/>
      </c>
      <c r="D202" s="37" t="str">
        <f aca="false">IF($A202="","",PO!$H202)</f>
        <v/>
      </c>
      <c r="E202" s="37" t="str">
        <f aca="false">IF($A202="","",PO!$I202)</f>
        <v/>
      </c>
      <c r="F202" s="41" t="str">
        <f aca="false">IF($A202="","",IF(PO!$R202="","",PO!$R202))</f>
        <v/>
      </c>
      <c r="G202" s="38" t="str">
        <f aca="false">IF($A202="","",PO!$L202)</f>
        <v/>
      </c>
      <c r="H202" s="38" t="str">
        <f aca="false">IF($A202="","",SUMIFS('Thanh toán'!$H$4:$H$203,'Thanh toán'!$C$4:$C$203,$A202))</f>
        <v/>
      </c>
      <c r="I202" s="38" t="str">
        <f aca="false">IF($A202="","",IFERROR($G202-$H202,""))</f>
        <v/>
      </c>
      <c r="J202" s="41" t="str">
        <f aca="false">IF($A202="","",IF(PO!$AA202="","",PO!$AA202))</f>
        <v/>
      </c>
      <c r="K202" s="38" t="str">
        <f aca="true">IF($A202="","",IF($I202&lt;=0,0,IF($J202="",0,MAX(0,TODAY()-$J202))))</f>
        <v/>
      </c>
      <c r="L202" s="37" t="str">
        <f aca="false">IF($A202="","",IF($I202&lt;=0,"Đã thanh toán",IF($K202=0,"Trong hạn",IF($K202&lt;=30,"1-30",IF($K202&lt;=60,"31-60",IF($K202&lt;=90,"61-90","&gt;90"))))))</f>
        <v/>
      </c>
      <c r="M202" s="37" t="str">
        <f aca="false">IF($A202="","",IF($I202&lt;=0,"Đã thanh toán đủ",IF($K202&gt;0,"QUÁ HẠN","Còn nợ, trong hạn")))</f>
        <v/>
      </c>
    </row>
    <row r="203" customFormat="false" ht="15" hidden="false" customHeight="false" outlineLevel="0" collapsed="false">
      <c r="A203" s="37" t="str">
        <f aca="false">IF(PO!$A203="","",PO!$A203)</f>
        <v/>
      </c>
      <c r="B203" s="37" t="str">
        <f aca="false">IF($A203="","",PO!$D203)</f>
        <v/>
      </c>
      <c r="C203" s="37" t="str">
        <f aca="false">IF($A203="","",PO!$E203)</f>
        <v/>
      </c>
      <c r="D203" s="37" t="str">
        <f aca="false">IF($A203="","",PO!$H203)</f>
        <v/>
      </c>
      <c r="E203" s="37" t="str">
        <f aca="false">IF($A203="","",PO!$I203)</f>
        <v/>
      </c>
      <c r="F203" s="41" t="str">
        <f aca="false">IF($A203="","",IF(PO!$R203="","",PO!$R203))</f>
        <v/>
      </c>
      <c r="G203" s="38" t="str">
        <f aca="false">IF($A203="","",PO!$L203)</f>
        <v/>
      </c>
      <c r="H203" s="38" t="str">
        <f aca="false">IF($A203="","",SUMIFS('Thanh toán'!$H$4:$H$203,'Thanh toán'!$C$4:$C$203,$A203))</f>
        <v/>
      </c>
      <c r="I203" s="38" t="str">
        <f aca="false">IF($A203="","",IFERROR($G203-$H203,""))</f>
        <v/>
      </c>
      <c r="J203" s="41" t="str">
        <f aca="false">IF($A203="","",IF(PO!$AA203="","",PO!$AA203))</f>
        <v/>
      </c>
      <c r="K203" s="38" t="str">
        <f aca="true">IF($A203="","",IF($I203&lt;=0,0,IF($J203="",0,MAX(0,TODAY()-$J203))))</f>
        <v/>
      </c>
      <c r="L203" s="37" t="str">
        <f aca="false">IF($A203="","",IF($I203&lt;=0,"Đã thanh toán",IF($K203=0,"Trong hạn",IF($K203&lt;=30,"1-30",IF($K203&lt;=60,"31-60",IF($K203&lt;=90,"61-90","&gt;90"))))))</f>
        <v/>
      </c>
      <c r="M203" s="37" t="str">
        <f aca="false">IF($A203="","",IF($I203&lt;=0,"Đã thanh toán đủ",IF($K203&gt;0,"QUÁ HẠN","Còn nợ, trong hạn")))</f>
        <v/>
      </c>
    </row>
  </sheetData>
  <autoFilter ref="A3:M203"/>
  <conditionalFormatting sqref="A4:M203">
    <cfRule type="expression" priority="2" aboveAverage="0" equalAverage="0" bottom="0" percent="0" rank="0" text="" dxfId="16">
      <formula>$K4&gt;0</formula>
    </cfRule>
    <cfRule type="expression" priority="3" aboveAverage="0" equalAverage="0" bottom="0" percent="0" rank="0" text="" dxfId="10">
      <formula>AND($A4&lt;&gt;"",$I4&lt;=0)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U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7" min="2" style="0" width="12"/>
    <col collapsed="false" customWidth="true" hidden="false" outlineLevel="0" max="8" min="8" style="0" width="17"/>
    <col collapsed="false" customWidth="true" hidden="false" outlineLevel="0" max="9" min="9" style="0" width="9"/>
    <col collapsed="false" customWidth="true" hidden="false" outlineLevel="0" max="10" min="10" style="0" width="17"/>
    <col collapsed="false" customWidth="true" hidden="false" outlineLevel="0" max="11" min="11" style="0" width="9"/>
    <col collapsed="false" customWidth="true" hidden="false" outlineLevel="0" max="12" min="12" style="0" width="17"/>
    <col collapsed="false" customWidth="true" hidden="false" outlineLevel="0" max="13" min="13" style="0" width="16"/>
    <col collapsed="false" customWidth="true" hidden="false" outlineLevel="0" max="14" min="14" style="0" width="11"/>
    <col collapsed="false" customWidth="true" hidden="false" outlineLevel="0" max="20" min="15" style="0" width="12"/>
    <col collapsed="false" customWidth="true" hidden="false" outlineLevel="0" max="21" min="21" style="0" width="17"/>
  </cols>
  <sheetData>
    <row r="1" customFormat="false" ht="17.35" hidden="false" customHeight="false" outlineLevel="0" collapsed="false">
      <c r="A1" s="30" t="s">
        <v>304</v>
      </c>
    </row>
    <row r="2" customFormat="false" ht="15" hidden="false" customHeight="false" outlineLevel="0" collapsed="false">
      <c r="A2" s="8" t="s">
        <v>305</v>
      </c>
    </row>
    <row r="3" customFormat="false" ht="33.75" hidden="false" customHeight="true" outlineLevel="0" collapsed="false">
      <c r="A3" s="40" t="s">
        <v>306</v>
      </c>
      <c r="B3" s="40" t="s">
        <v>307</v>
      </c>
      <c r="C3" s="40" t="s">
        <v>308</v>
      </c>
      <c r="D3" s="40" t="s">
        <v>309</v>
      </c>
      <c r="E3" s="40" t="s">
        <v>15</v>
      </c>
      <c r="F3" s="40" t="s">
        <v>310</v>
      </c>
      <c r="G3" s="40" t="s">
        <v>311</v>
      </c>
      <c r="H3" s="40" t="s">
        <v>312</v>
      </c>
      <c r="I3" s="40" t="s">
        <v>313</v>
      </c>
      <c r="J3" s="40" t="s">
        <v>314</v>
      </c>
      <c r="K3" s="40" t="s">
        <v>315</v>
      </c>
      <c r="L3" s="40" t="s">
        <v>316</v>
      </c>
      <c r="M3" s="40" t="s">
        <v>266</v>
      </c>
      <c r="N3" s="40" t="s">
        <v>34</v>
      </c>
      <c r="O3" s="40" t="s">
        <v>317</v>
      </c>
      <c r="P3" s="40" t="s">
        <v>37</v>
      </c>
      <c r="Q3" s="40" t="s">
        <v>318</v>
      </c>
      <c r="R3" s="40" t="s">
        <v>319</v>
      </c>
      <c r="S3" s="40" t="s">
        <v>320</v>
      </c>
      <c r="T3" s="40" t="s">
        <v>321</v>
      </c>
      <c r="U3" s="40" t="s">
        <v>322</v>
      </c>
    </row>
    <row r="4" customFormat="false" ht="15" hidden="false" customHeight="false" outlineLevel="0" collapsed="false">
      <c r="A4" s="43" t="n">
        <f aca="false">ROW()-3</f>
        <v>1</v>
      </c>
      <c r="B4" s="44" t="n">
        <f aca="false">DATE('Tổng quan'!$C$7,$A4,1)</f>
        <v>46023</v>
      </c>
      <c r="C4" s="44" t="n">
        <f aca="false">DATE('Tổng quan'!$C$7,$A4+1,1)-1</f>
        <v>46053</v>
      </c>
      <c r="D4" s="45" t="n">
        <f aca="false">COUNTIFS('Check giá'!$B$4:$B$203,"&gt;="&amp;$B4,'Check giá'!$B$4:$B$203,"&lt;="&amp;$C4)</f>
        <v>2</v>
      </c>
      <c r="E4" s="45" t="n">
        <f aca="false">COUNTIFS('Check giá'!$L$4:$L$203,"&gt;="&amp;$B4,'Check giá'!$L$4:$L$203,"&lt;="&amp;$C4)</f>
        <v>1</v>
      </c>
      <c r="F4" s="45" t="n">
        <f aca="false">COUNTIFS('Check giá'!$L$4:$L$203,"&gt;="&amp;$B4,'Check giá'!$L$4:$L$203,"&lt;="&amp;$C4,'Check giá'!$O$4:$O$203,"Đúng hạn")</f>
        <v>1</v>
      </c>
      <c r="G4" s="46" t="n">
        <f aca="false">IFERROR($F4/$E4,"")</f>
        <v>1</v>
      </c>
      <c r="H4" s="45" t="n">
        <f aca="false">SUMIFS('Check giá'!$J$4:$J$203,'Check giá'!$B$4:$B$203,"&gt;="&amp;$B4,'Check giá'!$B$4:$B$203,"&lt;="&amp;$C4)</f>
        <v>1366000000</v>
      </c>
      <c r="I4" s="45" t="n">
        <f aca="false">COUNTIFS(PR!$B$4:$B$203,"&gt;="&amp;$B4,PR!$B$4:$B$203,"&lt;="&amp;$C4)</f>
        <v>1</v>
      </c>
      <c r="J4" s="45" t="n">
        <f aca="false">SUMIFS(PR!$L$4:$L$203,PR!$B$4:$B$203,"&gt;="&amp;$B4,PR!$B$4:$B$203,"&lt;="&amp;$C4)</f>
        <v>250000000</v>
      </c>
      <c r="K4" s="45" t="n">
        <f aca="false">COUNTIFS(PO!$B$4:$B$203,"&gt;="&amp;$B4,PO!$B$4:$B$203,"&lt;="&amp;$C4)</f>
        <v>1</v>
      </c>
      <c r="L4" s="45" t="n">
        <f aca="false">SUMIFS(PO!$L$4:$L$203,PO!$B$4:$B$203,"&gt;="&amp;$B4,PO!$B$4:$B$203,"&lt;="&amp;$C4)</f>
        <v>236000000</v>
      </c>
      <c r="M4" s="45" t="n">
        <f aca="false">SUMIFS(PO!$N$4:$N$203,PO!$B$4:$B$203,"&gt;="&amp;$B4,PO!$B$4:$B$203,"&lt;="&amp;$C4)</f>
        <v>14000000</v>
      </c>
      <c r="N4" s="46" t="n">
        <f aca="false">IFERROR($M4/($L4+$M4),"")</f>
        <v>0.056</v>
      </c>
      <c r="O4" s="45" t="n">
        <f aca="false">COUNTIFS(PO!$Q$4:$Q$203,"&gt;="&amp;$B4,PO!$Q$4:$Q$203,"&lt;="&amp;$C4)</f>
        <v>0</v>
      </c>
      <c r="P4" s="45" t="n">
        <f aca="false">COUNTIFS(PO!$Q$4:$Q$203,"&gt;="&amp;$B4,PO!$Q$4:$Q$203,"&lt;="&amp;$C4,PO!$S$4:$S$203,"Đúng hạn")</f>
        <v>0</v>
      </c>
      <c r="Q4" s="46" t="str">
        <f aca="false">IFERROR($P4/$O4,"")</f>
        <v/>
      </c>
      <c r="R4" s="45" t="n">
        <f aca="false">COUNTIFS(PO!$R$4:$R$203,"&gt;="&amp;$B4,PO!$R$4:$R$203,"&lt;="&amp;$C4,PO!$Y$4:$Y$203,"Đạt")+COUNTIFS(PO!$R$4:$R$203,"&gt;="&amp;$B4,PO!$R$4:$R$203,"&lt;="&amp;$C4,PO!$Y$4:$Y$203,"Không đạt")</f>
        <v>0</v>
      </c>
      <c r="S4" s="45" t="n">
        <f aca="false">COUNTIFS(PO!$R$4:$R$203,"&gt;="&amp;$B4,PO!$R$4:$R$203,"&lt;="&amp;$C4,PO!$Y$4:$Y$203,"Đạt")</f>
        <v>0</v>
      </c>
      <c r="T4" s="46" t="str">
        <f aca="false">IFERROR($S4/$R4,"")</f>
        <v/>
      </c>
      <c r="U4" s="45" t="n">
        <f aca="false">SUMIFS('Thanh toán'!$H$4:$H$203,'Thanh toán'!$B$4:$B$203,"&gt;="&amp;$B4,'Thanh toán'!$B$4:$B$203,"&lt;="&amp;$C4)</f>
        <v>0</v>
      </c>
    </row>
    <row r="5" customFormat="false" ht="15" hidden="false" customHeight="false" outlineLevel="0" collapsed="false">
      <c r="A5" s="43" t="n">
        <f aca="false">ROW()-3</f>
        <v>2</v>
      </c>
      <c r="B5" s="44" t="n">
        <f aca="false">DATE('Tổng quan'!$C$7,$A5,1)</f>
        <v>46054</v>
      </c>
      <c r="C5" s="44" t="n">
        <f aca="false">DATE('Tổng quan'!$C$7,$A5+1,1)-1</f>
        <v>46081</v>
      </c>
      <c r="D5" s="45" t="n">
        <f aca="false">COUNTIFS('Check giá'!$B$4:$B$203,"&gt;="&amp;$B5,'Check giá'!$B$4:$B$203,"&lt;="&amp;$C5)</f>
        <v>0</v>
      </c>
      <c r="E5" s="45" t="n">
        <f aca="false">COUNTIFS('Check giá'!$L$4:$L$203,"&gt;="&amp;$B5,'Check giá'!$L$4:$L$203,"&lt;="&amp;$C5)</f>
        <v>0</v>
      </c>
      <c r="F5" s="45" t="n">
        <f aca="false">COUNTIFS('Check giá'!$L$4:$L$203,"&gt;="&amp;$B5,'Check giá'!$L$4:$L$203,"&lt;="&amp;$C5,'Check giá'!$O$4:$O$203,"Đúng hạn")</f>
        <v>0</v>
      </c>
      <c r="G5" s="46" t="str">
        <f aca="false">IFERROR($F5/$E5,"")</f>
        <v/>
      </c>
      <c r="H5" s="45" t="n">
        <f aca="false">SUMIFS('Check giá'!$J$4:$J$203,'Check giá'!$B$4:$B$203,"&gt;="&amp;$B5,'Check giá'!$B$4:$B$203,"&lt;="&amp;$C5)</f>
        <v>0</v>
      </c>
      <c r="I5" s="45" t="n">
        <f aca="false">COUNTIFS(PR!$B$4:$B$203,"&gt;="&amp;$B5,PR!$B$4:$B$203,"&lt;="&amp;$C5)</f>
        <v>0</v>
      </c>
      <c r="J5" s="45" t="n">
        <f aca="false">SUMIFS(PR!$L$4:$L$203,PR!$B$4:$B$203,"&gt;="&amp;$B5,PR!$B$4:$B$203,"&lt;="&amp;$C5)</f>
        <v>0</v>
      </c>
      <c r="K5" s="45" t="n">
        <f aca="false">COUNTIFS(PO!$B$4:$B$203,"&gt;="&amp;$B5,PO!$B$4:$B$203,"&lt;="&amp;$C5)</f>
        <v>0</v>
      </c>
      <c r="L5" s="45" t="n">
        <f aca="false">SUMIFS(PO!$L$4:$L$203,PO!$B$4:$B$203,"&gt;="&amp;$B5,PO!$B$4:$B$203,"&lt;="&amp;$C5)</f>
        <v>0</v>
      </c>
      <c r="M5" s="45" t="n">
        <f aca="false">SUMIFS(PO!$N$4:$N$203,PO!$B$4:$B$203,"&gt;="&amp;$B5,PO!$B$4:$B$203,"&lt;="&amp;$C5)</f>
        <v>0</v>
      </c>
      <c r="N5" s="46" t="str">
        <f aca="false">IFERROR($M5/($L5+$M5),"")</f>
        <v/>
      </c>
      <c r="O5" s="45" t="n">
        <f aca="false">COUNTIFS(PO!$Q$4:$Q$203,"&gt;="&amp;$B5,PO!$Q$4:$Q$203,"&lt;="&amp;$C5)</f>
        <v>1</v>
      </c>
      <c r="P5" s="45" t="n">
        <f aca="false">COUNTIFS(PO!$Q$4:$Q$203,"&gt;="&amp;$B5,PO!$Q$4:$Q$203,"&lt;="&amp;$C5,PO!$S$4:$S$203,"Đúng hạn")</f>
        <v>0</v>
      </c>
      <c r="Q5" s="46" t="n">
        <f aca="false">IFERROR($P5/$O5,"")</f>
        <v>0</v>
      </c>
      <c r="R5" s="45" t="n">
        <f aca="false">COUNTIFS(PO!$R$4:$R$203,"&gt;="&amp;$B5,PO!$R$4:$R$203,"&lt;="&amp;$C5,PO!$Y$4:$Y$203,"Đạt")+COUNTIFS(PO!$R$4:$R$203,"&gt;="&amp;$B5,PO!$R$4:$R$203,"&lt;="&amp;$C5,PO!$Y$4:$Y$203,"Không đạt")</f>
        <v>1</v>
      </c>
      <c r="S5" s="45" t="n">
        <f aca="false">COUNTIFS(PO!$R$4:$R$203,"&gt;="&amp;$B5,PO!$R$4:$R$203,"&lt;="&amp;$C5,PO!$Y$4:$Y$203,"Đạt")</f>
        <v>1</v>
      </c>
      <c r="T5" s="46" t="n">
        <f aca="false">IFERROR($S5/$R5,"")</f>
        <v>1</v>
      </c>
      <c r="U5" s="45" t="n">
        <f aca="false">SUMIFS('Thanh toán'!$H$4:$H$203,'Thanh toán'!$B$4:$B$203,"&gt;="&amp;$B5,'Thanh toán'!$B$4:$B$203,"&lt;="&amp;$C5)</f>
        <v>100000000</v>
      </c>
    </row>
    <row r="6" customFormat="false" ht="15" hidden="false" customHeight="false" outlineLevel="0" collapsed="false">
      <c r="A6" s="43" t="n">
        <f aca="false">ROW()-3</f>
        <v>3</v>
      </c>
      <c r="B6" s="44" t="n">
        <f aca="false">DATE('Tổng quan'!$C$7,$A6,1)</f>
        <v>46082</v>
      </c>
      <c r="C6" s="44" t="n">
        <f aca="false">DATE('Tổng quan'!$C$7,$A6+1,1)-1</f>
        <v>46112</v>
      </c>
      <c r="D6" s="45" t="n">
        <f aca="false">COUNTIFS('Check giá'!$B$4:$B$203,"&gt;="&amp;$B6,'Check giá'!$B$4:$B$203,"&lt;="&amp;$C6)</f>
        <v>0</v>
      </c>
      <c r="E6" s="45" t="n">
        <f aca="false">COUNTIFS('Check giá'!$L$4:$L$203,"&gt;="&amp;$B6,'Check giá'!$L$4:$L$203,"&lt;="&amp;$C6)</f>
        <v>0</v>
      </c>
      <c r="F6" s="45" t="n">
        <f aca="false">COUNTIFS('Check giá'!$L$4:$L$203,"&gt;="&amp;$B6,'Check giá'!$L$4:$L$203,"&lt;="&amp;$C6,'Check giá'!$O$4:$O$203,"Đúng hạn")</f>
        <v>0</v>
      </c>
      <c r="G6" s="46" t="str">
        <f aca="false">IFERROR($F6/$E6,"")</f>
        <v/>
      </c>
      <c r="H6" s="45" t="n">
        <f aca="false">SUMIFS('Check giá'!$J$4:$J$203,'Check giá'!$B$4:$B$203,"&gt;="&amp;$B6,'Check giá'!$B$4:$B$203,"&lt;="&amp;$C6)</f>
        <v>0</v>
      </c>
      <c r="I6" s="45" t="n">
        <f aca="false">COUNTIFS(PR!$B$4:$B$203,"&gt;="&amp;$B6,PR!$B$4:$B$203,"&lt;="&amp;$C6)</f>
        <v>0</v>
      </c>
      <c r="J6" s="45" t="n">
        <f aca="false">SUMIFS(PR!$L$4:$L$203,PR!$B$4:$B$203,"&gt;="&amp;$B6,PR!$B$4:$B$203,"&lt;="&amp;$C6)</f>
        <v>0</v>
      </c>
      <c r="K6" s="45" t="n">
        <f aca="false">COUNTIFS(PO!$B$4:$B$203,"&gt;="&amp;$B6,PO!$B$4:$B$203,"&lt;="&amp;$C6)</f>
        <v>0</v>
      </c>
      <c r="L6" s="45" t="n">
        <f aca="false">SUMIFS(PO!$L$4:$L$203,PO!$B$4:$B$203,"&gt;="&amp;$B6,PO!$B$4:$B$203,"&lt;="&amp;$C6)</f>
        <v>0</v>
      </c>
      <c r="M6" s="45" t="n">
        <f aca="false">SUMIFS(PO!$N$4:$N$203,PO!$B$4:$B$203,"&gt;="&amp;$B6,PO!$B$4:$B$203,"&lt;="&amp;$C6)</f>
        <v>0</v>
      </c>
      <c r="N6" s="46" t="str">
        <f aca="false">IFERROR($M6/($L6+$M6),"")</f>
        <v/>
      </c>
      <c r="O6" s="45" t="n">
        <f aca="false">COUNTIFS(PO!$Q$4:$Q$203,"&gt;="&amp;$B6,PO!$Q$4:$Q$203,"&lt;="&amp;$C6)</f>
        <v>0</v>
      </c>
      <c r="P6" s="45" t="n">
        <f aca="false">COUNTIFS(PO!$Q$4:$Q$203,"&gt;="&amp;$B6,PO!$Q$4:$Q$203,"&lt;="&amp;$C6,PO!$S$4:$S$203,"Đúng hạn")</f>
        <v>0</v>
      </c>
      <c r="Q6" s="46" t="str">
        <f aca="false">IFERROR($P6/$O6,"")</f>
        <v/>
      </c>
      <c r="R6" s="45" t="n">
        <f aca="false">COUNTIFS(PO!$R$4:$R$203,"&gt;="&amp;$B6,PO!$R$4:$R$203,"&lt;="&amp;$C6,PO!$Y$4:$Y$203,"Đạt")+COUNTIFS(PO!$R$4:$R$203,"&gt;="&amp;$B6,PO!$R$4:$R$203,"&lt;="&amp;$C6,PO!$Y$4:$Y$203,"Không đạt")</f>
        <v>0</v>
      </c>
      <c r="S6" s="45" t="n">
        <f aca="false">COUNTIFS(PO!$R$4:$R$203,"&gt;="&amp;$B6,PO!$R$4:$R$203,"&lt;="&amp;$C6,PO!$Y$4:$Y$203,"Đạt")</f>
        <v>0</v>
      </c>
      <c r="T6" s="46" t="str">
        <f aca="false">IFERROR($S6/$R6,"")</f>
        <v/>
      </c>
      <c r="U6" s="45" t="n">
        <f aca="false">SUMIFS('Thanh toán'!$H$4:$H$203,'Thanh toán'!$B$4:$B$203,"&gt;="&amp;$B6,'Thanh toán'!$B$4:$B$203,"&lt;="&amp;$C6)</f>
        <v>80000000</v>
      </c>
    </row>
    <row r="7" customFormat="false" ht="15" hidden="false" customHeight="false" outlineLevel="0" collapsed="false">
      <c r="A7" s="43" t="n">
        <f aca="false">ROW()-3</f>
        <v>4</v>
      </c>
      <c r="B7" s="44" t="n">
        <f aca="false">DATE('Tổng quan'!$C$7,$A7,1)</f>
        <v>46113</v>
      </c>
      <c r="C7" s="44" t="n">
        <f aca="false">DATE('Tổng quan'!$C$7,$A7+1,1)-1</f>
        <v>46142</v>
      </c>
      <c r="D7" s="45" t="n">
        <f aca="false">COUNTIFS('Check giá'!$B$4:$B$203,"&gt;="&amp;$B7,'Check giá'!$B$4:$B$203,"&lt;="&amp;$C7)</f>
        <v>0</v>
      </c>
      <c r="E7" s="45" t="n">
        <f aca="false">COUNTIFS('Check giá'!$L$4:$L$203,"&gt;="&amp;$B7,'Check giá'!$L$4:$L$203,"&lt;="&amp;$C7)</f>
        <v>0</v>
      </c>
      <c r="F7" s="45" t="n">
        <f aca="false">COUNTIFS('Check giá'!$L$4:$L$203,"&gt;="&amp;$B7,'Check giá'!$L$4:$L$203,"&lt;="&amp;$C7,'Check giá'!$O$4:$O$203,"Đúng hạn")</f>
        <v>0</v>
      </c>
      <c r="G7" s="46" t="str">
        <f aca="false">IFERROR($F7/$E7,"")</f>
        <v/>
      </c>
      <c r="H7" s="45" t="n">
        <f aca="false">SUMIFS('Check giá'!$J$4:$J$203,'Check giá'!$B$4:$B$203,"&gt;="&amp;$B7,'Check giá'!$B$4:$B$203,"&lt;="&amp;$C7)</f>
        <v>0</v>
      </c>
      <c r="I7" s="45" t="n">
        <f aca="false">COUNTIFS(PR!$B$4:$B$203,"&gt;="&amp;$B7,PR!$B$4:$B$203,"&lt;="&amp;$C7)</f>
        <v>0</v>
      </c>
      <c r="J7" s="45" t="n">
        <f aca="false">SUMIFS(PR!$L$4:$L$203,PR!$B$4:$B$203,"&gt;="&amp;$B7,PR!$B$4:$B$203,"&lt;="&amp;$C7)</f>
        <v>0</v>
      </c>
      <c r="K7" s="45" t="n">
        <f aca="false">COUNTIFS(PO!$B$4:$B$203,"&gt;="&amp;$B7,PO!$B$4:$B$203,"&lt;="&amp;$C7)</f>
        <v>0</v>
      </c>
      <c r="L7" s="45" t="n">
        <f aca="false">SUMIFS(PO!$L$4:$L$203,PO!$B$4:$B$203,"&gt;="&amp;$B7,PO!$B$4:$B$203,"&lt;="&amp;$C7)</f>
        <v>0</v>
      </c>
      <c r="M7" s="45" t="n">
        <f aca="false">SUMIFS(PO!$N$4:$N$203,PO!$B$4:$B$203,"&gt;="&amp;$B7,PO!$B$4:$B$203,"&lt;="&amp;$C7)</f>
        <v>0</v>
      </c>
      <c r="N7" s="46" t="str">
        <f aca="false">IFERROR($M7/($L7+$M7),"")</f>
        <v/>
      </c>
      <c r="O7" s="45" t="n">
        <f aca="false">COUNTIFS(PO!$Q$4:$Q$203,"&gt;="&amp;$B7,PO!$Q$4:$Q$203,"&lt;="&amp;$C7)</f>
        <v>0</v>
      </c>
      <c r="P7" s="45" t="n">
        <f aca="false">COUNTIFS(PO!$Q$4:$Q$203,"&gt;="&amp;$B7,PO!$Q$4:$Q$203,"&lt;="&amp;$C7,PO!$S$4:$S$203,"Đúng hạn")</f>
        <v>0</v>
      </c>
      <c r="Q7" s="46" t="str">
        <f aca="false">IFERROR($P7/$O7,"")</f>
        <v/>
      </c>
      <c r="R7" s="45" t="n">
        <f aca="false">COUNTIFS(PO!$R$4:$R$203,"&gt;="&amp;$B7,PO!$R$4:$R$203,"&lt;="&amp;$C7,PO!$Y$4:$Y$203,"Đạt")+COUNTIFS(PO!$R$4:$R$203,"&gt;="&amp;$B7,PO!$R$4:$R$203,"&lt;="&amp;$C7,PO!$Y$4:$Y$203,"Không đạt")</f>
        <v>0</v>
      </c>
      <c r="S7" s="45" t="n">
        <f aca="false">COUNTIFS(PO!$R$4:$R$203,"&gt;="&amp;$B7,PO!$R$4:$R$203,"&lt;="&amp;$C7,PO!$Y$4:$Y$203,"Đạt")</f>
        <v>0</v>
      </c>
      <c r="T7" s="46" t="str">
        <f aca="false">IFERROR($S7/$R7,"")</f>
        <v/>
      </c>
      <c r="U7" s="45" t="n">
        <f aca="false">SUMIFS('Thanh toán'!$H$4:$H$203,'Thanh toán'!$B$4:$B$203,"&gt;="&amp;$B7,'Thanh toán'!$B$4:$B$203,"&lt;="&amp;$C7)</f>
        <v>0</v>
      </c>
    </row>
    <row r="8" customFormat="false" ht="15" hidden="false" customHeight="false" outlineLevel="0" collapsed="false">
      <c r="A8" s="43" t="n">
        <f aca="false">ROW()-3</f>
        <v>5</v>
      </c>
      <c r="B8" s="44" t="n">
        <f aca="false">DATE('Tổng quan'!$C$7,$A8,1)</f>
        <v>46143</v>
      </c>
      <c r="C8" s="44" t="n">
        <f aca="false">DATE('Tổng quan'!$C$7,$A8+1,1)-1</f>
        <v>46173</v>
      </c>
      <c r="D8" s="45" t="n">
        <f aca="false">COUNTIFS('Check giá'!$B$4:$B$203,"&gt;="&amp;$B8,'Check giá'!$B$4:$B$203,"&lt;="&amp;$C8)</f>
        <v>0</v>
      </c>
      <c r="E8" s="45" t="n">
        <f aca="false">COUNTIFS('Check giá'!$L$4:$L$203,"&gt;="&amp;$B8,'Check giá'!$L$4:$L$203,"&lt;="&amp;$C8)</f>
        <v>0</v>
      </c>
      <c r="F8" s="45" t="n">
        <f aca="false">COUNTIFS('Check giá'!$L$4:$L$203,"&gt;="&amp;$B8,'Check giá'!$L$4:$L$203,"&lt;="&amp;$C8,'Check giá'!$O$4:$O$203,"Đúng hạn")</f>
        <v>0</v>
      </c>
      <c r="G8" s="46" t="str">
        <f aca="false">IFERROR($F8/$E8,"")</f>
        <v/>
      </c>
      <c r="H8" s="45" t="n">
        <f aca="false">SUMIFS('Check giá'!$J$4:$J$203,'Check giá'!$B$4:$B$203,"&gt;="&amp;$B8,'Check giá'!$B$4:$B$203,"&lt;="&amp;$C8)</f>
        <v>0</v>
      </c>
      <c r="I8" s="45" t="n">
        <f aca="false">COUNTIFS(PR!$B$4:$B$203,"&gt;="&amp;$B8,PR!$B$4:$B$203,"&lt;="&amp;$C8)</f>
        <v>0</v>
      </c>
      <c r="J8" s="45" t="n">
        <f aca="false">SUMIFS(PR!$L$4:$L$203,PR!$B$4:$B$203,"&gt;="&amp;$B8,PR!$B$4:$B$203,"&lt;="&amp;$C8)</f>
        <v>0</v>
      </c>
      <c r="K8" s="45" t="n">
        <f aca="false">COUNTIFS(PO!$B$4:$B$203,"&gt;="&amp;$B8,PO!$B$4:$B$203,"&lt;="&amp;$C8)</f>
        <v>0</v>
      </c>
      <c r="L8" s="45" t="n">
        <f aca="false">SUMIFS(PO!$L$4:$L$203,PO!$B$4:$B$203,"&gt;="&amp;$B8,PO!$B$4:$B$203,"&lt;="&amp;$C8)</f>
        <v>0</v>
      </c>
      <c r="M8" s="45" t="n">
        <f aca="false">SUMIFS(PO!$N$4:$N$203,PO!$B$4:$B$203,"&gt;="&amp;$B8,PO!$B$4:$B$203,"&lt;="&amp;$C8)</f>
        <v>0</v>
      </c>
      <c r="N8" s="46" t="str">
        <f aca="false">IFERROR($M8/($L8+$M8),"")</f>
        <v/>
      </c>
      <c r="O8" s="45" t="n">
        <f aca="false">COUNTIFS(PO!$Q$4:$Q$203,"&gt;="&amp;$B8,PO!$Q$4:$Q$203,"&lt;="&amp;$C8)</f>
        <v>0</v>
      </c>
      <c r="P8" s="45" t="n">
        <f aca="false">COUNTIFS(PO!$Q$4:$Q$203,"&gt;="&amp;$B8,PO!$Q$4:$Q$203,"&lt;="&amp;$C8,PO!$S$4:$S$203,"Đúng hạn")</f>
        <v>0</v>
      </c>
      <c r="Q8" s="46" t="str">
        <f aca="false">IFERROR($P8/$O8,"")</f>
        <v/>
      </c>
      <c r="R8" s="45" t="n">
        <f aca="false">COUNTIFS(PO!$R$4:$R$203,"&gt;="&amp;$B8,PO!$R$4:$R$203,"&lt;="&amp;$C8,PO!$Y$4:$Y$203,"Đạt")+COUNTIFS(PO!$R$4:$R$203,"&gt;="&amp;$B8,PO!$R$4:$R$203,"&lt;="&amp;$C8,PO!$Y$4:$Y$203,"Không đạt")</f>
        <v>0</v>
      </c>
      <c r="S8" s="45" t="n">
        <f aca="false">COUNTIFS(PO!$R$4:$R$203,"&gt;="&amp;$B8,PO!$R$4:$R$203,"&lt;="&amp;$C8,PO!$Y$4:$Y$203,"Đạt")</f>
        <v>0</v>
      </c>
      <c r="T8" s="46" t="str">
        <f aca="false">IFERROR($S8/$R8,"")</f>
        <v/>
      </c>
      <c r="U8" s="45" t="n">
        <f aca="false">SUMIFS('Thanh toán'!$H$4:$H$203,'Thanh toán'!$B$4:$B$203,"&gt;="&amp;$B8,'Thanh toán'!$B$4:$B$203,"&lt;="&amp;$C8)</f>
        <v>0</v>
      </c>
    </row>
    <row r="9" customFormat="false" ht="15" hidden="false" customHeight="false" outlineLevel="0" collapsed="false">
      <c r="A9" s="43" t="n">
        <f aca="false">ROW()-3</f>
        <v>6</v>
      </c>
      <c r="B9" s="44" t="n">
        <f aca="false">DATE('Tổng quan'!$C$7,$A9,1)</f>
        <v>46174</v>
      </c>
      <c r="C9" s="44" t="n">
        <f aca="false">DATE('Tổng quan'!$C$7,$A9+1,1)-1</f>
        <v>46203</v>
      </c>
      <c r="D9" s="45" t="n">
        <f aca="false">COUNTIFS('Check giá'!$B$4:$B$203,"&gt;="&amp;$B9,'Check giá'!$B$4:$B$203,"&lt;="&amp;$C9)</f>
        <v>0</v>
      </c>
      <c r="E9" s="45" t="n">
        <f aca="false">COUNTIFS('Check giá'!$L$4:$L$203,"&gt;="&amp;$B9,'Check giá'!$L$4:$L$203,"&lt;="&amp;$C9)</f>
        <v>0</v>
      </c>
      <c r="F9" s="45" t="n">
        <f aca="false">COUNTIFS('Check giá'!$L$4:$L$203,"&gt;="&amp;$B9,'Check giá'!$L$4:$L$203,"&lt;="&amp;$C9,'Check giá'!$O$4:$O$203,"Đúng hạn")</f>
        <v>0</v>
      </c>
      <c r="G9" s="46" t="str">
        <f aca="false">IFERROR($F9/$E9,"")</f>
        <v/>
      </c>
      <c r="H9" s="45" t="n">
        <f aca="false">SUMIFS('Check giá'!$J$4:$J$203,'Check giá'!$B$4:$B$203,"&gt;="&amp;$B9,'Check giá'!$B$4:$B$203,"&lt;="&amp;$C9)</f>
        <v>0</v>
      </c>
      <c r="I9" s="45" t="n">
        <f aca="false">COUNTIFS(PR!$B$4:$B$203,"&gt;="&amp;$B9,PR!$B$4:$B$203,"&lt;="&amp;$C9)</f>
        <v>0</v>
      </c>
      <c r="J9" s="45" t="n">
        <f aca="false">SUMIFS(PR!$L$4:$L$203,PR!$B$4:$B$203,"&gt;="&amp;$B9,PR!$B$4:$B$203,"&lt;="&amp;$C9)</f>
        <v>0</v>
      </c>
      <c r="K9" s="45" t="n">
        <f aca="false">COUNTIFS(PO!$B$4:$B$203,"&gt;="&amp;$B9,PO!$B$4:$B$203,"&lt;="&amp;$C9)</f>
        <v>0</v>
      </c>
      <c r="L9" s="45" t="n">
        <f aca="false">SUMIFS(PO!$L$4:$L$203,PO!$B$4:$B$203,"&gt;="&amp;$B9,PO!$B$4:$B$203,"&lt;="&amp;$C9)</f>
        <v>0</v>
      </c>
      <c r="M9" s="45" t="n">
        <f aca="false">SUMIFS(PO!$N$4:$N$203,PO!$B$4:$B$203,"&gt;="&amp;$B9,PO!$B$4:$B$203,"&lt;="&amp;$C9)</f>
        <v>0</v>
      </c>
      <c r="N9" s="46" t="str">
        <f aca="false">IFERROR($M9/($L9+$M9),"")</f>
        <v/>
      </c>
      <c r="O9" s="45" t="n">
        <f aca="false">COUNTIFS(PO!$Q$4:$Q$203,"&gt;="&amp;$B9,PO!$Q$4:$Q$203,"&lt;="&amp;$C9)</f>
        <v>0</v>
      </c>
      <c r="P9" s="45" t="n">
        <f aca="false">COUNTIFS(PO!$Q$4:$Q$203,"&gt;="&amp;$B9,PO!$Q$4:$Q$203,"&lt;="&amp;$C9,PO!$S$4:$S$203,"Đúng hạn")</f>
        <v>0</v>
      </c>
      <c r="Q9" s="46" t="str">
        <f aca="false">IFERROR($P9/$O9,"")</f>
        <v/>
      </c>
      <c r="R9" s="45" t="n">
        <f aca="false">COUNTIFS(PO!$R$4:$R$203,"&gt;="&amp;$B9,PO!$R$4:$R$203,"&lt;="&amp;$C9,PO!$Y$4:$Y$203,"Đạt")+COUNTIFS(PO!$R$4:$R$203,"&gt;="&amp;$B9,PO!$R$4:$R$203,"&lt;="&amp;$C9,PO!$Y$4:$Y$203,"Không đạt")</f>
        <v>0</v>
      </c>
      <c r="S9" s="45" t="n">
        <f aca="false">COUNTIFS(PO!$R$4:$R$203,"&gt;="&amp;$B9,PO!$R$4:$R$203,"&lt;="&amp;$C9,PO!$Y$4:$Y$203,"Đạt")</f>
        <v>0</v>
      </c>
      <c r="T9" s="46" t="str">
        <f aca="false">IFERROR($S9/$R9,"")</f>
        <v/>
      </c>
      <c r="U9" s="45" t="n">
        <f aca="false">SUMIFS('Thanh toán'!$H$4:$H$203,'Thanh toán'!$B$4:$B$203,"&gt;="&amp;$B9,'Thanh toán'!$B$4:$B$203,"&lt;="&amp;$C9)</f>
        <v>0</v>
      </c>
    </row>
    <row r="10" customFormat="false" ht="15" hidden="false" customHeight="false" outlineLevel="0" collapsed="false">
      <c r="A10" s="43" t="n">
        <f aca="false">ROW()-3</f>
        <v>7</v>
      </c>
      <c r="B10" s="44" t="n">
        <f aca="false">DATE('Tổng quan'!$C$7,$A10,1)</f>
        <v>46204</v>
      </c>
      <c r="C10" s="44" t="n">
        <f aca="false">DATE('Tổng quan'!$C$7,$A10+1,1)-1</f>
        <v>46234</v>
      </c>
      <c r="D10" s="45" t="n">
        <f aca="false">COUNTIFS('Check giá'!$B$4:$B$203,"&gt;="&amp;$B10,'Check giá'!$B$4:$B$203,"&lt;="&amp;$C10)</f>
        <v>0</v>
      </c>
      <c r="E10" s="45" t="n">
        <f aca="false">COUNTIFS('Check giá'!$L$4:$L$203,"&gt;="&amp;$B10,'Check giá'!$L$4:$L$203,"&lt;="&amp;$C10)</f>
        <v>0</v>
      </c>
      <c r="F10" s="45" t="n">
        <f aca="false">COUNTIFS('Check giá'!$L$4:$L$203,"&gt;="&amp;$B10,'Check giá'!$L$4:$L$203,"&lt;="&amp;$C10,'Check giá'!$O$4:$O$203,"Đúng hạn")</f>
        <v>0</v>
      </c>
      <c r="G10" s="46" t="str">
        <f aca="false">IFERROR($F10/$E10,"")</f>
        <v/>
      </c>
      <c r="H10" s="45" t="n">
        <f aca="false">SUMIFS('Check giá'!$J$4:$J$203,'Check giá'!$B$4:$B$203,"&gt;="&amp;$B10,'Check giá'!$B$4:$B$203,"&lt;="&amp;$C10)</f>
        <v>0</v>
      </c>
      <c r="I10" s="45" t="n">
        <f aca="false">COUNTIFS(PR!$B$4:$B$203,"&gt;="&amp;$B10,PR!$B$4:$B$203,"&lt;="&amp;$C10)</f>
        <v>0</v>
      </c>
      <c r="J10" s="45" t="n">
        <f aca="false">SUMIFS(PR!$L$4:$L$203,PR!$B$4:$B$203,"&gt;="&amp;$B10,PR!$B$4:$B$203,"&lt;="&amp;$C10)</f>
        <v>0</v>
      </c>
      <c r="K10" s="45" t="n">
        <f aca="false">COUNTIFS(PO!$B$4:$B$203,"&gt;="&amp;$B10,PO!$B$4:$B$203,"&lt;="&amp;$C10)</f>
        <v>0</v>
      </c>
      <c r="L10" s="45" t="n">
        <f aca="false">SUMIFS(PO!$L$4:$L$203,PO!$B$4:$B$203,"&gt;="&amp;$B10,PO!$B$4:$B$203,"&lt;="&amp;$C10)</f>
        <v>0</v>
      </c>
      <c r="M10" s="45" t="n">
        <f aca="false">SUMIFS(PO!$N$4:$N$203,PO!$B$4:$B$203,"&gt;="&amp;$B10,PO!$B$4:$B$203,"&lt;="&amp;$C10)</f>
        <v>0</v>
      </c>
      <c r="N10" s="46" t="str">
        <f aca="false">IFERROR($M10/($L10+$M10),"")</f>
        <v/>
      </c>
      <c r="O10" s="45" t="n">
        <f aca="false">COUNTIFS(PO!$Q$4:$Q$203,"&gt;="&amp;$B10,PO!$Q$4:$Q$203,"&lt;="&amp;$C10)</f>
        <v>0</v>
      </c>
      <c r="P10" s="45" t="n">
        <f aca="false">COUNTIFS(PO!$Q$4:$Q$203,"&gt;="&amp;$B10,PO!$Q$4:$Q$203,"&lt;="&amp;$C10,PO!$S$4:$S$203,"Đúng hạn")</f>
        <v>0</v>
      </c>
      <c r="Q10" s="46" t="str">
        <f aca="false">IFERROR($P10/$O10,"")</f>
        <v/>
      </c>
      <c r="R10" s="45" t="n">
        <f aca="false">COUNTIFS(PO!$R$4:$R$203,"&gt;="&amp;$B10,PO!$R$4:$R$203,"&lt;="&amp;$C10,PO!$Y$4:$Y$203,"Đạt")+COUNTIFS(PO!$R$4:$R$203,"&gt;="&amp;$B10,PO!$R$4:$R$203,"&lt;="&amp;$C10,PO!$Y$4:$Y$203,"Không đạt")</f>
        <v>0</v>
      </c>
      <c r="S10" s="45" t="n">
        <f aca="false">COUNTIFS(PO!$R$4:$R$203,"&gt;="&amp;$B10,PO!$R$4:$R$203,"&lt;="&amp;$C10,PO!$Y$4:$Y$203,"Đạt")</f>
        <v>0</v>
      </c>
      <c r="T10" s="46" t="str">
        <f aca="false">IFERROR($S10/$R10,"")</f>
        <v/>
      </c>
      <c r="U10" s="45" t="n">
        <f aca="false">SUMIFS('Thanh toán'!$H$4:$H$203,'Thanh toán'!$B$4:$B$203,"&gt;="&amp;$B10,'Thanh toán'!$B$4:$B$203,"&lt;="&amp;$C10)</f>
        <v>0</v>
      </c>
    </row>
    <row r="11" customFormat="false" ht="15" hidden="false" customHeight="false" outlineLevel="0" collapsed="false">
      <c r="A11" s="43" t="n">
        <f aca="false">ROW()-3</f>
        <v>8</v>
      </c>
      <c r="B11" s="44" t="n">
        <f aca="false">DATE('Tổng quan'!$C$7,$A11,1)</f>
        <v>46235</v>
      </c>
      <c r="C11" s="44" t="n">
        <f aca="false">DATE('Tổng quan'!$C$7,$A11+1,1)-1</f>
        <v>46265</v>
      </c>
      <c r="D11" s="45" t="n">
        <f aca="false">COUNTIFS('Check giá'!$B$4:$B$203,"&gt;="&amp;$B11,'Check giá'!$B$4:$B$203,"&lt;="&amp;$C11)</f>
        <v>0</v>
      </c>
      <c r="E11" s="45" t="n">
        <f aca="false">COUNTIFS('Check giá'!$L$4:$L$203,"&gt;="&amp;$B11,'Check giá'!$L$4:$L$203,"&lt;="&amp;$C11)</f>
        <v>0</v>
      </c>
      <c r="F11" s="45" t="n">
        <f aca="false">COUNTIFS('Check giá'!$L$4:$L$203,"&gt;="&amp;$B11,'Check giá'!$L$4:$L$203,"&lt;="&amp;$C11,'Check giá'!$O$4:$O$203,"Đúng hạn")</f>
        <v>0</v>
      </c>
      <c r="G11" s="46" t="str">
        <f aca="false">IFERROR($F11/$E11,"")</f>
        <v/>
      </c>
      <c r="H11" s="45" t="n">
        <f aca="false">SUMIFS('Check giá'!$J$4:$J$203,'Check giá'!$B$4:$B$203,"&gt;="&amp;$B11,'Check giá'!$B$4:$B$203,"&lt;="&amp;$C11)</f>
        <v>0</v>
      </c>
      <c r="I11" s="45" t="n">
        <f aca="false">COUNTIFS(PR!$B$4:$B$203,"&gt;="&amp;$B11,PR!$B$4:$B$203,"&lt;="&amp;$C11)</f>
        <v>0</v>
      </c>
      <c r="J11" s="45" t="n">
        <f aca="false">SUMIFS(PR!$L$4:$L$203,PR!$B$4:$B$203,"&gt;="&amp;$B11,PR!$B$4:$B$203,"&lt;="&amp;$C11)</f>
        <v>0</v>
      </c>
      <c r="K11" s="45" t="n">
        <f aca="false">COUNTIFS(PO!$B$4:$B$203,"&gt;="&amp;$B11,PO!$B$4:$B$203,"&lt;="&amp;$C11)</f>
        <v>0</v>
      </c>
      <c r="L11" s="45" t="n">
        <f aca="false">SUMIFS(PO!$L$4:$L$203,PO!$B$4:$B$203,"&gt;="&amp;$B11,PO!$B$4:$B$203,"&lt;="&amp;$C11)</f>
        <v>0</v>
      </c>
      <c r="M11" s="45" t="n">
        <f aca="false">SUMIFS(PO!$N$4:$N$203,PO!$B$4:$B$203,"&gt;="&amp;$B11,PO!$B$4:$B$203,"&lt;="&amp;$C11)</f>
        <v>0</v>
      </c>
      <c r="N11" s="46" t="str">
        <f aca="false">IFERROR($M11/($L11+$M11),"")</f>
        <v/>
      </c>
      <c r="O11" s="45" t="n">
        <f aca="false">COUNTIFS(PO!$Q$4:$Q$203,"&gt;="&amp;$B11,PO!$Q$4:$Q$203,"&lt;="&amp;$C11)</f>
        <v>0</v>
      </c>
      <c r="P11" s="45" t="n">
        <f aca="false">COUNTIFS(PO!$Q$4:$Q$203,"&gt;="&amp;$B11,PO!$Q$4:$Q$203,"&lt;="&amp;$C11,PO!$S$4:$S$203,"Đúng hạn")</f>
        <v>0</v>
      </c>
      <c r="Q11" s="46" t="str">
        <f aca="false">IFERROR($P11/$O11,"")</f>
        <v/>
      </c>
      <c r="R11" s="45" t="n">
        <f aca="false">COUNTIFS(PO!$R$4:$R$203,"&gt;="&amp;$B11,PO!$R$4:$R$203,"&lt;="&amp;$C11,PO!$Y$4:$Y$203,"Đạt")+COUNTIFS(PO!$R$4:$R$203,"&gt;="&amp;$B11,PO!$R$4:$R$203,"&lt;="&amp;$C11,PO!$Y$4:$Y$203,"Không đạt")</f>
        <v>0</v>
      </c>
      <c r="S11" s="45" t="n">
        <f aca="false">COUNTIFS(PO!$R$4:$R$203,"&gt;="&amp;$B11,PO!$R$4:$R$203,"&lt;="&amp;$C11,PO!$Y$4:$Y$203,"Đạt")</f>
        <v>0</v>
      </c>
      <c r="T11" s="46" t="str">
        <f aca="false">IFERROR($S11/$R11,"")</f>
        <v/>
      </c>
      <c r="U11" s="45" t="n">
        <f aca="false">SUMIFS('Thanh toán'!$H$4:$H$203,'Thanh toán'!$B$4:$B$203,"&gt;="&amp;$B11,'Thanh toán'!$B$4:$B$203,"&lt;="&amp;$C11)</f>
        <v>0</v>
      </c>
    </row>
    <row r="12" customFormat="false" ht="15" hidden="false" customHeight="false" outlineLevel="0" collapsed="false">
      <c r="A12" s="43" t="n">
        <f aca="false">ROW()-3</f>
        <v>9</v>
      </c>
      <c r="B12" s="44" t="n">
        <f aca="false">DATE('Tổng quan'!$C$7,$A12,1)</f>
        <v>46266</v>
      </c>
      <c r="C12" s="44" t="n">
        <f aca="false">DATE('Tổng quan'!$C$7,$A12+1,1)-1</f>
        <v>46295</v>
      </c>
      <c r="D12" s="45" t="n">
        <f aca="false">COUNTIFS('Check giá'!$B$4:$B$203,"&gt;="&amp;$B12,'Check giá'!$B$4:$B$203,"&lt;="&amp;$C12)</f>
        <v>0</v>
      </c>
      <c r="E12" s="45" t="n">
        <f aca="false">COUNTIFS('Check giá'!$L$4:$L$203,"&gt;="&amp;$B12,'Check giá'!$L$4:$L$203,"&lt;="&amp;$C12)</f>
        <v>0</v>
      </c>
      <c r="F12" s="45" t="n">
        <f aca="false">COUNTIFS('Check giá'!$L$4:$L$203,"&gt;="&amp;$B12,'Check giá'!$L$4:$L$203,"&lt;="&amp;$C12,'Check giá'!$O$4:$O$203,"Đúng hạn")</f>
        <v>0</v>
      </c>
      <c r="G12" s="46" t="str">
        <f aca="false">IFERROR($F12/$E12,"")</f>
        <v/>
      </c>
      <c r="H12" s="45" t="n">
        <f aca="false">SUMIFS('Check giá'!$J$4:$J$203,'Check giá'!$B$4:$B$203,"&gt;="&amp;$B12,'Check giá'!$B$4:$B$203,"&lt;="&amp;$C12)</f>
        <v>0</v>
      </c>
      <c r="I12" s="45" t="n">
        <f aca="false">COUNTIFS(PR!$B$4:$B$203,"&gt;="&amp;$B12,PR!$B$4:$B$203,"&lt;="&amp;$C12)</f>
        <v>0</v>
      </c>
      <c r="J12" s="45" t="n">
        <f aca="false">SUMIFS(PR!$L$4:$L$203,PR!$B$4:$B$203,"&gt;="&amp;$B12,PR!$B$4:$B$203,"&lt;="&amp;$C12)</f>
        <v>0</v>
      </c>
      <c r="K12" s="45" t="n">
        <f aca="false">COUNTIFS(PO!$B$4:$B$203,"&gt;="&amp;$B12,PO!$B$4:$B$203,"&lt;="&amp;$C12)</f>
        <v>0</v>
      </c>
      <c r="L12" s="45" t="n">
        <f aca="false">SUMIFS(PO!$L$4:$L$203,PO!$B$4:$B$203,"&gt;="&amp;$B12,PO!$B$4:$B$203,"&lt;="&amp;$C12)</f>
        <v>0</v>
      </c>
      <c r="M12" s="45" t="n">
        <f aca="false">SUMIFS(PO!$N$4:$N$203,PO!$B$4:$B$203,"&gt;="&amp;$B12,PO!$B$4:$B$203,"&lt;="&amp;$C12)</f>
        <v>0</v>
      </c>
      <c r="N12" s="46" t="str">
        <f aca="false">IFERROR($M12/($L12+$M12),"")</f>
        <v/>
      </c>
      <c r="O12" s="45" t="n">
        <f aca="false">COUNTIFS(PO!$Q$4:$Q$203,"&gt;="&amp;$B12,PO!$Q$4:$Q$203,"&lt;="&amp;$C12)</f>
        <v>0</v>
      </c>
      <c r="P12" s="45" t="n">
        <f aca="false">COUNTIFS(PO!$Q$4:$Q$203,"&gt;="&amp;$B12,PO!$Q$4:$Q$203,"&lt;="&amp;$C12,PO!$S$4:$S$203,"Đúng hạn")</f>
        <v>0</v>
      </c>
      <c r="Q12" s="46" t="str">
        <f aca="false">IFERROR($P12/$O12,"")</f>
        <v/>
      </c>
      <c r="R12" s="45" t="n">
        <f aca="false">COUNTIFS(PO!$R$4:$R$203,"&gt;="&amp;$B12,PO!$R$4:$R$203,"&lt;="&amp;$C12,PO!$Y$4:$Y$203,"Đạt")+COUNTIFS(PO!$R$4:$R$203,"&gt;="&amp;$B12,PO!$R$4:$R$203,"&lt;="&amp;$C12,PO!$Y$4:$Y$203,"Không đạt")</f>
        <v>0</v>
      </c>
      <c r="S12" s="45" t="n">
        <f aca="false">COUNTIFS(PO!$R$4:$R$203,"&gt;="&amp;$B12,PO!$R$4:$R$203,"&lt;="&amp;$C12,PO!$Y$4:$Y$203,"Đạt")</f>
        <v>0</v>
      </c>
      <c r="T12" s="46" t="str">
        <f aca="false">IFERROR($S12/$R12,"")</f>
        <v/>
      </c>
      <c r="U12" s="45" t="n">
        <f aca="false">SUMIFS('Thanh toán'!$H$4:$H$203,'Thanh toán'!$B$4:$B$203,"&gt;="&amp;$B12,'Thanh toán'!$B$4:$B$203,"&lt;="&amp;$C12)</f>
        <v>0</v>
      </c>
    </row>
    <row r="13" customFormat="false" ht="15" hidden="false" customHeight="false" outlineLevel="0" collapsed="false">
      <c r="A13" s="43" t="n">
        <f aca="false">ROW()-3</f>
        <v>10</v>
      </c>
      <c r="B13" s="44" t="n">
        <f aca="false">DATE('Tổng quan'!$C$7,$A13,1)</f>
        <v>46296</v>
      </c>
      <c r="C13" s="44" t="n">
        <f aca="false">DATE('Tổng quan'!$C$7,$A13+1,1)-1</f>
        <v>46326</v>
      </c>
      <c r="D13" s="45" t="n">
        <f aca="false">COUNTIFS('Check giá'!$B$4:$B$203,"&gt;="&amp;$B13,'Check giá'!$B$4:$B$203,"&lt;="&amp;$C13)</f>
        <v>0</v>
      </c>
      <c r="E13" s="45" t="n">
        <f aca="false">COUNTIFS('Check giá'!$L$4:$L$203,"&gt;="&amp;$B13,'Check giá'!$L$4:$L$203,"&lt;="&amp;$C13)</f>
        <v>0</v>
      </c>
      <c r="F13" s="45" t="n">
        <f aca="false">COUNTIFS('Check giá'!$L$4:$L$203,"&gt;="&amp;$B13,'Check giá'!$L$4:$L$203,"&lt;="&amp;$C13,'Check giá'!$O$4:$O$203,"Đúng hạn")</f>
        <v>0</v>
      </c>
      <c r="G13" s="46" t="str">
        <f aca="false">IFERROR($F13/$E13,"")</f>
        <v/>
      </c>
      <c r="H13" s="45" t="n">
        <f aca="false">SUMIFS('Check giá'!$J$4:$J$203,'Check giá'!$B$4:$B$203,"&gt;="&amp;$B13,'Check giá'!$B$4:$B$203,"&lt;="&amp;$C13)</f>
        <v>0</v>
      </c>
      <c r="I13" s="45" t="n">
        <f aca="false">COUNTIFS(PR!$B$4:$B$203,"&gt;="&amp;$B13,PR!$B$4:$B$203,"&lt;="&amp;$C13)</f>
        <v>0</v>
      </c>
      <c r="J13" s="45" t="n">
        <f aca="false">SUMIFS(PR!$L$4:$L$203,PR!$B$4:$B$203,"&gt;="&amp;$B13,PR!$B$4:$B$203,"&lt;="&amp;$C13)</f>
        <v>0</v>
      </c>
      <c r="K13" s="45" t="n">
        <f aca="false">COUNTIFS(PO!$B$4:$B$203,"&gt;="&amp;$B13,PO!$B$4:$B$203,"&lt;="&amp;$C13)</f>
        <v>0</v>
      </c>
      <c r="L13" s="45" t="n">
        <f aca="false">SUMIFS(PO!$L$4:$L$203,PO!$B$4:$B$203,"&gt;="&amp;$B13,PO!$B$4:$B$203,"&lt;="&amp;$C13)</f>
        <v>0</v>
      </c>
      <c r="M13" s="45" t="n">
        <f aca="false">SUMIFS(PO!$N$4:$N$203,PO!$B$4:$B$203,"&gt;="&amp;$B13,PO!$B$4:$B$203,"&lt;="&amp;$C13)</f>
        <v>0</v>
      </c>
      <c r="N13" s="46" t="str">
        <f aca="false">IFERROR($M13/($L13+$M13),"")</f>
        <v/>
      </c>
      <c r="O13" s="45" t="n">
        <f aca="false">COUNTIFS(PO!$Q$4:$Q$203,"&gt;="&amp;$B13,PO!$Q$4:$Q$203,"&lt;="&amp;$C13)</f>
        <v>0</v>
      </c>
      <c r="P13" s="45" t="n">
        <f aca="false">COUNTIFS(PO!$Q$4:$Q$203,"&gt;="&amp;$B13,PO!$Q$4:$Q$203,"&lt;="&amp;$C13,PO!$S$4:$S$203,"Đúng hạn")</f>
        <v>0</v>
      </c>
      <c r="Q13" s="46" t="str">
        <f aca="false">IFERROR($P13/$O13,"")</f>
        <v/>
      </c>
      <c r="R13" s="45" t="n">
        <f aca="false">COUNTIFS(PO!$R$4:$R$203,"&gt;="&amp;$B13,PO!$R$4:$R$203,"&lt;="&amp;$C13,PO!$Y$4:$Y$203,"Đạt")+COUNTIFS(PO!$R$4:$R$203,"&gt;="&amp;$B13,PO!$R$4:$R$203,"&lt;="&amp;$C13,PO!$Y$4:$Y$203,"Không đạt")</f>
        <v>0</v>
      </c>
      <c r="S13" s="45" t="n">
        <f aca="false">COUNTIFS(PO!$R$4:$R$203,"&gt;="&amp;$B13,PO!$R$4:$R$203,"&lt;="&amp;$C13,PO!$Y$4:$Y$203,"Đạt")</f>
        <v>0</v>
      </c>
      <c r="T13" s="46" t="str">
        <f aca="false">IFERROR($S13/$R13,"")</f>
        <v/>
      </c>
      <c r="U13" s="45" t="n">
        <f aca="false">SUMIFS('Thanh toán'!$H$4:$H$203,'Thanh toán'!$B$4:$B$203,"&gt;="&amp;$B13,'Thanh toán'!$B$4:$B$203,"&lt;="&amp;$C13)</f>
        <v>0</v>
      </c>
    </row>
    <row r="14" customFormat="false" ht="15" hidden="false" customHeight="false" outlineLevel="0" collapsed="false">
      <c r="A14" s="43" t="n">
        <f aca="false">ROW()-3</f>
        <v>11</v>
      </c>
      <c r="B14" s="44" t="n">
        <f aca="false">DATE('Tổng quan'!$C$7,$A14,1)</f>
        <v>46327</v>
      </c>
      <c r="C14" s="44" t="n">
        <f aca="false">DATE('Tổng quan'!$C$7,$A14+1,1)-1</f>
        <v>46356</v>
      </c>
      <c r="D14" s="45" t="n">
        <f aca="false">COUNTIFS('Check giá'!$B$4:$B$203,"&gt;="&amp;$B14,'Check giá'!$B$4:$B$203,"&lt;="&amp;$C14)</f>
        <v>0</v>
      </c>
      <c r="E14" s="45" t="n">
        <f aca="false">COUNTIFS('Check giá'!$L$4:$L$203,"&gt;="&amp;$B14,'Check giá'!$L$4:$L$203,"&lt;="&amp;$C14)</f>
        <v>0</v>
      </c>
      <c r="F14" s="45" t="n">
        <f aca="false">COUNTIFS('Check giá'!$L$4:$L$203,"&gt;="&amp;$B14,'Check giá'!$L$4:$L$203,"&lt;="&amp;$C14,'Check giá'!$O$4:$O$203,"Đúng hạn")</f>
        <v>0</v>
      </c>
      <c r="G14" s="46" t="str">
        <f aca="false">IFERROR($F14/$E14,"")</f>
        <v/>
      </c>
      <c r="H14" s="45" t="n">
        <f aca="false">SUMIFS('Check giá'!$J$4:$J$203,'Check giá'!$B$4:$B$203,"&gt;="&amp;$B14,'Check giá'!$B$4:$B$203,"&lt;="&amp;$C14)</f>
        <v>0</v>
      </c>
      <c r="I14" s="45" t="n">
        <f aca="false">COUNTIFS(PR!$B$4:$B$203,"&gt;="&amp;$B14,PR!$B$4:$B$203,"&lt;="&amp;$C14)</f>
        <v>0</v>
      </c>
      <c r="J14" s="45" t="n">
        <f aca="false">SUMIFS(PR!$L$4:$L$203,PR!$B$4:$B$203,"&gt;="&amp;$B14,PR!$B$4:$B$203,"&lt;="&amp;$C14)</f>
        <v>0</v>
      </c>
      <c r="K14" s="45" t="n">
        <f aca="false">COUNTIFS(PO!$B$4:$B$203,"&gt;="&amp;$B14,PO!$B$4:$B$203,"&lt;="&amp;$C14)</f>
        <v>0</v>
      </c>
      <c r="L14" s="45" t="n">
        <f aca="false">SUMIFS(PO!$L$4:$L$203,PO!$B$4:$B$203,"&gt;="&amp;$B14,PO!$B$4:$B$203,"&lt;="&amp;$C14)</f>
        <v>0</v>
      </c>
      <c r="M14" s="45" t="n">
        <f aca="false">SUMIFS(PO!$N$4:$N$203,PO!$B$4:$B$203,"&gt;="&amp;$B14,PO!$B$4:$B$203,"&lt;="&amp;$C14)</f>
        <v>0</v>
      </c>
      <c r="N14" s="46" t="str">
        <f aca="false">IFERROR($M14/($L14+$M14),"")</f>
        <v/>
      </c>
      <c r="O14" s="45" t="n">
        <f aca="false">COUNTIFS(PO!$Q$4:$Q$203,"&gt;="&amp;$B14,PO!$Q$4:$Q$203,"&lt;="&amp;$C14)</f>
        <v>0</v>
      </c>
      <c r="P14" s="45" t="n">
        <f aca="false">COUNTIFS(PO!$Q$4:$Q$203,"&gt;="&amp;$B14,PO!$Q$4:$Q$203,"&lt;="&amp;$C14,PO!$S$4:$S$203,"Đúng hạn")</f>
        <v>0</v>
      </c>
      <c r="Q14" s="46" t="str">
        <f aca="false">IFERROR($P14/$O14,"")</f>
        <v/>
      </c>
      <c r="R14" s="45" t="n">
        <f aca="false">COUNTIFS(PO!$R$4:$R$203,"&gt;="&amp;$B14,PO!$R$4:$R$203,"&lt;="&amp;$C14,PO!$Y$4:$Y$203,"Đạt")+COUNTIFS(PO!$R$4:$R$203,"&gt;="&amp;$B14,PO!$R$4:$R$203,"&lt;="&amp;$C14,PO!$Y$4:$Y$203,"Không đạt")</f>
        <v>0</v>
      </c>
      <c r="S14" s="45" t="n">
        <f aca="false">COUNTIFS(PO!$R$4:$R$203,"&gt;="&amp;$B14,PO!$R$4:$R$203,"&lt;="&amp;$C14,PO!$Y$4:$Y$203,"Đạt")</f>
        <v>0</v>
      </c>
      <c r="T14" s="46" t="str">
        <f aca="false">IFERROR($S14/$R14,"")</f>
        <v/>
      </c>
      <c r="U14" s="45" t="n">
        <f aca="false">SUMIFS('Thanh toán'!$H$4:$H$203,'Thanh toán'!$B$4:$B$203,"&gt;="&amp;$B14,'Thanh toán'!$B$4:$B$203,"&lt;="&amp;$C14)</f>
        <v>0</v>
      </c>
    </row>
    <row r="15" customFormat="false" ht="15" hidden="false" customHeight="false" outlineLevel="0" collapsed="false">
      <c r="A15" s="43" t="n">
        <f aca="false">ROW()-3</f>
        <v>12</v>
      </c>
      <c r="B15" s="44" t="n">
        <f aca="false">DATE('Tổng quan'!$C$7,$A15,1)</f>
        <v>46357</v>
      </c>
      <c r="C15" s="44" t="n">
        <f aca="false">DATE('Tổng quan'!$C$7,$A15+1,1)-1</f>
        <v>46387</v>
      </c>
      <c r="D15" s="45" t="n">
        <f aca="false">COUNTIFS('Check giá'!$B$4:$B$203,"&gt;="&amp;$B15,'Check giá'!$B$4:$B$203,"&lt;="&amp;$C15)</f>
        <v>0</v>
      </c>
      <c r="E15" s="45" t="n">
        <f aca="false">COUNTIFS('Check giá'!$L$4:$L$203,"&gt;="&amp;$B15,'Check giá'!$L$4:$L$203,"&lt;="&amp;$C15)</f>
        <v>0</v>
      </c>
      <c r="F15" s="45" t="n">
        <f aca="false">COUNTIFS('Check giá'!$L$4:$L$203,"&gt;="&amp;$B15,'Check giá'!$L$4:$L$203,"&lt;="&amp;$C15,'Check giá'!$O$4:$O$203,"Đúng hạn")</f>
        <v>0</v>
      </c>
      <c r="G15" s="46" t="str">
        <f aca="false">IFERROR($F15/$E15,"")</f>
        <v/>
      </c>
      <c r="H15" s="45" t="n">
        <f aca="false">SUMIFS('Check giá'!$J$4:$J$203,'Check giá'!$B$4:$B$203,"&gt;="&amp;$B15,'Check giá'!$B$4:$B$203,"&lt;="&amp;$C15)</f>
        <v>0</v>
      </c>
      <c r="I15" s="45" t="n">
        <f aca="false">COUNTIFS(PR!$B$4:$B$203,"&gt;="&amp;$B15,PR!$B$4:$B$203,"&lt;="&amp;$C15)</f>
        <v>0</v>
      </c>
      <c r="J15" s="45" t="n">
        <f aca="false">SUMIFS(PR!$L$4:$L$203,PR!$B$4:$B$203,"&gt;="&amp;$B15,PR!$B$4:$B$203,"&lt;="&amp;$C15)</f>
        <v>0</v>
      </c>
      <c r="K15" s="45" t="n">
        <f aca="false">COUNTIFS(PO!$B$4:$B$203,"&gt;="&amp;$B15,PO!$B$4:$B$203,"&lt;="&amp;$C15)</f>
        <v>0</v>
      </c>
      <c r="L15" s="45" t="n">
        <f aca="false">SUMIFS(PO!$L$4:$L$203,PO!$B$4:$B$203,"&gt;="&amp;$B15,PO!$B$4:$B$203,"&lt;="&amp;$C15)</f>
        <v>0</v>
      </c>
      <c r="M15" s="45" t="n">
        <f aca="false">SUMIFS(PO!$N$4:$N$203,PO!$B$4:$B$203,"&gt;="&amp;$B15,PO!$B$4:$B$203,"&lt;="&amp;$C15)</f>
        <v>0</v>
      </c>
      <c r="N15" s="46" t="str">
        <f aca="false">IFERROR($M15/($L15+$M15),"")</f>
        <v/>
      </c>
      <c r="O15" s="45" t="n">
        <f aca="false">COUNTIFS(PO!$Q$4:$Q$203,"&gt;="&amp;$B15,PO!$Q$4:$Q$203,"&lt;="&amp;$C15)</f>
        <v>0</v>
      </c>
      <c r="P15" s="45" t="n">
        <f aca="false">COUNTIFS(PO!$Q$4:$Q$203,"&gt;="&amp;$B15,PO!$Q$4:$Q$203,"&lt;="&amp;$C15,PO!$S$4:$S$203,"Đúng hạn")</f>
        <v>0</v>
      </c>
      <c r="Q15" s="46" t="str">
        <f aca="false">IFERROR($P15/$O15,"")</f>
        <v/>
      </c>
      <c r="R15" s="45" t="n">
        <f aca="false">COUNTIFS(PO!$R$4:$R$203,"&gt;="&amp;$B15,PO!$R$4:$R$203,"&lt;="&amp;$C15,PO!$Y$4:$Y$203,"Đạt")+COUNTIFS(PO!$R$4:$R$203,"&gt;="&amp;$B15,PO!$R$4:$R$203,"&lt;="&amp;$C15,PO!$Y$4:$Y$203,"Không đạt")</f>
        <v>0</v>
      </c>
      <c r="S15" s="45" t="n">
        <f aca="false">COUNTIFS(PO!$R$4:$R$203,"&gt;="&amp;$B15,PO!$R$4:$R$203,"&lt;="&amp;$C15,PO!$Y$4:$Y$203,"Đạt")</f>
        <v>0</v>
      </c>
      <c r="T15" s="46" t="str">
        <f aca="false">IFERROR($S15/$R15,"")</f>
        <v/>
      </c>
      <c r="U15" s="45" t="n">
        <f aca="false">SUMIFS('Thanh toán'!$H$4:$H$203,'Thanh toán'!$B$4:$B$203,"&gt;="&amp;$B15,'Thanh toán'!$B$4:$B$203,"&lt;="&amp;$C15)</f>
        <v>0</v>
      </c>
    </row>
    <row r="16" customFormat="false" ht="15" hidden="false" customHeight="false" outlineLevel="0" collapsed="false">
      <c r="A16" s="47" t="s">
        <v>323</v>
      </c>
      <c r="B16" s="48"/>
      <c r="C16" s="48"/>
      <c r="D16" s="49" t="n">
        <f aca="false">SUM(D4:D15)</f>
        <v>2</v>
      </c>
      <c r="E16" s="49" t="n">
        <f aca="false">SUM(E4:E15)</f>
        <v>1</v>
      </c>
      <c r="F16" s="49" t="n">
        <f aca="false">SUM(F4:F15)</f>
        <v>1</v>
      </c>
      <c r="G16" s="50" t="n">
        <f aca="false">IFERROR($F16/$E16,"")</f>
        <v>1</v>
      </c>
      <c r="H16" s="49" t="n">
        <f aca="false">SUM(H4:H15)</f>
        <v>1366000000</v>
      </c>
      <c r="I16" s="49" t="n">
        <f aca="false">SUM(I4:I15)</f>
        <v>1</v>
      </c>
      <c r="J16" s="49" t="n">
        <f aca="false">SUM(J4:J15)</f>
        <v>250000000</v>
      </c>
      <c r="K16" s="49" t="n">
        <f aca="false">SUM(K4:K15)</f>
        <v>1</v>
      </c>
      <c r="L16" s="49" t="n">
        <f aca="false">SUM(L4:L15)</f>
        <v>236000000</v>
      </c>
      <c r="M16" s="49" t="n">
        <f aca="false">SUM(M4:M15)</f>
        <v>14000000</v>
      </c>
      <c r="N16" s="50" t="n">
        <f aca="false">IFERROR($M16/($L16+$M16),"")</f>
        <v>0.056</v>
      </c>
      <c r="O16" s="49" t="n">
        <f aca="false">SUM(O4:O15)</f>
        <v>1</v>
      </c>
      <c r="P16" s="49" t="n">
        <f aca="false">SUM(P4:P15)</f>
        <v>0</v>
      </c>
      <c r="Q16" s="50" t="n">
        <f aca="false">IFERROR($P16/$O16,"")</f>
        <v>0</v>
      </c>
      <c r="R16" s="49" t="n">
        <f aca="false">SUM(R4:R15)</f>
        <v>1</v>
      </c>
      <c r="S16" s="49" t="n">
        <f aca="false">SUM(S4:S15)</f>
        <v>1</v>
      </c>
      <c r="T16" s="50" t="n">
        <f aca="false">IFERROR($S16/$R16,"")</f>
        <v>1</v>
      </c>
      <c r="U16" s="49" t="n">
        <f aca="false">SUM(U4:U15)</f>
        <v>180000000</v>
      </c>
    </row>
  </sheetData>
  <conditionalFormatting sqref="G4:G15">
    <cfRule type="expression" priority="2" aboveAverage="0" equalAverage="0" bottom="0" percent="0" rank="0" text="" dxfId="14">
      <formula>AND($E4&gt;0,$G4&lt;0.9)</formula>
    </cfRule>
  </conditionalFormatting>
  <conditionalFormatting sqref="Q4:Q15">
    <cfRule type="expression" priority="3" aboveAverage="0" equalAverage="0" bottom="0" percent="0" rank="0" text="" dxfId="14">
      <formula>AND($O4&gt;0,$Q4&lt;0.9)</formula>
    </cfRule>
  </conditionalFormatting>
  <conditionalFormatting sqref="T4:T15">
    <cfRule type="expression" priority="4" aboveAverage="0" equalAverage="0" bottom="0" percent="0" rank="0" text="" dxfId="14">
      <formula>AND($R4&gt;0,$T4&lt;0.95)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R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9"/>
    <col collapsed="false" customWidth="true" hidden="false" outlineLevel="0" max="5" min="4" style="0" width="12"/>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2" min="10" style="0" width="12"/>
    <col collapsed="false" customWidth="true" hidden="false" outlineLevel="0" max="15" min="13" style="0" width="11"/>
    <col collapsed="false" customWidth="true" hidden="false" outlineLevel="0" max="16" min="16" style="0" width="16"/>
    <col collapsed="false" customWidth="true" hidden="false" outlineLevel="0" max="18" min="17" style="0" width="17"/>
  </cols>
  <sheetData>
    <row r="1" customFormat="false" ht="17.35" hidden="false" customHeight="false" outlineLevel="0" collapsed="false">
      <c r="A1" s="30" t="s">
        <v>324</v>
      </c>
    </row>
    <row r="2" customFormat="false" ht="15" hidden="false" customHeight="false" outlineLevel="0" collapsed="false">
      <c r="A2" s="8" t="s">
        <v>325</v>
      </c>
    </row>
    <row r="3" customFormat="false" ht="33.75" hidden="false" customHeight="true" outlineLevel="0" collapsed="false">
      <c r="A3" s="40" t="s">
        <v>156</v>
      </c>
      <c r="B3" s="40" t="s">
        <v>229</v>
      </c>
      <c r="C3" s="40" t="s">
        <v>326</v>
      </c>
      <c r="D3" s="40" t="s">
        <v>327</v>
      </c>
      <c r="E3" s="40" t="s">
        <v>328</v>
      </c>
      <c r="F3" s="40" t="s">
        <v>329</v>
      </c>
      <c r="G3" s="40" t="s">
        <v>315</v>
      </c>
      <c r="H3" s="40" t="s">
        <v>330</v>
      </c>
      <c r="I3" s="40" t="s">
        <v>331</v>
      </c>
      <c r="J3" s="40" t="s">
        <v>317</v>
      </c>
      <c r="K3" s="40" t="s">
        <v>37</v>
      </c>
      <c r="L3" s="40" t="s">
        <v>318</v>
      </c>
      <c r="M3" s="40" t="s">
        <v>332</v>
      </c>
      <c r="N3" s="40" t="s">
        <v>274</v>
      </c>
      <c r="O3" s="40" t="s">
        <v>275</v>
      </c>
      <c r="P3" s="40" t="s">
        <v>48</v>
      </c>
      <c r="Q3" s="40" t="s">
        <v>333</v>
      </c>
      <c r="R3" s="40" t="s">
        <v>334</v>
      </c>
    </row>
    <row r="4" customFormat="false" ht="15" hidden="false" customHeight="false" outlineLevel="0" collapsed="false">
      <c r="A4" s="37" t="str">
        <f aca="false">IF('Nhà cung cấp'!$A4="","",'Nhà cung cấp'!$A4)</f>
        <v>NCC001</v>
      </c>
      <c r="B4" s="37" t="str">
        <f aca="false">IF($A4="","",'Nhà cung cấp'!$B4)</f>
        <v>Công ty TNHH Thép Việt An</v>
      </c>
      <c r="C4" s="37" t="str">
        <f aca="false">IF($A4="","",'Nhà cung cấp'!$H4)</f>
        <v>A</v>
      </c>
      <c r="D4" s="38" t="n">
        <f aca="false">IF($A4="","",COUNTIFS('Báo giá'!$I$4:$I$203,$A4))</f>
        <v>1</v>
      </c>
      <c r="E4" s="38" t="n">
        <f aca="false">IF($A4="","",COUNTIFS('Báo giá'!$I$4:$I$203,$A4,'Báo giá'!$T$4:$T$203,"x"))</f>
        <v>1</v>
      </c>
      <c r="F4" s="39" t="n">
        <f aca="false">IF($A4="","",IFERROR($E4/$D4,""))</f>
        <v>1</v>
      </c>
      <c r="G4" s="38" t="n">
        <f aca="false">IF($A4="","",COUNTIFS(PO!$H$4:$H$203,$A4))</f>
        <v>1</v>
      </c>
      <c r="H4" s="38" t="n">
        <f aca="false">IF($A4="","",SUMIFS(PO!$L$4:$L$203,PO!$H$4:$H$203,$A4))</f>
        <v>236000000</v>
      </c>
      <c r="I4" s="38" t="n">
        <f aca="false">IF($A4="","",SUMIFS(PO!$N$4:$N$203,PO!$H$4:$H$203,$A4))</f>
        <v>14000000</v>
      </c>
      <c r="J4" s="38" t="n">
        <f aca="false">IF($A4="","",COUNTIFS(PO!$H$4:$H$203,$A4,PO!$S$4:$S$203,"Đúng hạn")+COUNTIFS(PO!$H$4:$H$203,$A4,PO!$S$4:$S$203,"Giao trễ")+COUNTIFS(PO!$H$4:$H$203,$A4,PO!$S$4:$S$203,"Trễ hạn"))</f>
        <v>1</v>
      </c>
      <c r="K4" s="38" t="n">
        <f aca="false">IF($A4="","",COUNTIFS(PO!$H$4:$H$203,$A4,PO!$S$4:$S$203,"Đúng hạn"))</f>
        <v>0</v>
      </c>
      <c r="L4" s="39" t="n">
        <f aca="false">IF($A4="","",IFERROR($K4/$J4,""))</f>
        <v>0</v>
      </c>
      <c r="M4" s="38" t="n">
        <f aca="false">IF($A4="","",SUMIFS(PO!$U$4:$U$203,PO!$H$4:$H$203,$A4))</f>
        <v>200</v>
      </c>
      <c r="N4" s="38" t="n">
        <f aca="false">IF($A4="","",SUMIFS(PO!$V$4:$V$203,PO!$H$4:$H$203,$A4))</f>
        <v>3</v>
      </c>
      <c r="O4" s="39" t="n">
        <f aca="false">IF($A4="","",IFERROR($N4/$M4,""))</f>
        <v>0.015</v>
      </c>
      <c r="P4" s="38" t="n">
        <f aca="false">IF($A4="","",SUMIFS('Thanh toán'!$H$4:$H$203,'Thanh toán'!$E$4:$E$203,$A4))</f>
        <v>180000000</v>
      </c>
      <c r="Q4" s="38" t="n">
        <f aca="false">IF($A4="","",SUMIFS('Công nợ'!$I$4:$I$203,'Công nợ'!$D$4:$D$203,$A4))</f>
        <v>56000000</v>
      </c>
      <c r="R4" s="38" t="n">
        <f aca="false">IF($A4="","",SUMIFS('Công nợ'!$I$4:$I$203,'Công nợ'!$D$4:$D$203,$A4,'Công nợ'!$K$4:$K$203,"&gt;0"))</f>
        <v>56000000</v>
      </c>
    </row>
    <row r="5" customFormat="false" ht="15" hidden="false" customHeight="false" outlineLevel="0" collapsed="false">
      <c r="A5" s="37" t="str">
        <f aca="false">IF('Nhà cung cấp'!$A5="","",'Nhà cung cấp'!$A5)</f>
        <v>NCC002</v>
      </c>
      <c r="B5" s="37" t="str">
        <f aca="false">IF($A5="","",'Nhà cung cấp'!$B5)</f>
        <v>Công ty CP Vật tư Hoàng Long</v>
      </c>
      <c r="C5" s="37" t="str">
        <f aca="false">IF($A5="","",'Nhà cung cấp'!$H5)</f>
        <v>B</v>
      </c>
      <c r="D5" s="38" t="n">
        <f aca="false">IF($A5="","",COUNTIFS('Báo giá'!$I$4:$I$203,$A5))</f>
        <v>1</v>
      </c>
      <c r="E5" s="38" t="n">
        <f aca="false">IF($A5="","",COUNTIFS('Báo giá'!$I$4:$I$203,$A5,'Báo giá'!$T$4:$T$203,"x"))</f>
        <v>0</v>
      </c>
      <c r="F5" s="39" t="n">
        <f aca="false">IF($A5="","",IFERROR($E5/$D5,""))</f>
        <v>0</v>
      </c>
      <c r="G5" s="38" t="n">
        <f aca="false">IF($A5="","",COUNTIFS(PO!$H$4:$H$203,$A5))</f>
        <v>0</v>
      </c>
      <c r="H5" s="38" t="n">
        <f aca="false">IF($A5="","",SUMIFS(PO!$L$4:$L$203,PO!$H$4:$H$203,$A5))</f>
        <v>0</v>
      </c>
      <c r="I5" s="38" t="n">
        <f aca="false">IF($A5="","",SUMIFS(PO!$N$4:$N$203,PO!$H$4:$H$203,$A5))</f>
        <v>0</v>
      </c>
      <c r="J5" s="38" t="n">
        <f aca="false">IF($A5="","",COUNTIFS(PO!$H$4:$H$203,$A5,PO!$S$4:$S$203,"Đúng hạn")+COUNTIFS(PO!$H$4:$H$203,$A5,PO!$S$4:$S$203,"Giao trễ")+COUNTIFS(PO!$H$4:$H$203,$A5,PO!$S$4:$S$203,"Trễ hạn"))</f>
        <v>0</v>
      </c>
      <c r="K5" s="38" t="n">
        <f aca="false">IF($A5="","",COUNTIFS(PO!$H$4:$H$203,$A5,PO!$S$4:$S$203,"Đúng hạn"))</f>
        <v>0</v>
      </c>
      <c r="L5" s="39" t="str">
        <f aca="false">IF($A5="","",IFERROR($K5/$J5,""))</f>
        <v/>
      </c>
      <c r="M5" s="38" t="n">
        <f aca="false">IF($A5="","",SUMIFS(PO!$U$4:$U$203,PO!$H$4:$H$203,$A5))</f>
        <v>0</v>
      </c>
      <c r="N5" s="38" t="n">
        <f aca="false">IF($A5="","",SUMIFS(PO!$V$4:$V$203,PO!$H$4:$H$203,$A5))</f>
        <v>0</v>
      </c>
      <c r="O5" s="39" t="str">
        <f aca="false">IF($A5="","",IFERROR($N5/$M5,""))</f>
        <v/>
      </c>
      <c r="P5" s="38" t="n">
        <f aca="false">IF($A5="","",SUMIFS('Thanh toán'!$H$4:$H$203,'Thanh toán'!$E$4:$E$203,$A5))</f>
        <v>0</v>
      </c>
      <c r="Q5" s="38" t="n">
        <f aca="false">IF($A5="","",SUMIFS('Công nợ'!$I$4:$I$203,'Công nợ'!$D$4:$D$203,$A5))</f>
        <v>0</v>
      </c>
      <c r="R5" s="38" t="n">
        <f aca="false">IF($A5="","",SUMIFS('Công nợ'!$I$4:$I$203,'Công nợ'!$D$4:$D$203,$A5,'Công nợ'!$K$4:$K$203,"&gt;0"))</f>
        <v>0</v>
      </c>
    </row>
    <row r="6" customFormat="false" ht="15" hidden="false" customHeight="false" outlineLevel="0" collapsed="false">
      <c r="A6" s="37" t="str">
        <f aca="false">IF('Nhà cung cấp'!$A6="","",'Nhà cung cấp'!$A6)</f>
        <v>NCC003</v>
      </c>
      <c r="B6" s="37" t="str">
        <f aca="false">IF($A6="","",'Nhà cung cấp'!$B6)</f>
        <v>Công ty TNHH TM Đại Phát</v>
      </c>
      <c r="C6" s="37" t="str">
        <f aca="false">IF($A6="","",'Nhà cung cấp'!$H6)</f>
        <v>B</v>
      </c>
      <c r="D6" s="38" t="n">
        <f aca="false">IF($A6="","",COUNTIFS('Báo giá'!$I$4:$I$203,$A6))</f>
        <v>1</v>
      </c>
      <c r="E6" s="38" t="n">
        <f aca="false">IF($A6="","",COUNTIFS('Báo giá'!$I$4:$I$203,$A6,'Báo giá'!$T$4:$T$203,"x"))</f>
        <v>0</v>
      </c>
      <c r="F6" s="39" t="n">
        <f aca="false">IF($A6="","",IFERROR($E6/$D6,""))</f>
        <v>0</v>
      </c>
      <c r="G6" s="38" t="n">
        <f aca="false">IF($A6="","",COUNTIFS(PO!$H$4:$H$203,$A6))</f>
        <v>0</v>
      </c>
      <c r="H6" s="38" t="n">
        <f aca="false">IF($A6="","",SUMIFS(PO!$L$4:$L$203,PO!$H$4:$H$203,$A6))</f>
        <v>0</v>
      </c>
      <c r="I6" s="38" t="n">
        <f aca="false">IF($A6="","",SUMIFS(PO!$N$4:$N$203,PO!$H$4:$H$203,$A6))</f>
        <v>0</v>
      </c>
      <c r="J6" s="38" t="n">
        <f aca="false">IF($A6="","",COUNTIFS(PO!$H$4:$H$203,$A6,PO!$S$4:$S$203,"Đúng hạn")+COUNTIFS(PO!$H$4:$H$203,$A6,PO!$S$4:$S$203,"Giao trễ")+COUNTIFS(PO!$H$4:$H$203,$A6,PO!$S$4:$S$203,"Trễ hạn"))</f>
        <v>0</v>
      </c>
      <c r="K6" s="38" t="n">
        <f aca="false">IF($A6="","",COUNTIFS(PO!$H$4:$H$203,$A6,PO!$S$4:$S$203,"Đúng hạn"))</f>
        <v>0</v>
      </c>
      <c r="L6" s="39" t="str">
        <f aca="false">IF($A6="","",IFERROR($K6/$J6,""))</f>
        <v/>
      </c>
      <c r="M6" s="38" t="n">
        <f aca="false">IF($A6="","",SUMIFS(PO!$U$4:$U$203,PO!$H$4:$H$203,$A6))</f>
        <v>0</v>
      </c>
      <c r="N6" s="38" t="n">
        <f aca="false">IF($A6="","",SUMIFS(PO!$V$4:$V$203,PO!$H$4:$H$203,$A6))</f>
        <v>0</v>
      </c>
      <c r="O6" s="39" t="str">
        <f aca="false">IF($A6="","",IFERROR($N6/$M6,""))</f>
        <v/>
      </c>
      <c r="P6" s="38" t="n">
        <f aca="false">IF($A6="","",SUMIFS('Thanh toán'!$H$4:$H$203,'Thanh toán'!$E$4:$E$203,$A6))</f>
        <v>0</v>
      </c>
      <c r="Q6" s="38" t="n">
        <f aca="false">IF($A6="","",SUMIFS('Công nợ'!$I$4:$I$203,'Công nợ'!$D$4:$D$203,$A6))</f>
        <v>0</v>
      </c>
      <c r="R6" s="38" t="n">
        <f aca="false">IF($A6="","",SUMIFS('Công nợ'!$I$4:$I$203,'Công nợ'!$D$4:$D$203,$A6,'Công nợ'!$K$4:$K$203,"&gt;0"))</f>
        <v>0</v>
      </c>
    </row>
    <row r="7" customFormat="false" ht="15" hidden="false" customHeight="false" outlineLevel="0" collapsed="false">
      <c r="A7" s="37" t="str">
        <f aca="false">IF('Nhà cung cấp'!$A7="","",'Nhà cung cấp'!$A7)</f>
        <v/>
      </c>
      <c r="B7" s="37" t="str">
        <f aca="false">IF($A7="","",'Nhà cung cấp'!$B7)</f>
        <v/>
      </c>
      <c r="C7" s="37" t="str">
        <f aca="false">IF($A7="","",'Nhà cung cấp'!$H7)</f>
        <v/>
      </c>
      <c r="D7" s="38" t="str">
        <f aca="false">IF($A7="","",COUNTIFS('Báo giá'!$I$4:$I$203,$A7))</f>
        <v/>
      </c>
      <c r="E7" s="38" t="str">
        <f aca="false">IF($A7="","",COUNTIFS('Báo giá'!$I$4:$I$203,$A7,'Báo giá'!$T$4:$T$203,"x"))</f>
        <v/>
      </c>
      <c r="F7" s="39" t="str">
        <f aca="false">IF($A7="","",IFERROR($E7/$D7,""))</f>
        <v/>
      </c>
      <c r="G7" s="38" t="str">
        <f aca="false">IF($A7="","",COUNTIFS(PO!$H$4:$H$203,$A7))</f>
        <v/>
      </c>
      <c r="H7" s="38" t="str">
        <f aca="false">IF($A7="","",SUMIFS(PO!$L$4:$L$203,PO!$H$4:$H$203,$A7))</f>
        <v/>
      </c>
      <c r="I7" s="38" t="str">
        <f aca="false">IF($A7="","",SUMIFS(PO!$N$4:$N$203,PO!$H$4:$H$203,$A7))</f>
        <v/>
      </c>
      <c r="J7" s="38" t="str">
        <f aca="false">IF($A7="","",COUNTIFS(PO!$H$4:$H$203,$A7,PO!$S$4:$S$203,"Đúng hạn")+COUNTIFS(PO!$H$4:$H$203,$A7,PO!$S$4:$S$203,"Giao trễ")+COUNTIFS(PO!$H$4:$H$203,$A7,PO!$S$4:$S$203,"Trễ hạn"))</f>
        <v/>
      </c>
      <c r="K7" s="38" t="str">
        <f aca="false">IF($A7="","",COUNTIFS(PO!$H$4:$H$203,$A7,PO!$S$4:$S$203,"Đúng hạn"))</f>
        <v/>
      </c>
      <c r="L7" s="39" t="str">
        <f aca="false">IF($A7="","",IFERROR($K7/$J7,""))</f>
        <v/>
      </c>
      <c r="M7" s="38" t="str">
        <f aca="false">IF($A7="","",SUMIFS(PO!$U$4:$U$203,PO!$H$4:$H$203,$A7))</f>
        <v/>
      </c>
      <c r="N7" s="38" t="str">
        <f aca="false">IF($A7="","",SUMIFS(PO!$V$4:$V$203,PO!$H$4:$H$203,$A7))</f>
        <v/>
      </c>
      <c r="O7" s="39" t="str">
        <f aca="false">IF($A7="","",IFERROR($N7/$M7,""))</f>
        <v/>
      </c>
      <c r="P7" s="38" t="str">
        <f aca="false">IF($A7="","",SUMIFS('Thanh toán'!$H$4:$H$203,'Thanh toán'!$E$4:$E$203,$A7))</f>
        <v/>
      </c>
      <c r="Q7" s="38" t="str">
        <f aca="false">IF($A7="","",SUMIFS('Công nợ'!$I$4:$I$203,'Công nợ'!$D$4:$D$203,$A7))</f>
        <v/>
      </c>
      <c r="R7" s="38" t="str">
        <f aca="false">IF($A7="","",SUMIFS('Công nợ'!$I$4:$I$203,'Công nợ'!$D$4:$D$203,$A7,'Công nợ'!$K$4:$K$203,"&gt;0"))</f>
        <v/>
      </c>
    </row>
    <row r="8" customFormat="false" ht="15" hidden="false" customHeight="false" outlineLevel="0" collapsed="false">
      <c r="A8" s="37" t="str">
        <f aca="false">IF('Nhà cung cấp'!$A8="","",'Nhà cung cấp'!$A8)</f>
        <v/>
      </c>
      <c r="B8" s="37" t="str">
        <f aca="false">IF($A8="","",'Nhà cung cấp'!$B8)</f>
        <v/>
      </c>
      <c r="C8" s="37" t="str">
        <f aca="false">IF($A8="","",'Nhà cung cấp'!$H8)</f>
        <v/>
      </c>
      <c r="D8" s="38" t="str">
        <f aca="false">IF($A8="","",COUNTIFS('Báo giá'!$I$4:$I$203,$A8))</f>
        <v/>
      </c>
      <c r="E8" s="38" t="str">
        <f aca="false">IF($A8="","",COUNTIFS('Báo giá'!$I$4:$I$203,$A8,'Báo giá'!$T$4:$T$203,"x"))</f>
        <v/>
      </c>
      <c r="F8" s="39" t="str">
        <f aca="false">IF($A8="","",IFERROR($E8/$D8,""))</f>
        <v/>
      </c>
      <c r="G8" s="38" t="str">
        <f aca="false">IF($A8="","",COUNTIFS(PO!$H$4:$H$203,$A8))</f>
        <v/>
      </c>
      <c r="H8" s="38" t="str">
        <f aca="false">IF($A8="","",SUMIFS(PO!$L$4:$L$203,PO!$H$4:$H$203,$A8))</f>
        <v/>
      </c>
      <c r="I8" s="38" t="str">
        <f aca="false">IF($A8="","",SUMIFS(PO!$N$4:$N$203,PO!$H$4:$H$203,$A8))</f>
        <v/>
      </c>
      <c r="J8" s="38" t="str">
        <f aca="false">IF($A8="","",COUNTIFS(PO!$H$4:$H$203,$A8,PO!$S$4:$S$203,"Đúng hạn")+COUNTIFS(PO!$H$4:$H$203,$A8,PO!$S$4:$S$203,"Giao trễ")+COUNTIFS(PO!$H$4:$H$203,$A8,PO!$S$4:$S$203,"Trễ hạn"))</f>
        <v/>
      </c>
      <c r="K8" s="38" t="str">
        <f aca="false">IF($A8="","",COUNTIFS(PO!$H$4:$H$203,$A8,PO!$S$4:$S$203,"Đúng hạn"))</f>
        <v/>
      </c>
      <c r="L8" s="39" t="str">
        <f aca="false">IF($A8="","",IFERROR($K8/$J8,""))</f>
        <v/>
      </c>
      <c r="M8" s="38" t="str">
        <f aca="false">IF($A8="","",SUMIFS(PO!$U$4:$U$203,PO!$H$4:$H$203,$A8))</f>
        <v/>
      </c>
      <c r="N8" s="38" t="str">
        <f aca="false">IF($A8="","",SUMIFS(PO!$V$4:$V$203,PO!$H$4:$H$203,$A8))</f>
        <v/>
      </c>
      <c r="O8" s="39" t="str">
        <f aca="false">IF($A8="","",IFERROR($N8/$M8,""))</f>
        <v/>
      </c>
      <c r="P8" s="38" t="str">
        <f aca="false">IF($A8="","",SUMIFS('Thanh toán'!$H$4:$H$203,'Thanh toán'!$E$4:$E$203,$A8))</f>
        <v/>
      </c>
      <c r="Q8" s="38" t="str">
        <f aca="false">IF($A8="","",SUMIFS('Công nợ'!$I$4:$I$203,'Công nợ'!$D$4:$D$203,$A8))</f>
        <v/>
      </c>
      <c r="R8" s="38" t="str">
        <f aca="false">IF($A8="","",SUMIFS('Công nợ'!$I$4:$I$203,'Công nợ'!$D$4:$D$203,$A8,'Công nợ'!$K$4:$K$203,"&gt;0"))</f>
        <v/>
      </c>
    </row>
    <row r="9" customFormat="false" ht="15" hidden="false" customHeight="false" outlineLevel="0" collapsed="false">
      <c r="A9" s="37" t="str">
        <f aca="false">IF('Nhà cung cấp'!$A9="","",'Nhà cung cấp'!$A9)</f>
        <v/>
      </c>
      <c r="B9" s="37" t="str">
        <f aca="false">IF($A9="","",'Nhà cung cấp'!$B9)</f>
        <v/>
      </c>
      <c r="C9" s="37" t="str">
        <f aca="false">IF($A9="","",'Nhà cung cấp'!$H9)</f>
        <v/>
      </c>
      <c r="D9" s="38" t="str">
        <f aca="false">IF($A9="","",COUNTIFS('Báo giá'!$I$4:$I$203,$A9))</f>
        <v/>
      </c>
      <c r="E9" s="38" t="str">
        <f aca="false">IF($A9="","",COUNTIFS('Báo giá'!$I$4:$I$203,$A9,'Báo giá'!$T$4:$T$203,"x"))</f>
        <v/>
      </c>
      <c r="F9" s="39" t="str">
        <f aca="false">IF($A9="","",IFERROR($E9/$D9,""))</f>
        <v/>
      </c>
      <c r="G9" s="38" t="str">
        <f aca="false">IF($A9="","",COUNTIFS(PO!$H$4:$H$203,$A9))</f>
        <v/>
      </c>
      <c r="H9" s="38" t="str">
        <f aca="false">IF($A9="","",SUMIFS(PO!$L$4:$L$203,PO!$H$4:$H$203,$A9))</f>
        <v/>
      </c>
      <c r="I9" s="38" t="str">
        <f aca="false">IF($A9="","",SUMIFS(PO!$N$4:$N$203,PO!$H$4:$H$203,$A9))</f>
        <v/>
      </c>
      <c r="J9" s="38" t="str">
        <f aca="false">IF($A9="","",COUNTIFS(PO!$H$4:$H$203,$A9,PO!$S$4:$S$203,"Đúng hạn")+COUNTIFS(PO!$H$4:$H$203,$A9,PO!$S$4:$S$203,"Giao trễ")+COUNTIFS(PO!$H$4:$H$203,$A9,PO!$S$4:$S$203,"Trễ hạn"))</f>
        <v/>
      </c>
      <c r="K9" s="38" t="str">
        <f aca="false">IF($A9="","",COUNTIFS(PO!$H$4:$H$203,$A9,PO!$S$4:$S$203,"Đúng hạn"))</f>
        <v/>
      </c>
      <c r="L9" s="39" t="str">
        <f aca="false">IF($A9="","",IFERROR($K9/$J9,""))</f>
        <v/>
      </c>
      <c r="M9" s="38" t="str">
        <f aca="false">IF($A9="","",SUMIFS(PO!$U$4:$U$203,PO!$H$4:$H$203,$A9))</f>
        <v/>
      </c>
      <c r="N9" s="38" t="str">
        <f aca="false">IF($A9="","",SUMIFS(PO!$V$4:$V$203,PO!$H$4:$H$203,$A9))</f>
        <v/>
      </c>
      <c r="O9" s="39" t="str">
        <f aca="false">IF($A9="","",IFERROR($N9/$M9,""))</f>
        <v/>
      </c>
      <c r="P9" s="38" t="str">
        <f aca="false">IF($A9="","",SUMIFS('Thanh toán'!$H$4:$H$203,'Thanh toán'!$E$4:$E$203,$A9))</f>
        <v/>
      </c>
      <c r="Q9" s="38" t="str">
        <f aca="false">IF($A9="","",SUMIFS('Công nợ'!$I$4:$I$203,'Công nợ'!$D$4:$D$203,$A9))</f>
        <v/>
      </c>
      <c r="R9" s="38" t="str">
        <f aca="false">IF($A9="","",SUMIFS('Công nợ'!$I$4:$I$203,'Công nợ'!$D$4:$D$203,$A9,'Công nợ'!$K$4:$K$203,"&gt;0"))</f>
        <v/>
      </c>
    </row>
    <row r="10" customFormat="false" ht="15" hidden="false" customHeight="false" outlineLevel="0" collapsed="false">
      <c r="A10" s="37" t="str">
        <f aca="false">IF('Nhà cung cấp'!$A10="","",'Nhà cung cấp'!$A10)</f>
        <v/>
      </c>
      <c r="B10" s="37" t="str">
        <f aca="false">IF($A10="","",'Nhà cung cấp'!$B10)</f>
        <v/>
      </c>
      <c r="C10" s="37" t="str">
        <f aca="false">IF($A10="","",'Nhà cung cấp'!$H10)</f>
        <v/>
      </c>
      <c r="D10" s="38" t="str">
        <f aca="false">IF($A10="","",COUNTIFS('Báo giá'!$I$4:$I$203,$A10))</f>
        <v/>
      </c>
      <c r="E10" s="38" t="str">
        <f aca="false">IF($A10="","",COUNTIFS('Báo giá'!$I$4:$I$203,$A10,'Báo giá'!$T$4:$T$203,"x"))</f>
        <v/>
      </c>
      <c r="F10" s="39" t="str">
        <f aca="false">IF($A10="","",IFERROR($E10/$D10,""))</f>
        <v/>
      </c>
      <c r="G10" s="38" t="str">
        <f aca="false">IF($A10="","",COUNTIFS(PO!$H$4:$H$203,$A10))</f>
        <v/>
      </c>
      <c r="H10" s="38" t="str">
        <f aca="false">IF($A10="","",SUMIFS(PO!$L$4:$L$203,PO!$H$4:$H$203,$A10))</f>
        <v/>
      </c>
      <c r="I10" s="38" t="str">
        <f aca="false">IF($A10="","",SUMIFS(PO!$N$4:$N$203,PO!$H$4:$H$203,$A10))</f>
        <v/>
      </c>
      <c r="J10" s="38" t="str">
        <f aca="false">IF($A10="","",COUNTIFS(PO!$H$4:$H$203,$A10,PO!$S$4:$S$203,"Đúng hạn")+COUNTIFS(PO!$H$4:$H$203,$A10,PO!$S$4:$S$203,"Giao trễ")+COUNTIFS(PO!$H$4:$H$203,$A10,PO!$S$4:$S$203,"Trễ hạn"))</f>
        <v/>
      </c>
      <c r="K10" s="38" t="str">
        <f aca="false">IF($A10="","",COUNTIFS(PO!$H$4:$H$203,$A10,PO!$S$4:$S$203,"Đúng hạn"))</f>
        <v/>
      </c>
      <c r="L10" s="39" t="str">
        <f aca="false">IF($A10="","",IFERROR($K10/$J10,""))</f>
        <v/>
      </c>
      <c r="M10" s="38" t="str">
        <f aca="false">IF($A10="","",SUMIFS(PO!$U$4:$U$203,PO!$H$4:$H$203,$A10))</f>
        <v/>
      </c>
      <c r="N10" s="38" t="str">
        <f aca="false">IF($A10="","",SUMIFS(PO!$V$4:$V$203,PO!$H$4:$H$203,$A10))</f>
        <v/>
      </c>
      <c r="O10" s="39" t="str">
        <f aca="false">IF($A10="","",IFERROR($N10/$M10,""))</f>
        <v/>
      </c>
      <c r="P10" s="38" t="str">
        <f aca="false">IF($A10="","",SUMIFS('Thanh toán'!$H$4:$H$203,'Thanh toán'!$E$4:$E$203,$A10))</f>
        <v/>
      </c>
      <c r="Q10" s="38" t="str">
        <f aca="false">IF($A10="","",SUMIFS('Công nợ'!$I$4:$I$203,'Công nợ'!$D$4:$D$203,$A10))</f>
        <v/>
      </c>
      <c r="R10" s="38" t="str">
        <f aca="false">IF($A10="","",SUMIFS('Công nợ'!$I$4:$I$203,'Công nợ'!$D$4:$D$203,$A10,'Công nợ'!$K$4:$K$203,"&gt;0"))</f>
        <v/>
      </c>
    </row>
    <row r="11" customFormat="false" ht="15" hidden="false" customHeight="false" outlineLevel="0" collapsed="false">
      <c r="A11" s="37" t="str">
        <f aca="false">IF('Nhà cung cấp'!$A11="","",'Nhà cung cấp'!$A11)</f>
        <v/>
      </c>
      <c r="B11" s="37" t="str">
        <f aca="false">IF($A11="","",'Nhà cung cấp'!$B11)</f>
        <v/>
      </c>
      <c r="C11" s="37" t="str">
        <f aca="false">IF($A11="","",'Nhà cung cấp'!$H11)</f>
        <v/>
      </c>
      <c r="D11" s="38" t="str">
        <f aca="false">IF($A11="","",COUNTIFS('Báo giá'!$I$4:$I$203,$A11))</f>
        <v/>
      </c>
      <c r="E11" s="38" t="str">
        <f aca="false">IF($A11="","",COUNTIFS('Báo giá'!$I$4:$I$203,$A11,'Báo giá'!$T$4:$T$203,"x"))</f>
        <v/>
      </c>
      <c r="F11" s="39" t="str">
        <f aca="false">IF($A11="","",IFERROR($E11/$D11,""))</f>
        <v/>
      </c>
      <c r="G11" s="38" t="str">
        <f aca="false">IF($A11="","",COUNTIFS(PO!$H$4:$H$203,$A11))</f>
        <v/>
      </c>
      <c r="H11" s="38" t="str">
        <f aca="false">IF($A11="","",SUMIFS(PO!$L$4:$L$203,PO!$H$4:$H$203,$A11))</f>
        <v/>
      </c>
      <c r="I11" s="38" t="str">
        <f aca="false">IF($A11="","",SUMIFS(PO!$N$4:$N$203,PO!$H$4:$H$203,$A11))</f>
        <v/>
      </c>
      <c r="J11" s="38" t="str">
        <f aca="false">IF($A11="","",COUNTIFS(PO!$H$4:$H$203,$A11,PO!$S$4:$S$203,"Đúng hạn")+COUNTIFS(PO!$H$4:$H$203,$A11,PO!$S$4:$S$203,"Giao trễ")+COUNTIFS(PO!$H$4:$H$203,$A11,PO!$S$4:$S$203,"Trễ hạn"))</f>
        <v/>
      </c>
      <c r="K11" s="38" t="str">
        <f aca="false">IF($A11="","",COUNTIFS(PO!$H$4:$H$203,$A11,PO!$S$4:$S$203,"Đúng hạn"))</f>
        <v/>
      </c>
      <c r="L11" s="39" t="str">
        <f aca="false">IF($A11="","",IFERROR($K11/$J11,""))</f>
        <v/>
      </c>
      <c r="M11" s="38" t="str">
        <f aca="false">IF($A11="","",SUMIFS(PO!$U$4:$U$203,PO!$H$4:$H$203,$A11))</f>
        <v/>
      </c>
      <c r="N11" s="38" t="str">
        <f aca="false">IF($A11="","",SUMIFS(PO!$V$4:$V$203,PO!$H$4:$H$203,$A11))</f>
        <v/>
      </c>
      <c r="O11" s="39" t="str">
        <f aca="false">IF($A11="","",IFERROR($N11/$M11,""))</f>
        <v/>
      </c>
      <c r="P11" s="38" t="str">
        <f aca="false">IF($A11="","",SUMIFS('Thanh toán'!$H$4:$H$203,'Thanh toán'!$E$4:$E$203,$A11))</f>
        <v/>
      </c>
      <c r="Q11" s="38" t="str">
        <f aca="false">IF($A11="","",SUMIFS('Công nợ'!$I$4:$I$203,'Công nợ'!$D$4:$D$203,$A11))</f>
        <v/>
      </c>
      <c r="R11" s="38" t="str">
        <f aca="false">IF($A11="","",SUMIFS('Công nợ'!$I$4:$I$203,'Công nợ'!$D$4:$D$203,$A11,'Công nợ'!$K$4:$K$203,"&gt;0"))</f>
        <v/>
      </c>
    </row>
    <row r="12" customFormat="false" ht="15" hidden="false" customHeight="false" outlineLevel="0" collapsed="false">
      <c r="A12" s="37" t="str">
        <f aca="false">IF('Nhà cung cấp'!$A12="","",'Nhà cung cấp'!$A12)</f>
        <v/>
      </c>
      <c r="B12" s="37" t="str">
        <f aca="false">IF($A12="","",'Nhà cung cấp'!$B12)</f>
        <v/>
      </c>
      <c r="C12" s="37" t="str">
        <f aca="false">IF($A12="","",'Nhà cung cấp'!$H12)</f>
        <v/>
      </c>
      <c r="D12" s="38" t="str">
        <f aca="false">IF($A12="","",COUNTIFS('Báo giá'!$I$4:$I$203,$A12))</f>
        <v/>
      </c>
      <c r="E12" s="38" t="str">
        <f aca="false">IF($A12="","",COUNTIFS('Báo giá'!$I$4:$I$203,$A12,'Báo giá'!$T$4:$T$203,"x"))</f>
        <v/>
      </c>
      <c r="F12" s="39" t="str">
        <f aca="false">IF($A12="","",IFERROR($E12/$D12,""))</f>
        <v/>
      </c>
      <c r="G12" s="38" t="str">
        <f aca="false">IF($A12="","",COUNTIFS(PO!$H$4:$H$203,$A12))</f>
        <v/>
      </c>
      <c r="H12" s="38" t="str">
        <f aca="false">IF($A12="","",SUMIFS(PO!$L$4:$L$203,PO!$H$4:$H$203,$A12))</f>
        <v/>
      </c>
      <c r="I12" s="38" t="str">
        <f aca="false">IF($A12="","",SUMIFS(PO!$N$4:$N$203,PO!$H$4:$H$203,$A12))</f>
        <v/>
      </c>
      <c r="J12" s="38" t="str">
        <f aca="false">IF($A12="","",COUNTIFS(PO!$H$4:$H$203,$A12,PO!$S$4:$S$203,"Đúng hạn")+COUNTIFS(PO!$H$4:$H$203,$A12,PO!$S$4:$S$203,"Giao trễ")+COUNTIFS(PO!$H$4:$H$203,$A12,PO!$S$4:$S$203,"Trễ hạn"))</f>
        <v/>
      </c>
      <c r="K12" s="38" t="str">
        <f aca="false">IF($A12="","",COUNTIFS(PO!$H$4:$H$203,$A12,PO!$S$4:$S$203,"Đúng hạn"))</f>
        <v/>
      </c>
      <c r="L12" s="39" t="str">
        <f aca="false">IF($A12="","",IFERROR($K12/$J12,""))</f>
        <v/>
      </c>
      <c r="M12" s="38" t="str">
        <f aca="false">IF($A12="","",SUMIFS(PO!$U$4:$U$203,PO!$H$4:$H$203,$A12))</f>
        <v/>
      </c>
      <c r="N12" s="38" t="str">
        <f aca="false">IF($A12="","",SUMIFS(PO!$V$4:$V$203,PO!$H$4:$H$203,$A12))</f>
        <v/>
      </c>
      <c r="O12" s="39" t="str">
        <f aca="false">IF($A12="","",IFERROR($N12/$M12,""))</f>
        <v/>
      </c>
      <c r="P12" s="38" t="str">
        <f aca="false">IF($A12="","",SUMIFS('Thanh toán'!$H$4:$H$203,'Thanh toán'!$E$4:$E$203,$A12))</f>
        <v/>
      </c>
      <c r="Q12" s="38" t="str">
        <f aca="false">IF($A12="","",SUMIFS('Công nợ'!$I$4:$I$203,'Công nợ'!$D$4:$D$203,$A12))</f>
        <v/>
      </c>
      <c r="R12" s="38" t="str">
        <f aca="false">IF($A12="","",SUMIFS('Công nợ'!$I$4:$I$203,'Công nợ'!$D$4:$D$203,$A12,'Công nợ'!$K$4:$K$203,"&gt;0"))</f>
        <v/>
      </c>
    </row>
    <row r="13" customFormat="false" ht="15" hidden="false" customHeight="false" outlineLevel="0" collapsed="false">
      <c r="A13" s="37" t="str">
        <f aca="false">IF('Nhà cung cấp'!$A13="","",'Nhà cung cấp'!$A13)</f>
        <v/>
      </c>
      <c r="B13" s="37" t="str">
        <f aca="false">IF($A13="","",'Nhà cung cấp'!$B13)</f>
        <v/>
      </c>
      <c r="C13" s="37" t="str">
        <f aca="false">IF($A13="","",'Nhà cung cấp'!$H13)</f>
        <v/>
      </c>
      <c r="D13" s="38" t="str">
        <f aca="false">IF($A13="","",COUNTIFS('Báo giá'!$I$4:$I$203,$A13))</f>
        <v/>
      </c>
      <c r="E13" s="38" t="str">
        <f aca="false">IF($A13="","",COUNTIFS('Báo giá'!$I$4:$I$203,$A13,'Báo giá'!$T$4:$T$203,"x"))</f>
        <v/>
      </c>
      <c r="F13" s="39" t="str">
        <f aca="false">IF($A13="","",IFERROR($E13/$D13,""))</f>
        <v/>
      </c>
      <c r="G13" s="38" t="str">
        <f aca="false">IF($A13="","",COUNTIFS(PO!$H$4:$H$203,$A13))</f>
        <v/>
      </c>
      <c r="H13" s="38" t="str">
        <f aca="false">IF($A13="","",SUMIFS(PO!$L$4:$L$203,PO!$H$4:$H$203,$A13))</f>
        <v/>
      </c>
      <c r="I13" s="38" t="str">
        <f aca="false">IF($A13="","",SUMIFS(PO!$N$4:$N$203,PO!$H$4:$H$203,$A13))</f>
        <v/>
      </c>
      <c r="J13" s="38" t="str">
        <f aca="false">IF($A13="","",COUNTIFS(PO!$H$4:$H$203,$A13,PO!$S$4:$S$203,"Đúng hạn")+COUNTIFS(PO!$H$4:$H$203,$A13,PO!$S$4:$S$203,"Giao trễ")+COUNTIFS(PO!$H$4:$H$203,$A13,PO!$S$4:$S$203,"Trễ hạn"))</f>
        <v/>
      </c>
      <c r="K13" s="38" t="str">
        <f aca="false">IF($A13="","",COUNTIFS(PO!$H$4:$H$203,$A13,PO!$S$4:$S$203,"Đúng hạn"))</f>
        <v/>
      </c>
      <c r="L13" s="39" t="str">
        <f aca="false">IF($A13="","",IFERROR($K13/$J13,""))</f>
        <v/>
      </c>
      <c r="M13" s="38" t="str">
        <f aca="false">IF($A13="","",SUMIFS(PO!$U$4:$U$203,PO!$H$4:$H$203,$A13))</f>
        <v/>
      </c>
      <c r="N13" s="38" t="str">
        <f aca="false">IF($A13="","",SUMIFS(PO!$V$4:$V$203,PO!$H$4:$H$203,$A13))</f>
        <v/>
      </c>
      <c r="O13" s="39" t="str">
        <f aca="false">IF($A13="","",IFERROR($N13/$M13,""))</f>
        <v/>
      </c>
      <c r="P13" s="38" t="str">
        <f aca="false">IF($A13="","",SUMIFS('Thanh toán'!$H$4:$H$203,'Thanh toán'!$E$4:$E$203,$A13))</f>
        <v/>
      </c>
      <c r="Q13" s="38" t="str">
        <f aca="false">IF($A13="","",SUMIFS('Công nợ'!$I$4:$I$203,'Công nợ'!$D$4:$D$203,$A13))</f>
        <v/>
      </c>
      <c r="R13" s="38" t="str">
        <f aca="false">IF($A13="","",SUMIFS('Công nợ'!$I$4:$I$203,'Công nợ'!$D$4:$D$203,$A13,'Công nợ'!$K$4:$K$203,"&gt;0"))</f>
        <v/>
      </c>
    </row>
    <row r="14" customFormat="false" ht="15" hidden="false" customHeight="false" outlineLevel="0" collapsed="false">
      <c r="A14" s="37" t="str">
        <f aca="false">IF('Nhà cung cấp'!$A14="","",'Nhà cung cấp'!$A14)</f>
        <v/>
      </c>
      <c r="B14" s="37" t="str">
        <f aca="false">IF($A14="","",'Nhà cung cấp'!$B14)</f>
        <v/>
      </c>
      <c r="C14" s="37" t="str">
        <f aca="false">IF($A14="","",'Nhà cung cấp'!$H14)</f>
        <v/>
      </c>
      <c r="D14" s="38" t="str">
        <f aca="false">IF($A14="","",COUNTIFS('Báo giá'!$I$4:$I$203,$A14))</f>
        <v/>
      </c>
      <c r="E14" s="38" t="str">
        <f aca="false">IF($A14="","",COUNTIFS('Báo giá'!$I$4:$I$203,$A14,'Báo giá'!$T$4:$T$203,"x"))</f>
        <v/>
      </c>
      <c r="F14" s="39" t="str">
        <f aca="false">IF($A14="","",IFERROR($E14/$D14,""))</f>
        <v/>
      </c>
      <c r="G14" s="38" t="str">
        <f aca="false">IF($A14="","",COUNTIFS(PO!$H$4:$H$203,$A14))</f>
        <v/>
      </c>
      <c r="H14" s="38" t="str">
        <f aca="false">IF($A14="","",SUMIFS(PO!$L$4:$L$203,PO!$H$4:$H$203,$A14))</f>
        <v/>
      </c>
      <c r="I14" s="38" t="str">
        <f aca="false">IF($A14="","",SUMIFS(PO!$N$4:$N$203,PO!$H$4:$H$203,$A14))</f>
        <v/>
      </c>
      <c r="J14" s="38" t="str">
        <f aca="false">IF($A14="","",COUNTIFS(PO!$H$4:$H$203,$A14,PO!$S$4:$S$203,"Đúng hạn")+COUNTIFS(PO!$H$4:$H$203,$A14,PO!$S$4:$S$203,"Giao trễ")+COUNTIFS(PO!$H$4:$H$203,$A14,PO!$S$4:$S$203,"Trễ hạn"))</f>
        <v/>
      </c>
      <c r="K14" s="38" t="str">
        <f aca="false">IF($A14="","",COUNTIFS(PO!$H$4:$H$203,$A14,PO!$S$4:$S$203,"Đúng hạn"))</f>
        <v/>
      </c>
      <c r="L14" s="39" t="str">
        <f aca="false">IF($A14="","",IFERROR($K14/$J14,""))</f>
        <v/>
      </c>
      <c r="M14" s="38" t="str">
        <f aca="false">IF($A14="","",SUMIFS(PO!$U$4:$U$203,PO!$H$4:$H$203,$A14))</f>
        <v/>
      </c>
      <c r="N14" s="38" t="str">
        <f aca="false">IF($A14="","",SUMIFS(PO!$V$4:$V$203,PO!$H$4:$H$203,$A14))</f>
        <v/>
      </c>
      <c r="O14" s="39" t="str">
        <f aca="false">IF($A14="","",IFERROR($N14/$M14,""))</f>
        <v/>
      </c>
      <c r="P14" s="38" t="str">
        <f aca="false">IF($A14="","",SUMIFS('Thanh toán'!$H$4:$H$203,'Thanh toán'!$E$4:$E$203,$A14))</f>
        <v/>
      </c>
      <c r="Q14" s="38" t="str">
        <f aca="false">IF($A14="","",SUMIFS('Công nợ'!$I$4:$I$203,'Công nợ'!$D$4:$D$203,$A14))</f>
        <v/>
      </c>
      <c r="R14" s="38" t="str">
        <f aca="false">IF($A14="","",SUMIFS('Công nợ'!$I$4:$I$203,'Công nợ'!$D$4:$D$203,$A14,'Công nợ'!$K$4:$K$203,"&gt;0"))</f>
        <v/>
      </c>
    </row>
    <row r="15" customFormat="false" ht="15" hidden="false" customHeight="false" outlineLevel="0" collapsed="false">
      <c r="A15" s="37" t="str">
        <f aca="false">IF('Nhà cung cấp'!$A15="","",'Nhà cung cấp'!$A15)</f>
        <v/>
      </c>
      <c r="B15" s="37" t="str">
        <f aca="false">IF($A15="","",'Nhà cung cấp'!$B15)</f>
        <v/>
      </c>
      <c r="C15" s="37" t="str">
        <f aca="false">IF($A15="","",'Nhà cung cấp'!$H15)</f>
        <v/>
      </c>
      <c r="D15" s="38" t="str">
        <f aca="false">IF($A15="","",COUNTIFS('Báo giá'!$I$4:$I$203,$A15))</f>
        <v/>
      </c>
      <c r="E15" s="38" t="str">
        <f aca="false">IF($A15="","",COUNTIFS('Báo giá'!$I$4:$I$203,$A15,'Báo giá'!$T$4:$T$203,"x"))</f>
        <v/>
      </c>
      <c r="F15" s="39" t="str">
        <f aca="false">IF($A15="","",IFERROR($E15/$D15,""))</f>
        <v/>
      </c>
      <c r="G15" s="38" t="str">
        <f aca="false">IF($A15="","",COUNTIFS(PO!$H$4:$H$203,$A15))</f>
        <v/>
      </c>
      <c r="H15" s="38" t="str">
        <f aca="false">IF($A15="","",SUMIFS(PO!$L$4:$L$203,PO!$H$4:$H$203,$A15))</f>
        <v/>
      </c>
      <c r="I15" s="38" t="str">
        <f aca="false">IF($A15="","",SUMIFS(PO!$N$4:$N$203,PO!$H$4:$H$203,$A15))</f>
        <v/>
      </c>
      <c r="J15" s="38" t="str">
        <f aca="false">IF($A15="","",COUNTIFS(PO!$H$4:$H$203,$A15,PO!$S$4:$S$203,"Đúng hạn")+COUNTIFS(PO!$H$4:$H$203,$A15,PO!$S$4:$S$203,"Giao trễ")+COUNTIFS(PO!$H$4:$H$203,$A15,PO!$S$4:$S$203,"Trễ hạn"))</f>
        <v/>
      </c>
      <c r="K15" s="38" t="str">
        <f aca="false">IF($A15="","",COUNTIFS(PO!$H$4:$H$203,$A15,PO!$S$4:$S$203,"Đúng hạn"))</f>
        <v/>
      </c>
      <c r="L15" s="39" t="str">
        <f aca="false">IF($A15="","",IFERROR($K15/$J15,""))</f>
        <v/>
      </c>
      <c r="M15" s="38" t="str">
        <f aca="false">IF($A15="","",SUMIFS(PO!$U$4:$U$203,PO!$H$4:$H$203,$A15))</f>
        <v/>
      </c>
      <c r="N15" s="38" t="str">
        <f aca="false">IF($A15="","",SUMIFS(PO!$V$4:$V$203,PO!$H$4:$H$203,$A15))</f>
        <v/>
      </c>
      <c r="O15" s="39" t="str">
        <f aca="false">IF($A15="","",IFERROR($N15/$M15,""))</f>
        <v/>
      </c>
      <c r="P15" s="38" t="str">
        <f aca="false">IF($A15="","",SUMIFS('Thanh toán'!$H$4:$H$203,'Thanh toán'!$E$4:$E$203,$A15))</f>
        <v/>
      </c>
      <c r="Q15" s="38" t="str">
        <f aca="false">IF($A15="","",SUMIFS('Công nợ'!$I$4:$I$203,'Công nợ'!$D$4:$D$203,$A15))</f>
        <v/>
      </c>
      <c r="R15" s="38" t="str">
        <f aca="false">IF($A15="","",SUMIFS('Công nợ'!$I$4:$I$203,'Công nợ'!$D$4:$D$203,$A15,'Công nợ'!$K$4:$K$203,"&gt;0"))</f>
        <v/>
      </c>
    </row>
    <row r="16" customFormat="false" ht="15" hidden="false" customHeight="false" outlineLevel="0" collapsed="false">
      <c r="A16" s="37" t="str">
        <f aca="false">IF('Nhà cung cấp'!$A16="","",'Nhà cung cấp'!$A16)</f>
        <v/>
      </c>
      <c r="B16" s="37" t="str">
        <f aca="false">IF($A16="","",'Nhà cung cấp'!$B16)</f>
        <v/>
      </c>
      <c r="C16" s="37" t="str">
        <f aca="false">IF($A16="","",'Nhà cung cấp'!$H16)</f>
        <v/>
      </c>
      <c r="D16" s="38" t="str">
        <f aca="false">IF($A16="","",COUNTIFS('Báo giá'!$I$4:$I$203,$A16))</f>
        <v/>
      </c>
      <c r="E16" s="38" t="str">
        <f aca="false">IF($A16="","",COUNTIFS('Báo giá'!$I$4:$I$203,$A16,'Báo giá'!$T$4:$T$203,"x"))</f>
        <v/>
      </c>
      <c r="F16" s="39" t="str">
        <f aca="false">IF($A16="","",IFERROR($E16/$D16,""))</f>
        <v/>
      </c>
      <c r="G16" s="38" t="str">
        <f aca="false">IF($A16="","",COUNTIFS(PO!$H$4:$H$203,$A16))</f>
        <v/>
      </c>
      <c r="H16" s="38" t="str">
        <f aca="false">IF($A16="","",SUMIFS(PO!$L$4:$L$203,PO!$H$4:$H$203,$A16))</f>
        <v/>
      </c>
      <c r="I16" s="38" t="str">
        <f aca="false">IF($A16="","",SUMIFS(PO!$N$4:$N$203,PO!$H$4:$H$203,$A16))</f>
        <v/>
      </c>
      <c r="J16" s="38" t="str">
        <f aca="false">IF($A16="","",COUNTIFS(PO!$H$4:$H$203,$A16,PO!$S$4:$S$203,"Đúng hạn")+COUNTIFS(PO!$H$4:$H$203,$A16,PO!$S$4:$S$203,"Giao trễ")+COUNTIFS(PO!$H$4:$H$203,$A16,PO!$S$4:$S$203,"Trễ hạn"))</f>
        <v/>
      </c>
      <c r="K16" s="38" t="str">
        <f aca="false">IF($A16="","",COUNTIFS(PO!$H$4:$H$203,$A16,PO!$S$4:$S$203,"Đúng hạn"))</f>
        <v/>
      </c>
      <c r="L16" s="39" t="str">
        <f aca="false">IF($A16="","",IFERROR($K16/$J16,""))</f>
        <v/>
      </c>
      <c r="M16" s="38" t="str">
        <f aca="false">IF($A16="","",SUMIFS(PO!$U$4:$U$203,PO!$H$4:$H$203,$A16))</f>
        <v/>
      </c>
      <c r="N16" s="38" t="str">
        <f aca="false">IF($A16="","",SUMIFS(PO!$V$4:$V$203,PO!$H$4:$H$203,$A16))</f>
        <v/>
      </c>
      <c r="O16" s="39" t="str">
        <f aca="false">IF($A16="","",IFERROR($N16/$M16,""))</f>
        <v/>
      </c>
      <c r="P16" s="38" t="str">
        <f aca="false">IF($A16="","",SUMIFS('Thanh toán'!$H$4:$H$203,'Thanh toán'!$E$4:$E$203,$A16))</f>
        <v/>
      </c>
      <c r="Q16" s="38" t="str">
        <f aca="false">IF($A16="","",SUMIFS('Công nợ'!$I$4:$I$203,'Công nợ'!$D$4:$D$203,$A16))</f>
        <v/>
      </c>
      <c r="R16" s="38" t="str">
        <f aca="false">IF($A16="","",SUMIFS('Công nợ'!$I$4:$I$203,'Công nợ'!$D$4:$D$203,$A16,'Công nợ'!$K$4:$K$203,"&gt;0"))</f>
        <v/>
      </c>
    </row>
    <row r="17" customFormat="false" ht="15" hidden="false" customHeight="false" outlineLevel="0" collapsed="false">
      <c r="A17" s="37" t="str">
        <f aca="false">IF('Nhà cung cấp'!$A17="","",'Nhà cung cấp'!$A17)</f>
        <v/>
      </c>
      <c r="B17" s="37" t="str">
        <f aca="false">IF($A17="","",'Nhà cung cấp'!$B17)</f>
        <v/>
      </c>
      <c r="C17" s="37" t="str">
        <f aca="false">IF($A17="","",'Nhà cung cấp'!$H17)</f>
        <v/>
      </c>
      <c r="D17" s="38" t="str">
        <f aca="false">IF($A17="","",COUNTIFS('Báo giá'!$I$4:$I$203,$A17))</f>
        <v/>
      </c>
      <c r="E17" s="38" t="str">
        <f aca="false">IF($A17="","",COUNTIFS('Báo giá'!$I$4:$I$203,$A17,'Báo giá'!$T$4:$T$203,"x"))</f>
        <v/>
      </c>
      <c r="F17" s="39" t="str">
        <f aca="false">IF($A17="","",IFERROR($E17/$D17,""))</f>
        <v/>
      </c>
      <c r="G17" s="38" t="str">
        <f aca="false">IF($A17="","",COUNTIFS(PO!$H$4:$H$203,$A17))</f>
        <v/>
      </c>
      <c r="H17" s="38" t="str">
        <f aca="false">IF($A17="","",SUMIFS(PO!$L$4:$L$203,PO!$H$4:$H$203,$A17))</f>
        <v/>
      </c>
      <c r="I17" s="38" t="str">
        <f aca="false">IF($A17="","",SUMIFS(PO!$N$4:$N$203,PO!$H$4:$H$203,$A17))</f>
        <v/>
      </c>
      <c r="J17" s="38" t="str">
        <f aca="false">IF($A17="","",COUNTIFS(PO!$H$4:$H$203,$A17,PO!$S$4:$S$203,"Đúng hạn")+COUNTIFS(PO!$H$4:$H$203,$A17,PO!$S$4:$S$203,"Giao trễ")+COUNTIFS(PO!$H$4:$H$203,$A17,PO!$S$4:$S$203,"Trễ hạn"))</f>
        <v/>
      </c>
      <c r="K17" s="38" t="str">
        <f aca="false">IF($A17="","",COUNTIFS(PO!$H$4:$H$203,$A17,PO!$S$4:$S$203,"Đúng hạn"))</f>
        <v/>
      </c>
      <c r="L17" s="39" t="str">
        <f aca="false">IF($A17="","",IFERROR($K17/$J17,""))</f>
        <v/>
      </c>
      <c r="M17" s="38" t="str">
        <f aca="false">IF($A17="","",SUMIFS(PO!$U$4:$U$203,PO!$H$4:$H$203,$A17))</f>
        <v/>
      </c>
      <c r="N17" s="38" t="str">
        <f aca="false">IF($A17="","",SUMIFS(PO!$V$4:$V$203,PO!$H$4:$H$203,$A17))</f>
        <v/>
      </c>
      <c r="O17" s="39" t="str">
        <f aca="false">IF($A17="","",IFERROR($N17/$M17,""))</f>
        <v/>
      </c>
      <c r="P17" s="38" t="str">
        <f aca="false">IF($A17="","",SUMIFS('Thanh toán'!$H$4:$H$203,'Thanh toán'!$E$4:$E$203,$A17))</f>
        <v/>
      </c>
      <c r="Q17" s="38" t="str">
        <f aca="false">IF($A17="","",SUMIFS('Công nợ'!$I$4:$I$203,'Công nợ'!$D$4:$D$203,$A17))</f>
        <v/>
      </c>
      <c r="R17" s="38" t="str">
        <f aca="false">IF($A17="","",SUMIFS('Công nợ'!$I$4:$I$203,'Công nợ'!$D$4:$D$203,$A17,'Công nợ'!$K$4:$K$203,"&gt;0"))</f>
        <v/>
      </c>
    </row>
    <row r="18" customFormat="false" ht="15" hidden="false" customHeight="false" outlineLevel="0" collapsed="false">
      <c r="A18" s="37" t="str">
        <f aca="false">IF('Nhà cung cấp'!$A18="","",'Nhà cung cấp'!$A18)</f>
        <v/>
      </c>
      <c r="B18" s="37" t="str">
        <f aca="false">IF($A18="","",'Nhà cung cấp'!$B18)</f>
        <v/>
      </c>
      <c r="C18" s="37" t="str">
        <f aca="false">IF($A18="","",'Nhà cung cấp'!$H18)</f>
        <v/>
      </c>
      <c r="D18" s="38" t="str">
        <f aca="false">IF($A18="","",COUNTIFS('Báo giá'!$I$4:$I$203,$A18))</f>
        <v/>
      </c>
      <c r="E18" s="38" t="str">
        <f aca="false">IF($A18="","",COUNTIFS('Báo giá'!$I$4:$I$203,$A18,'Báo giá'!$T$4:$T$203,"x"))</f>
        <v/>
      </c>
      <c r="F18" s="39" t="str">
        <f aca="false">IF($A18="","",IFERROR($E18/$D18,""))</f>
        <v/>
      </c>
      <c r="G18" s="38" t="str">
        <f aca="false">IF($A18="","",COUNTIFS(PO!$H$4:$H$203,$A18))</f>
        <v/>
      </c>
      <c r="H18" s="38" t="str">
        <f aca="false">IF($A18="","",SUMIFS(PO!$L$4:$L$203,PO!$H$4:$H$203,$A18))</f>
        <v/>
      </c>
      <c r="I18" s="38" t="str">
        <f aca="false">IF($A18="","",SUMIFS(PO!$N$4:$N$203,PO!$H$4:$H$203,$A18))</f>
        <v/>
      </c>
      <c r="J18" s="38" t="str">
        <f aca="false">IF($A18="","",COUNTIFS(PO!$H$4:$H$203,$A18,PO!$S$4:$S$203,"Đúng hạn")+COUNTIFS(PO!$H$4:$H$203,$A18,PO!$S$4:$S$203,"Giao trễ")+COUNTIFS(PO!$H$4:$H$203,$A18,PO!$S$4:$S$203,"Trễ hạn"))</f>
        <v/>
      </c>
      <c r="K18" s="38" t="str">
        <f aca="false">IF($A18="","",COUNTIFS(PO!$H$4:$H$203,$A18,PO!$S$4:$S$203,"Đúng hạn"))</f>
        <v/>
      </c>
      <c r="L18" s="39" t="str">
        <f aca="false">IF($A18="","",IFERROR($K18/$J18,""))</f>
        <v/>
      </c>
      <c r="M18" s="38" t="str">
        <f aca="false">IF($A18="","",SUMIFS(PO!$U$4:$U$203,PO!$H$4:$H$203,$A18))</f>
        <v/>
      </c>
      <c r="N18" s="38" t="str">
        <f aca="false">IF($A18="","",SUMIFS(PO!$V$4:$V$203,PO!$H$4:$H$203,$A18))</f>
        <v/>
      </c>
      <c r="O18" s="39" t="str">
        <f aca="false">IF($A18="","",IFERROR($N18/$M18,""))</f>
        <v/>
      </c>
      <c r="P18" s="38" t="str">
        <f aca="false">IF($A18="","",SUMIFS('Thanh toán'!$H$4:$H$203,'Thanh toán'!$E$4:$E$203,$A18))</f>
        <v/>
      </c>
      <c r="Q18" s="38" t="str">
        <f aca="false">IF($A18="","",SUMIFS('Công nợ'!$I$4:$I$203,'Công nợ'!$D$4:$D$203,$A18))</f>
        <v/>
      </c>
      <c r="R18" s="38" t="str">
        <f aca="false">IF($A18="","",SUMIFS('Công nợ'!$I$4:$I$203,'Công nợ'!$D$4:$D$203,$A18,'Công nợ'!$K$4:$K$203,"&gt;0"))</f>
        <v/>
      </c>
    </row>
    <row r="19" customFormat="false" ht="15" hidden="false" customHeight="false" outlineLevel="0" collapsed="false">
      <c r="A19" s="37" t="str">
        <f aca="false">IF('Nhà cung cấp'!$A19="","",'Nhà cung cấp'!$A19)</f>
        <v/>
      </c>
      <c r="B19" s="37" t="str">
        <f aca="false">IF($A19="","",'Nhà cung cấp'!$B19)</f>
        <v/>
      </c>
      <c r="C19" s="37" t="str">
        <f aca="false">IF($A19="","",'Nhà cung cấp'!$H19)</f>
        <v/>
      </c>
      <c r="D19" s="38" t="str">
        <f aca="false">IF($A19="","",COUNTIFS('Báo giá'!$I$4:$I$203,$A19))</f>
        <v/>
      </c>
      <c r="E19" s="38" t="str">
        <f aca="false">IF($A19="","",COUNTIFS('Báo giá'!$I$4:$I$203,$A19,'Báo giá'!$T$4:$T$203,"x"))</f>
        <v/>
      </c>
      <c r="F19" s="39" t="str">
        <f aca="false">IF($A19="","",IFERROR($E19/$D19,""))</f>
        <v/>
      </c>
      <c r="G19" s="38" t="str">
        <f aca="false">IF($A19="","",COUNTIFS(PO!$H$4:$H$203,$A19))</f>
        <v/>
      </c>
      <c r="H19" s="38" t="str">
        <f aca="false">IF($A19="","",SUMIFS(PO!$L$4:$L$203,PO!$H$4:$H$203,$A19))</f>
        <v/>
      </c>
      <c r="I19" s="38" t="str">
        <f aca="false">IF($A19="","",SUMIFS(PO!$N$4:$N$203,PO!$H$4:$H$203,$A19))</f>
        <v/>
      </c>
      <c r="J19" s="38" t="str">
        <f aca="false">IF($A19="","",COUNTIFS(PO!$H$4:$H$203,$A19,PO!$S$4:$S$203,"Đúng hạn")+COUNTIFS(PO!$H$4:$H$203,$A19,PO!$S$4:$S$203,"Giao trễ")+COUNTIFS(PO!$H$4:$H$203,$A19,PO!$S$4:$S$203,"Trễ hạn"))</f>
        <v/>
      </c>
      <c r="K19" s="38" t="str">
        <f aca="false">IF($A19="","",COUNTIFS(PO!$H$4:$H$203,$A19,PO!$S$4:$S$203,"Đúng hạn"))</f>
        <v/>
      </c>
      <c r="L19" s="39" t="str">
        <f aca="false">IF($A19="","",IFERROR($K19/$J19,""))</f>
        <v/>
      </c>
      <c r="M19" s="38" t="str">
        <f aca="false">IF($A19="","",SUMIFS(PO!$U$4:$U$203,PO!$H$4:$H$203,$A19))</f>
        <v/>
      </c>
      <c r="N19" s="38" t="str">
        <f aca="false">IF($A19="","",SUMIFS(PO!$V$4:$V$203,PO!$H$4:$H$203,$A19))</f>
        <v/>
      </c>
      <c r="O19" s="39" t="str">
        <f aca="false">IF($A19="","",IFERROR($N19/$M19,""))</f>
        <v/>
      </c>
      <c r="P19" s="38" t="str">
        <f aca="false">IF($A19="","",SUMIFS('Thanh toán'!$H$4:$H$203,'Thanh toán'!$E$4:$E$203,$A19))</f>
        <v/>
      </c>
      <c r="Q19" s="38" t="str">
        <f aca="false">IF($A19="","",SUMIFS('Công nợ'!$I$4:$I$203,'Công nợ'!$D$4:$D$203,$A19))</f>
        <v/>
      </c>
      <c r="R19" s="38" t="str">
        <f aca="false">IF($A19="","",SUMIFS('Công nợ'!$I$4:$I$203,'Công nợ'!$D$4:$D$203,$A19,'Công nợ'!$K$4:$K$203,"&gt;0"))</f>
        <v/>
      </c>
    </row>
    <row r="20" customFormat="false" ht="15" hidden="false" customHeight="false" outlineLevel="0" collapsed="false">
      <c r="A20" s="37" t="str">
        <f aca="false">IF('Nhà cung cấp'!$A20="","",'Nhà cung cấp'!$A20)</f>
        <v/>
      </c>
      <c r="B20" s="37" t="str">
        <f aca="false">IF($A20="","",'Nhà cung cấp'!$B20)</f>
        <v/>
      </c>
      <c r="C20" s="37" t="str">
        <f aca="false">IF($A20="","",'Nhà cung cấp'!$H20)</f>
        <v/>
      </c>
      <c r="D20" s="38" t="str">
        <f aca="false">IF($A20="","",COUNTIFS('Báo giá'!$I$4:$I$203,$A20))</f>
        <v/>
      </c>
      <c r="E20" s="38" t="str">
        <f aca="false">IF($A20="","",COUNTIFS('Báo giá'!$I$4:$I$203,$A20,'Báo giá'!$T$4:$T$203,"x"))</f>
        <v/>
      </c>
      <c r="F20" s="39" t="str">
        <f aca="false">IF($A20="","",IFERROR($E20/$D20,""))</f>
        <v/>
      </c>
      <c r="G20" s="38" t="str">
        <f aca="false">IF($A20="","",COUNTIFS(PO!$H$4:$H$203,$A20))</f>
        <v/>
      </c>
      <c r="H20" s="38" t="str">
        <f aca="false">IF($A20="","",SUMIFS(PO!$L$4:$L$203,PO!$H$4:$H$203,$A20))</f>
        <v/>
      </c>
      <c r="I20" s="38" t="str">
        <f aca="false">IF($A20="","",SUMIFS(PO!$N$4:$N$203,PO!$H$4:$H$203,$A20))</f>
        <v/>
      </c>
      <c r="J20" s="38" t="str">
        <f aca="false">IF($A20="","",COUNTIFS(PO!$H$4:$H$203,$A20,PO!$S$4:$S$203,"Đúng hạn")+COUNTIFS(PO!$H$4:$H$203,$A20,PO!$S$4:$S$203,"Giao trễ")+COUNTIFS(PO!$H$4:$H$203,$A20,PO!$S$4:$S$203,"Trễ hạn"))</f>
        <v/>
      </c>
      <c r="K20" s="38" t="str">
        <f aca="false">IF($A20="","",COUNTIFS(PO!$H$4:$H$203,$A20,PO!$S$4:$S$203,"Đúng hạn"))</f>
        <v/>
      </c>
      <c r="L20" s="39" t="str">
        <f aca="false">IF($A20="","",IFERROR($K20/$J20,""))</f>
        <v/>
      </c>
      <c r="M20" s="38" t="str">
        <f aca="false">IF($A20="","",SUMIFS(PO!$U$4:$U$203,PO!$H$4:$H$203,$A20))</f>
        <v/>
      </c>
      <c r="N20" s="38" t="str">
        <f aca="false">IF($A20="","",SUMIFS(PO!$V$4:$V$203,PO!$H$4:$H$203,$A20))</f>
        <v/>
      </c>
      <c r="O20" s="39" t="str">
        <f aca="false">IF($A20="","",IFERROR($N20/$M20,""))</f>
        <v/>
      </c>
      <c r="P20" s="38" t="str">
        <f aca="false">IF($A20="","",SUMIFS('Thanh toán'!$H$4:$H$203,'Thanh toán'!$E$4:$E$203,$A20))</f>
        <v/>
      </c>
      <c r="Q20" s="38" t="str">
        <f aca="false">IF($A20="","",SUMIFS('Công nợ'!$I$4:$I$203,'Công nợ'!$D$4:$D$203,$A20))</f>
        <v/>
      </c>
      <c r="R20" s="38" t="str">
        <f aca="false">IF($A20="","",SUMIFS('Công nợ'!$I$4:$I$203,'Công nợ'!$D$4:$D$203,$A20,'Công nợ'!$K$4:$K$203,"&gt;0"))</f>
        <v/>
      </c>
    </row>
    <row r="21" customFormat="false" ht="15" hidden="false" customHeight="false" outlineLevel="0" collapsed="false">
      <c r="A21" s="37" t="str">
        <f aca="false">IF('Nhà cung cấp'!$A21="","",'Nhà cung cấp'!$A21)</f>
        <v/>
      </c>
      <c r="B21" s="37" t="str">
        <f aca="false">IF($A21="","",'Nhà cung cấp'!$B21)</f>
        <v/>
      </c>
      <c r="C21" s="37" t="str">
        <f aca="false">IF($A21="","",'Nhà cung cấp'!$H21)</f>
        <v/>
      </c>
      <c r="D21" s="38" t="str">
        <f aca="false">IF($A21="","",COUNTIFS('Báo giá'!$I$4:$I$203,$A21))</f>
        <v/>
      </c>
      <c r="E21" s="38" t="str">
        <f aca="false">IF($A21="","",COUNTIFS('Báo giá'!$I$4:$I$203,$A21,'Báo giá'!$T$4:$T$203,"x"))</f>
        <v/>
      </c>
      <c r="F21" s="39" t="str">
        <f aca="false">IF($A21="","",IFERROR($E21/$D21,""))</f>
        <v/>
      </c>
      <c r="G21" s="38" t="str">
        <f aca="false">IF($A21="","",COUNTIFS(PO!$H$4:$H$203,$A21))</f>
        <v/>
      </c>
      <c r="H21" s="38" t="str">
        <f aca="false">IF($A21="","",SUMIFS(PO!$L$4:$L$203,PO!$H$4:$H$203,$A21))</f>
        <v/>
      </c>
      <c r="I21" s="38" t="str">
        <f aca="false">IF($A21="","",SUMIFS(PO!$N$4:$N$203,PO!$H$4:$H$203,$A21))</f>
        <v/>
      </c>
      <c r="J21" s="38" t="str">
        <f aca="false">IF($A21="","",COUNTIFS(PO!$H$4:$H$203,$A21,PO!$S$4:$S$203,"Đúng hạn")+COUNTIFS(PO!$H$4:$H$203,$A21,PO!$S$4:$S$203,"Giao trễ")+COUNTIFS(PO!$H$4:$H$203,$A21,PO!$S$4:$S$203,"Trễ hạn"))</f>
        <v/>
      </c>
      <c r="K21" s="38" t="str">
        <f aca="false">IF($A21="","",COUNTIFS(PO!$H$4:$H$203,$A21,PO!$S$4:$S$203,"Đúng hạn"))</f>
        <v/>
      </c>
      <c r="L21" s="39" t="str">
        <f aca="false">IF($A21="","",IFERROR($K21/$J21,""))</f>
        <v/>
      </c>
      <c r="M21" s="38" t="str">
        <f aca="false">IF($A21="","",SUMIFS(PO!$U$4:$U$203,PO!$H$4:$H$203,$A21))</f>
        <v/>
      </c>
      <c r="N21" s="38" t="str">
        <f aca="false">IF($A21="","",SUMIFS(PO!$V$4:$V$203,PO!$H$4:$H$203,$A21))</f>
        <v/>
      </c>
      <c r="O21" s="39" t="str">
        <f aca="false">IF($A21="","",IFERROR($N21/$M21,""))</f>
        <v/>
      </c>
      <c r="P21" s="38" t="str">
        <f aca="false">IF($A21="","",SUMIFS('Thanh toán'!$H$4:$H$203,'Thanh toán'!$E$4:$E$203,$A21))</f>
        <v/>
      </c>
      <c r="Q21" s="38" t="str">
        <f aca="false">IF($A21="","",SUMIFS('Công nợ'!$I$4:$I$203,'Công nợ'!$D$4:$D$203,$A21))</f>
        <v/>
      </c>
      <c r="R21" s="38" t="str">
        <f aca="false">IF($A21="","",SUMIFS('Công nợ'!$I$4:$I$203,'Công nợ'!$D$4:$D$203,$A21,'Công nợ'!$K$4:$K$203,"&gt;0"))</f>
        <v/>
      </c>
    </row>
    <row r="22" customFormat="false" ht="15" hidden="false" customHeight="false" outlineLevel="0" collapsed="false">
      <c r="A22" s="37" t="str">
        <f aca="false">IF('Nhà cung cấp'!$A22="","",'Nhà cung cấp'!$A22)</f>
        <v/>
      </c>
      <c r="B22" s="37" t="str">
        <f aca="false">IF($A22="","",'Nhà cung cấp'!$B22)</f>
        <v/>
      </c>
      <c r="C22" s="37" t="str">
        <f aca="false">IF($A22="","",'Nhà cung cấp'!$H22)</f>
        <v/>
      </c>
      <c r="D22" s="38" t="str">
        <f aca="false">IF($A22="","",COUNTIFS('Báo giá'!$I$4:$I$203,$A22))</f>
        <v/>
      </c>
      <c r="E22" s="38" t="str">
        <f aca="false">IF($A22="","",COUNTIFS('Báo giá'!$I$4:$I$203,$A22,'Báo giá'!$T$4:$T$203,"x"))</f>
        <v/>
      </c>
      <c r="F22" s="39" t="str">
        <f aca="false">IF($A22="","",IFERROR($E22/$D22,""))</f>
        <v/>
      </c>
      <c r="G22" s="38" t="str">
        <f aca="false">IF($A22="","",COUNTIFS(PO!$H$4:$H$203,$A22))</f>
        <v/>
      </c>
      <c r="H22" s="38" t="str">
        <f aca="false">IF($A22="","",SUMIFS(PO!$L$4:$L$203,PO!$H$4:$H$203,$A22))</f>
        <v/>
      </c>
      <c r="I22" s="38" t="str">
        <f aca="false">IF($A22="","",SUMIFS(PO!$N$4:$N$203,PO!$H$4:$H$203,$A22))</f>
        <v/>
      </c>
      <c r="J22" s="38" t="str">
        <f aca="false">IF($A22="","",COUNTIFS(PO!$H$4:$H$203,$A22,PO!$S$4:$S$203,"Đúng hạn")+COUNTIFS(PO!$H$4:$H$203,$A22,PO!$S$4:$S$203,"Giao trễ")+COUNTIFS(PO!$H$4:$H$203,$A22,PO!$S$4:$S$203,"Trễ hạn"))</f>
        <v/>
      </c>
      <c r="K22" s="38" t="str">
        <f aca="false">IF($A22="","",COUNTIFS(PO!$H$4:$H$203,$A22,PO!$S$4:$S$203,"Đúng hạn"))</f>
        <v/>
      </c>
      <c r="L22" s="39" t="str">
        <f aca="false">IF($A22="","",IFERROR($K22/$J22,""))</f>
        <v/>
      </c>
      <c r="M22" s="38" t="str">
        <f aca="false">IF($A22="","",SUMIFS(PO!$U$4:$U$203,PO!$H$4:$H$203,$A22))</f>
        <v/>
      </c>
      <c r="N22" s="38" t="str">
        <f aca="false">IF($A22="","",SUMIFS(PO!$V$4:$V$203,PO!$H$4:$H$203,$A22))</f>
        <v/>
      </c>
      <c r="O22" s="39" t="str">
        <f aca="false">IF($A22="","",IFERROR($N22/$M22,""))</f>
        <v/>
      </c>
      <c r="P22" s="38" t="str">
        <f aca="false">IF($A22="","",SUMIFS('Thanh toán'!$H$4:$H$203,'Thanh toán'!$E$4:$E$203,$A22))</f>
        <v/>
      </c>
      <c r="Q22" s="38" t="str">
        <f aca="false">IF($A22="","",SUMIFS('Công nợ'!$I$4:$I$203,'Công nợ'!$D$4:$D$203,$A22))</f>
        <v/>
      </c>
      <c r="R22" s="38" t="str">
        <f aca="false">IF($A22="","",SUMIFS('Công nợ'!$I$4:$I$203,'Công nợ'!$D$4:$D$203,$A22,'Công nợ'!$K$4:$K$203,"&gt;0"))</f>
        <v/>
      </c>
    </row>
    <row r="23" customFormat="false" ht="15" hidden="false" customHeight="false" outlineLevel="0" collapsed="false">
      <c r="A23" s="37" t="str">
        <f aca="false">IF('Nhà cung cấp'!$A23="","",'Nhà cung cấp'!$A23)</f>
        <v/>
      </c>
      <c r="B23" s="37" t="str">
        <f aca="false">IF($A23="","",'Nhà cung cấp'!$B23)</f>
        <v/>
      </c>
      <c r="C23" s="37" t="str">
        <f aca="false">IF($A23="","",'Nhà cung cấp'!$H23)</f>
        <v/>
      </c>
      <c r="D23" s="38" t="str">
        <f aca="false">IF($A23="","",COUNTIFS('Báo giá'!$I$4:$I$203,$A23))</f>
        <v/>
      </c>
      <c r="E23" s="38" t="str">
        <f aca="false">IF($A23="","",COUNTIFS('Báo giá'!$I$4:$I$203,$A23,'Báo giá'!$T$4:$T$203,"x"))</f>
        <v/>
      </c>
      <c r="F23" s="39" t="str">
        <f aca="false">IF($A23="","",IFERROR($E23/$D23,""))</f>
        <v/>
      </c>
      <c r="G23" s="38" t="str">
        <f aca="false">IF($A23="","",COUNTIFS(PO!$H$4:$H$203,$A23))</f>
        <v/>
      </c>
      <c r="H23" s="38" t="str">
        <f aca="false">IF($A23="","",SUMIFS(PO!$L$4:$L$203,PO!$H$4:$H$203,$A23))</f>
        <v/>
      </c>
      <c r="I23" s="38" t="str">
        <f aca="false">IF($A23="","",SUMIFS(PO!$N$4:$N$203,PO!$H$4:$H$203,$A23))</f>
        <v/>
      </c>
      <c r="J23" s="38" t="str">
        <f aca="false">IF($A23="","",COUNTIFS(PO!$H$4:$H$203,$A23,PO!$S$4:$S$203,"Đúng hạn")+COUNTIFS(PO!$H$4:$H$203,$A23,PO!$S$4:$S$203,"Giao trễ")+COUNTIFS(PO!$H$4:$H$203,$A23,PO!$S$4:$S$203,"Trễ hạn"))</f>
        <v/>
      </c>
      <c r="K23" s="38" t="str">
        <f aca="false">IF($A23="","",COUNTIFS(PO!$H$4:$H$203,$A23,PO!$S$4:$S$203,"Đúng hạn"))</f>
        <v/>
      </c>
      <c r="L23" s="39" t="str">
        <f aca="false">IF($A23="","",IFERROR($K23/$J23,""))</f>
        <v/>
      </c>
      <c r="M23" s="38" t="str">
        <f aca="false">IF($A23="","",SUMIFS(PO!$U$4:$U$203,PO!$H$4:$H$203,$A23))</f>
        <v/>
      </c>
      <c r="N23" s="38" t="str">
        <f aca="false">IF($A23="","",SUMIFS(PO!$V$4:$V$203,PO!$H$4:$H$203,$A23))</f>
        <v/>
      </c>
      <c r="O23" s="39" t="str">
        <f aca="false">IF($A23="","",IFERROR($N23/$M23,""))</f>
        <v/>
      </c>
      <c r="P23" s="38" t="str">
        <f aca="false">IF($A23="","",SUMIFS('Thanh toán'!$H$4:$H$203,'Thanh toán'!$E$4:$E$203,$A23))</f>
        <v/>
      </c>
      <c r="Q23" s="38" t="str">
        <f aca="false">IF($A23="","",SUMIFS('Công nợ'!$I$4:$I$203,'Công nợ'!$D$4:$D$203,$A23))</f>
        <v/>
      </c>
      <c r="R23" s="38" t="str">
        <f aca="false">IF($A23="","",SUMIFS('Công nợ'!$I$4:$I$203,'Công nợ'!$D$4:$D$203,$A23,'Công nợ'!$K$4:$K$203,"&gt;0"))</f>
        <v/>
      </c>
    </row>
    <row r="24" customFormat="false" ht="15" hidden="false" customHeight="false" outlineLevel="0" collapsed="false">
      <c r="A24" s="37" t="str">
        <f aca="false">IF('Nhà cung cấp'!$A24="","",'Nhà cung cấp'!$A24)</f>
        <v/>
      </c>
      <c r="B24" s="37" t="str">
        <f aca="false">IF($A24="","",'Nhà cung cấp'!$B24)</f>
        <v/>
      </c>
      <c r="C24" s="37" t="str">
        <f aca="false">IF($A24="","",'Nhà cung cấp'!$H24)</f>
        <v/>
      </c>
      <c r="D24" s="38" t="str">
        <f aca="false">IF($A24="","",COUNTIFS('Báo giá'!$I$4:$I$203,$A24))</f>
        <v/>
      </c>
      <c r="E24" s="38" t="str">
        <f aca="false">IF($A24="","",COUNTIFS('Báo giá'!$I$4:$I$203,$A24,'Báo giá'!$T$4:$T$203,"x"))</f>
        <v/>
      </c>
      <c r="F24" s="39" t="str">
        <f aca="false">IF($A24="","",IFERROR($E24/$D24,""))</f>
        <v/>
      </c>
      <c r="G24" s="38" t="str">
        <f aca="false">IF($A24="","",COUNTIFS(PO!$H$4:$H$203,$A24))</f>
        <v/>
      </c>
      <c r="H24" s="38" t="str">
        <f aca="false">IF($A24="","",SUMIFS(PO!$L$4:$L$203,PO!$H$4:$H$203,$A24))</f>
        <v/>
      </c>
      <c r="I24" s="38" t="str">
        <f aca="false">IF($A24="","",SUMIFS(PO!$N$4:$N$203,PO!$H$4:$H$203,$A24))</f>
        <v/>
      </c>
      <c r="J24" s="38" t="str">
        <f aca="false">IF($A24="","",COUNTIFS(PO!$H$4:$H$203,$A24,PO!$S$4:$S$203,"Đúng hạn")+COUNTIFS(PO!$H$4:$H$203,$A24,PO!$S$4:$S$203,"Giao trễ")+COUNTIFS(PO!$H$4:$H$203,$A24,PO!$S$4:$S$203,"Trễ hạn"))</f>
        <v/>
      </c>
      <c r="K24" s="38" t="str">
        <f aca="false">IF($A24="","",COUNTIFS(PO!$H$4:$H$203,$A24,PO!$S$4:$S$203,"Đúng hạn"))</f>
        <v/>
      </c>
      <c r="L24" s="39" t="str">
        <f aca="false">IF($A24="","",IFERROR($K24/$J24,""))</f>
        <v/>
      </c>
      <c r="M24" s="38" t="str">
        <f aca="false">IF($A24="","",SUMIFS(PO!$U$4:$U$203,PO!$H$4:$H$203,$A24))</f>
        <v/>
      </c>
      <c r="N24" s="38" t="str">
        <f aca="false">IF($A24="","",SUMIFS(PO!$V$4:$V$203,PO!$H$4:$H$203,$A24))</f>
        <v/>
      </c>
      <c r="O24" s="39" t="str">
        <f aca="false">IF($A24="","",IFERROR($N24/$M24,""))</f>
        <v/>
      </c>
      <c r="P24" s="38" t="str">
        <f aca="false">IF($A24="","",SUMIFS('Thanh toán'!$H$4:$H$203,'Thanh toán'!$E$4:$E$203,$A24))</f>
        <v/>
      </c>
      <c r="Q24" s="38" t="str">
        <f aca="false">IF($A24="","",SUMIFS('Công nợ'!$I$4:$I$203,'Công nợ'!$D$4:$D$203,$A24))</f>
        <v/>
      </c>
      <c r="R24" s="38" t="str">
        <f aca="false">IF($A24="","",SUMIFS('Công nợ'!$I$4:$I$203,'Công nợ'!$D$4:$D$203,$A24,'Công nợ'!$K$4:$K$203,"&gt;0"))</f>
        <v/>
      </c>
    </row>
    <row r="25" customFormat="false" ht="15" hidden="false" customHeight="false" outlineLevel="0" collapsed="false">
      <c r="A25" s="37" t="str">
        <f aca="false">IF('Nhà cung cấp'!$A25="","",'Nhà cung cấp'!$A25)</f>
        <v/>
      </c>
      <c r="B25" s="37" t="str">
        <f aca="false">IF($A25="","",'Nhà cung cấp'!$B25)</f>
        <v/>
      </c>
      <c r="C25" s="37" t="str">
        <f aca="false">IF($A25="","",'Nhà cung cấp'!$H25)</f>
        <v/>
      </c>
      <c r="D25" s="38" t="str">
        <f aca="false">IF($A25="","",COUNTIFS('Báo giá'!$I$4:$I$203,$A25))</f>
        <v/>
      </c>
      <c r="E25" s="38" t="str">
        <f aca="false">IF($A25="","",COUNTIFS('Báo giá'!$I$4:$I$203,$A25,'Báo giá'!$T$4:$T$203,"x"))</f>
        <v/>
      </c>
      <c r="F25" s="39" t="str">
        <f aca="false">IF($A25="","",IFERROR($E25/$D25,""))</f>
        <v/>
      </c>
      <c r="G25" s="38" t="str">
        <f aca="false">IF($A25="","",COUNTIFS(PO!$H$4:$H$203,$A25))</f>
        <v/>
      </c>
      <c r="H25" s="38" t="str">
        <f aca="false">IF($A25="","",SUMIFS(PO!$L$4:$L$203,PO!$H$4:$H$203,$A25))</f>
        <v/>
      </c>
      <c r="I25" s="38" t="str">
        <f aca="false">IF($A25="","",SUMIFS(PO!$N$4:$N$203,PO!$H$4:$H$203,$A25))</f>
        <v/>
      </c>
      <c r="J25" s="38" t="str">
        <f aca="false">IF($A25="","",COUNTIFS(PO!$H$4:$H$203,$A25,PO!$S$4:$S$203,"Đúng hạn")+COUNTIFS(PO!$H$4:$H$203,$A25,PO!$S$4:$S$203,"Giao trễ")+COUNTIFS(PO!$H$4:$H$203,$A25,PO!$S$4:$S$203,"Trễ hạn"))</f>
        <v/>
      </c>
      <c r="K25" s="38" t="str">
        <f aca="false">IF($A25="","",COUNTIFS(PO!$H$4:$H$203,$A25,PO!$S$4:$S$203,"Đúng hạn"))</f>
        <v/>
      </c>
      <c r="L25" s="39" t="str">
        <f aca="false">IF($A25="","",IFERROR($K25/$J25,""))</f>
        <v/>
      </c>
      <c r="M25" s="38" t="str">
        <f aca="false">IF($A25="","",SUMIFS(PO!$U$4:$U$203,PO!$H$4:$H$203,$A25))</f>
        <v/>
      </c>
      <c r="N25" s="38" t="str">
        <f aca="false">IF($A25="","",SUMIFS(PO!$V$4:$V$203,PO!$H$4:$H$203,$A25))</f>
        <v/>
      </c>
      <c r="O25" s="39" t="str">
        <f aca="false">IF($A25="","",IFERROR($N25/$M25,""))</f>
        <v/>
      </c>
      <c r="P25" s="38" t="str">
        <f aca="false">IF($A25="","",SUMIFS('Thanh toán'!$H$4:$H$203,'Thanh toán'!$E$4:$E$203,$A25))</f>
        <v/>
      </c>
      <c r="Q25" s="38" t="str">
        <f aca="false">IF($A25="","",SUMIFS('Công nợ'!$I$4:$I$203,'Công nợ'!$D$4:$D$203,$A25))</f>
        <v/>
      </c>
      <c r="R25" s="38" t="str">
        <f aca="false">IF($A25="","",SUMIFS('Công nợ'!$I$4:$I$203,'Công nợ'!$D$4:$D$203,$A25,'Công nợ'!$K$4:$K$203,"&gt;0"))</f>
        <v/>
      </c>
    </row>
    <row r="26" customFormat="false" ht="15" hidden="false" customHeight="false" outlineLevel="0" collapsed="false">
      <c r="A26" s="37" t="str">
        <f aca="false">IF('Nhà cung cấp'!$A26="","",'Nhà cung cấp'!$A26)</f>
        <v/>
      </c>
      <c r="B26" s="37" t="str">
        <f aca="false">IF($A26="","",'Nhà cung cấp'!$B26)</f>
        <v/>
      </c>
      <c r="C26" s="37" t="str">
        <f aca="false">IF($A26="","",'Nhà cung cấp'!$H26)</f>
        <v/>
      </c>
      <c r="D26" s="38" t="str">
        <f aca="false">IF($A26="","",COUNTIFS('Báo giá'!$I$4:$I$203,$A26))</f>
        <v/>
      </c>
      <c r="E26" s="38" t="str">
        <f aca="false">IF($A26="","",COUNTIFS('Báo giá'!$I$4:$I$203,$A26,'Báo giá'!$T$4:$T$203,"x"))</f>
        <v/>
      </c>
      <c r="F26" s="39" t="str">
        <f aca="false">IF($A26="","",IFERROR($E26/$D26,""))</f>
        <v/>
      </c>
      <c r="G26" s="38" t="str">
        <f aca="false">IF($A26="","",COUNTIFS(PO!$H$4:$H$203,$A26))</f>
        <v/>
      </c>
      <c r="H26" s="38" t="str">
        <f aca="false">IF($A26="","",SUMIFS(PO!$L$4:$L$203,PO!$H$4:$H$203,$A26))</f>
        <v/>
      </c>
      <c r="I26" s="38" t="str">
        <f aca="false">IF($A26="","",SUMIFS(PO!$N$4:$N$203,PO!$H$4:$H$203,$A26))</f>
        <v/>
      </c>
      <c r="J26" s="38" t="str">
        <f aca="false">IF($A26="","",COUNTIFS(PO!$H$4:$H$203,$A26,PO!$S$4:$S$203,"Đúng hạn")+COUNTIFS(PO!$H$4:$H$203,$A26,PO!$S$4:$S$203,"Giao trễ")+COUNTIFS(PO!$H$4:$H$203,$A26,PO!$S$4:$S$203,"Trễ hạn"))</f>
        <v/>
      </c>
      <c r="K26" s="38" t="str">
        <f aca="false">IF($A26="","",COUNTIFS(PO!$H$4:$H$203,$A26,PO!$S$4:$S$203,"Đúng hạn"))</f>
        <v/>
      </c>
      <c r="L26" s="39" t="str">
        <f aca="false">IF($A26="","",IFERROR($K26/$J26,""))</f>
        <v/>
      </c>
      <c r="M26" s="38" t="str">
        <f aca="false">IF($A26="","",SUMIFS(PO!$U$4:$U$203,PO!$H$4:$H$203,$A26))</f>
        <v/>
      </c>
      <c r="N26" s="38" t="str">
        <f aca="false">IF($A26="","",SUMIFS(PO!$V$4:$V$203,PO!$H$4:$H$203,$A26))</f>
        <v/>
      </c>
      <c r="O26" s="39" t="str">
        <f aca="false">IF($A26="","",IFERROR($N26/$M26,""))</f>
        <v/>
      </c>
      <c r="P26" s="38" t="str">
        <f aca="false">IF($A26="","",SUMIFS('Thanh toán'!$H$4:$H$203,'Thanh toán'!$E$4:$E$203,$A26))</f>
        <v/>
      </c>
      <c r="Q26" s="38" t="str">
        <f aca="false">IF($A26="","",SUMIFS('Công nợ'!$I$4:$I$203,'Công nợ'!$D$4:$D$203,$A26))</f>
        <v/>
      </c>
      <c r="R26" s="38" t="str">
        <f aca="false">IF($A26="","",SUMIFS('Công nợ'!$I$4:$I$203,'Công nợ'!$D$4:$D$203,$A26,'Công nợ'!$K$4:$K$203,"&gt;0"))</f>
        <v/>
      </c>
    </row>
    <row r="27" customFormat="false" ht="15" hidden="false" customHeight="false" outlineLevel="0" collapsed="false">
      <c r="A27" s="37" t="str">
        <f aca="false">IF('Nhà cung cấp'!$A27="","",'Nhà cung cấp'!$A27)</f>
        <v/>
      </c>
      <c r="B27" s="37" t="str">
        <f aca="false">IF($A27="","",'Nhà cung cấp'!$B27)</f>
        <v/>
      </c>
      <c r="C27" s="37" t="str">
        <f aca="false">IF($A27="","",'Nhà cung cấp'!$H27)</f>
        <v/>
      </c>
      <c r="D27" s="38" t="str">
        <f aca="false">IF($A27="","",COUNTIFS('Báo giá'!$I$4:$I$203,$A27))</f>
        <v/>
      </c>
      <c r="E27" s="38" t="str">
        <f aca="false">IF($A27="","",COUNTIFS('Báo giá'!$I$4:$I$203,$A27,'Báo giá'!$T$4:$T$203,"x"))</f>
        <v/>
      </c>
      <c r="F27" s="39" t="str">
        <f aca="false">IF($A27="","",IFERROR($E27/$D27,""))</f>
        <v/>
      </c>
      <c r="G27" s="38" t="str">
        <f aca="false">IF($A27="","",COUNTIFS(PO!$H$4:$H$203,$A27))</f>
        <v/>
      </c>
      <c r="H27" s="38" t="str">
        <f aca="false">IF($A27="","",SUMIFS(PO!$L$4:$L$203,PO!$H$4:$H$203,$A27))</f>
        <v/>
      </c>
      <c r="I27" s="38" t="str">
        <f aca="false">IF($A27="","",SUMIFS(PO!$N$4:$N$203,PO!$H$4:$H$203,$A27))</f>
        <v/>
      </c>
      <c r="J27" s="38" t="str">
        <f aca="false">IF($A27="","",COUNTIFS(PO!$H$4:$H$203,$A27,PO!$S$4:$S$203,"Đúng hạn")+COUNTIFS(PO!$H$4:$H$203,$A27,PO!$S$4:$S$203,"Giao trễ")+COUNTIFS(PO!$H$4:$H$203,$A27,PO!$S$4:$S$203,"Trễ hạn"))</f>
        <v/>
      </c>
      <c r="K27" s="38" t="str">
        <f aca="false">IF($A27="","",COUNTIFS(PO!$H$4:$H$203,$A27,PO!$S$4:$S$203,"Đúng hạn"))</f>
        <v/>
      </c>
      <c r="L27" s="39" t="str">
        <f aca="false">IF($A27="","",IFERROR($K27/$J27,""))</f>
        <v/>
      </c>
      <c r="M27" s="38" t="str">
        <f aca="false">IF($A27="","",SUMIFS(PO!$U$4:$U$203,PO!$H$4:$H$203,$A27))</f>
        <v/>
      </c>
      <c r="N27" s="38" t="str">
        <f aca="false">IF($A27="","",SUMIFS(PO!$V$4:$V$203,PO!$H$4:$H$203,$A27))</f>
        <v/>
      </c>
      <c r="O27" s="39" t="str">
        <f aca="false">IF($A27="","",IFERROR($N27/$M27,""))</f>
        <v/>
      </c>
      <c r="P27" s="38" t="str">
        <f aca="false">IF($A27="","",SUMIFS('Thanh toán'!$H$4:$H$203,'Thanh toán'!$E$4:$E$203,$A27))</f>
        <v/>
      </c>
      <c r="Q27" s="38" t="str">
        <f aca="false">IF($A27="","",SUMIFS('Công nợ'!$I$4:$I$203,'Công nợ'!$D$4:$D$203,$A27))</f>
        <v/>
      </c>
      <c r="R27" s="38" t="str">
        <f aca="false">IF($A27="","",SUMIFS('Công nợ'!$I$4:$I$203,'Công nợ'!$D$4:$D$203,$A27,'Công nợ'!$K$4:$K$203,"&gt;0"))</f>
        <v/>
      </c>
    </row>
    <row r="28" customFormat="false" ht="15" hidden="false" customHeight="false" outlineLevel="0" collapsed="false">
      <c r="A28" s="37" t="str">
        <f aca="false">IF('Nhà cung cấp'!$A28="","",'Nhà cung cấp'!$A28)</f>
        <v/>
      </c>
      <c r="B28" s="37" t="str">
        <f aca="false">IF($A28="","",'Nhà cung cấp'!$B28)</f>
        <v/>
      </c>
      <c r="C28" s="37" t="str">
        <f aca="false">IF($A28="","",'Nhà cung cấp'!$H28)</f>
        <v/>
      </c>
      <c r="D28" s="38" t="str">
        <f aca="false">IF($A28="","",COUNTIFS('Báo giá'!$I$4:$I$203,$A28))</f>
        <v/>
      </c>
      <c r="E28" s="38" t="str">
        <f aca="false">IF($A28="","",COUNTIFS('Báo giá'!$I$4:$I$203,$A28,'Báo giá'!$T$4:$T$203,"x"))</f>
        <v/>
      </c>
      <c r="F28" s="39" t="str">
        <f aca="false">IF($A28="","",IFERROR($E28/$D28,""))</f>
        <v/>
      </c>
      <c r="G28" s="38" t="str">
        <f aca="false">IF($A28="","",COUNTIFS(PO!$H$4:$H$203,$A28))</f>
        <v/>
      </c>
      <c r="H28" s="38" t="str">
        <f aca="false">IF($A28="","",SUMIFS(PO!$L$4:$L$203,PO!$H$4:$H$203,$A28))</f>
        <v/>
      </c>
      <c r="I28" s="38" t="str">
        <f aca="false">IF($A28="","",SUMIFS(PO!$N$4:$N$203,PO!$H$4:$H$203,$A28))</f>
        <v/>
      </c>
      <c r="J28" s="38" t="str">
        <f aca="false">IF($A28="","",COUNTIFS(PO!$H$4:$H$203,$A28,PO!$S$4:$S$203,"Đúng hạn")+COUNTIFS(PO!$H$4:$H$203,$A28,PO!$S$4:$S$203,"Giao trễ")+COUNTIFS(PO!$H$4:$H$203,$A28,PO!$S$4:$S$203,"Trễ hạn"))</f>
        <v/>
      </c>
      <c r="K28" s="38" t="str">
        <f aca="false">IF($A28="","",COUNTIFS(PO!$H$4:$H$203,$A28,PO!$S$4:$S$203,"Đúng hạn"))</f>
        <v/>
      </c>
      <c r="L28" s="39" t="str">
        <f aca="false">IF($A28="","",IFERROR($K28/$J28,""))</f>
        <v/>
      </c>
      <c r="M28" s="38" t="str">
        <f aca="false">IF($A28="","",SUMIFS(PO!$U$4:$U$203,PO!$H$4:$H$203,$A28))</f>
        <v/>
      </c>
      <c r="N28" s="38" t="str">
        <f aca="false">IF($A28="","",SUMIFS(PO!$V$4:$V$203,PO!$H$4:$H$203,$A28))</f>
        <v/>
      </c>
      <c r="O28" s="39" t="str">
        <f aca="false">IF($A28="","",IFERROR($N28/$M28,""))</f>
        <v/>
      </c>
      <c r="P28" s="38" t="str">
        <f aca="false">IF($A28="","",SUMIFS('Thanh toán'!$H$4:$H$203,'Thanh toán'!$E$4:$E$203,$A28))</f>
        <v/>
      </c>
      <c r="Q28" s="38" t="str">
        <f aca="false">IF($A28="","",SUMIFS('Công nợ'!$I$4:$I$203,'Công nợ'!$D$4:$D$203,$A28))</f>
        <v/>
      </c>
      <c r="R28" s="38" t="str">
        <f aca="false">IF($A28="","",SUMIFS('Công nợ'!$I$4:$I$203,'Công nợ'!$D$4:$D$203,$A28,'Công nợ'!$K$4:$K$203,"&gt;0"))</f>
        <v/>
      </c>
    </row>
    <row r="29" customFormat="false" ht="15" hidden="false" customHeight="false" outlineLevel="0" collapsed="false">
      <c r="A29" s="37" t="str">
        <f aca="false">IF('Nhà cung cấp'!$A29="","",'Nhà cung cấp'!$A29)</f>
        <v/>
      </c>
      <c r="B29" s="37" t="str">
        <f aca="false">IF($A29="","",'Nhà cung cấp'!$B29)</f>
        <v/>
      </c>
      <c r="C29" s="37" t="str">
        <f aca="false">IF($A29="","",'Nhà cung cấp'!$H29)</f>
        <v/>
      </c>
      <c r="D29" s="38" t="str">
        <f aca="false">IF($A29="","",COUNTIFS('Báo giá'!$I$4:$I$203,$A29))</f>
        <v/>
      </c>
      <c r="E29" s="38" t="str">
        <f aca="false">IF($A29="","",COUNTIFS('Báo giá'!$I$4:$I$203,$A29,'Báo giá'!$T$4:$T$203,"x"))</f>
        <v/>
      </c>
      <c r="F29" s="39" t="str">
        <f aca="false">IF($A29="","",IFERROR($E29/$D29,""))</f>
        <v/>
      </c>
      <c r="G29" s="38" t="str">
        <f aca="false">IF($A29="","",COUNTIFS(PO!$H$4:$H$203,$A29))</f>
        <v/>
      </c>
      <c r="H29" s="38" t="str">
        <f aca="false">IF($A29="","",SUMIFS(PO!$L$4:$L$203,PO!$H$4:$H$203,$A29))</f>
        <v/>
      </c>
      <c r="I29" s="38" t="str">
        <f aca="false">IF($A29="","",SUMIFS(PO!$N$4:$N$203,PO!$H$4:$H$203,$A29))</f>
        <v/>
      </c>
      <c r="J29" s="38" t="str">
        <f aca="false">IF($A29="","",COUNTIFS(PO!$H$4:$H$203,$A29,PO!$S$4:$S$203,"Đúng hạn")+COUNTIFS(PO!$H$4:$H$203,$A29,PO!$S$4:$S$203,"Giao trễ")+COUNTIFS(PO!$H$4:$H$203,$A29,PO!$S$4:$S$203,"Trễ hạn"))</f>
        <v/>
      </c>
      <c r="K29" s="38" t="str">
        <f aca="false">IF($A29="","",COUNTIFS(PO!$H$4:$H$203,$A29,PO!$S$4:$S$203,"Đúng hạn"))</f>
        <v/>
      </c>
      <c r="L29" s="39" t="str">
        <f aca="false">IF($A29="","",IFERROR($K29/$J29,""))</f>
        <v/>
      </c>
      <c r="M29" s="38" t="str">
        <f aca="false">IF($A29="","",SUMIFS(PO!$U$4:$U$203,PO!$H$4:$H$203,$A29))</f>
        <v/>
      </c>
      <c r="N29" s="38" t="str">
        <f aca="false">IF($A29="","",SUMIFS(PO!$V$4:$V$203,PO!$H$4:$H$203,$A29))</f>
        <v/>
      </c>
      <c r="O29" s="39" t="str">
        <f aca="false">IF($A29="","",IFERROR($N29/$M29,""))</f>
        <v/>
      </c>
      <c r="P29" s="38" t="str">
        <f aca="false">IF($A29="","",SUMIFS('Thanh toán'!$H$4:$H$203,'Thanh toán'!$E$4:$E$203,$A29))</f>
        <v/>
      </c>
      <c r="Q29" s="38" t="str">
        <f aca="false">IF($A29="","",SUMIFS('Công nợ'!$I$4:$I$203,'Công nợ'!$D$4:$D$203,$A29))</f>
        <v/>
      </c>
      <c r="R29" s="38" t="str">
        <f aca="false">IF($A29="","",SUMIFS('Công nợ'!$I$4:$I$203,'Công nợ'!$D$4:$D$203,$A29,'Công nợ'!$K$4:$K$203,"&gt;0"))</f>
        <v/>
      </c>
    </row>
    <row r="30" customFormat="false" ht="15" hidden="false" customHeight="false" outlineLevel="0" collapsed="false">
      <c r="A30" s="37" t="str">
        <f aca="false">IF('Nhà cung cấp'!$A30="","",'Nhà cung cấp'!$A30)</f>
        <v/>
      </c>
      <c r="B30" s="37" t="str">
        <f aca="false">IF($A30="","",'Nhà cung cấp'!$B30)</f>
        <v/>
      </c>
      <c r="C30" s="37" t="str">
        <f aca="false">IF($A30="","",'Nhà cung cấp'!$H30)</f>
        <v/>
      </c>
      <c r="D30" s="38" t="str">
        <f aca="false">IF($A30="","",COUNTIFS('Báo giá'!$I$4:$I$203,$A30))</f>
        <v/>
      </c>
      <c r="E30" s="38" t="str">
        <f aca="false">IF($A30="","",COUNTIFS('Báo giá'!$I$4:$I$203,$A30,'Báo giá'!$T$4:$T$203,"x"))</f>
        <v/>
      </c>
      <c r="F30" s="39" t="str">
        <f aca="false">IF($A30="","",IFERROR($E30/$D30,""))</f>
        <v/>
      </c>
      <c r="G30" s="38" t="str">
        <f aca="false">IF($A30="","",COUNTIFS(PO!$H$4:$H$203,$A30))</f>
        <v/>
      </c>
      <c r="H30" s="38" t="str">
        <f aca="false">IF($A30="","",SUMIFS(PO!$L$4:$L$203,PO!$H$4:$H$203,$A30))</f>
        <v/>
      </c>
      <c r="I30" s="38" t="str">
        <f aca="false">IF($A30="","",SUMIFS(PO!$N$4:$N$203,PO!$H$4:$H$203,$A30))</f>
        <v/>
      </c>
      <c r="J30" s="38" t="str">
        <f aca="false">IF($A30="","",COUNTIFS(PO!$H$4:$H$203,$A30,PO!$S$4:$S$203,"Đúng hạn")+COUNTIFS(PO!$H$4:$H$203,$A30,PO!$S$4:$S$203,"Giao trễ")+COUNTIFS(PO!$H$4:$H$203,$A30,PO!$S$4:$S$203,"Trễ hạn"))</f>
        <v/>
      </c>
      <c r="K30" s="38" t="str">
        <f aca="false">IF($A30="","",COUNTIFS(PO!$H$4:$H$203,$A30,PO!$S$4:$S$203,"Đúng hạn"))</f>
        <v/>
      </c>
      <c r="L30" s="39" t="str">
        <f aca="false">IF($A30="","",IFERROR($K30/$J30,""))</f>
        <v/>
      </c>
      <c r="M30" s="38" t="str">
        <f aca="false">IF($A30="","",SUMIFS(PO!$U$4:$U$203,PO!$H$4:$H$203,$A30))</f>
        <v/>
      </c>
      <c r="N30" s="38" t="str">
        <f aca="false">IF($A30="","",SUMIFS(PO!$V$4:$V$203,PO!$H$4:$H$203,$A30))</f>
        <v/>
      </c>
      <c r="O30" s="39" t="str">
        <f aca="false">IF($A30="","",IFERROR($N30/$M30,""))</f>
        <v/>
      </c>
      <c r="P30" s="38" t="str">
        <f aca="false">IF($A30="","",SUMIFS('Thanh toán'!$H$4:$H$203,'Thanh toán'!$E$4:$E$203,$A30))</f>
        <v/>
      </c>
      <c r="Q30" s="38" t="str">
        <f aca="false">IF($A30="","",SUMIFS('Công nợ'!$I$4:$I$203,'Công nợ'!$D$4:$D$203,$A30))</f>
        <v/>
      </c>
      <c r="R30" s="38" t="str">
        <f aca="false">IF($A30="","",SUMIFS('Công nợ'!$I$4:$I$203,'Công nợ'!$D$4:$D$203,$A30,'Công nợ'!$K$4:$K$203,"&gt;0"))</f>
        <v/>
      </c>
    </row>
    <row r="31" customFormat="false" ht="15" hidden="false" customHeight="false" outlineLevel="0" collapsed="false">
      <c r="A31" s="37" t="str">
        <f aca="false">IF('Nhà cung cấp'!$A31="","",'Nhà cung cấp'!$A31)</f>
        <v/>
      </c>
      <c r="B31" s="37" t="str">
        <f aca="false">IF($A31="","",'Nhà cung cấp'!$B31)</f>
        <v/>
      </c>
      <c r="C31" s="37" t="str">
        <f aca="false">IF($A31="","",'Nhà cung cấp'!$H31)</f>
        <v/>
      </c>
      <c r="D31" s="38" t="str">
        <f aca="false">IF($A31="","",COUNTIFS('Báo giá'!$I$4:$I$203,$A31))</f>
        <v/>
      </c>
      <c r="E31" s="38" t="str">
        <f aca="false">IF($A31="","",COUNTIFS('Báo giá'!$I$4:$I$203,$A31,'Báo giá'!$T$4:$T$203,"x"))</f>
        <v/>
      </c>
      <c r="F31" s="39" t="str">
        <f aca="false">IF($A31="","",IFERROR($E31/$D31,""))</f>
        <v/>
      </c>
      <c r="G31" s="38" t="str">
        <f aca="false">IF($A31="","",COUNTIFS(PO!$H$4:$H$203,$A31))</f>
        <v/>
      </c>
      <c r="H31" s="38" t="str">
        <f aca="false">IF($A31="","",SUMIFS(PO!$L$4:$L$203,PO!$H$4:$H$203,$A31))</f>
        <v/>
      </c>
      <c r="I31" s="38" t="str">
        <f aca="false">IF($A31="","",SUMIFS(PO!$N$4:$N$203,PO!$H$4:$H$203,$A31))</f>
        <v/>
      </c>
      <c r="J31" s="38" t="str">
        <f aca="false">IF($A31="","",COUNTIFS(PO!$H$4:$H$203,$A31,PO!$S$4:$S$203,"Đúng hạn")+COUNTIFS(PO!$H$4:$H$203,$A31,PO!$S$4:$S$203,"Giao trễ")+COUNTIFS(PO!$H$4:$H$203,$A31,PO!$S$4:$S$203,"Trễ hạn"))</f>
        <v/>
      </c>
      <c r="K31" s="38" t="str">
        <f aca="false">IF($A31="","",COUNTIFS(PO!$H$4:$H$203,$A31,PO!$S$4:$S$203,"Đúng hạn"))</f>
        <v/>
      </c>
      <c r="L31" s="39" t="str">
        <f aca="false">IF($A31="","",IFERROR($K31/$J31,""))</f>
        <v/>
      </c>
      <c r="M31" s="38" t="str">
        <f aca="false">IF($A31="","",SUMIFS(PO!$U$4:$U$203,PO!$H$4:$H$203,$A31))</f>
        <v/>
      </c>
      <c r="N31" s="38" t="str">
        <f aca="false">IF($A31="","",SUMIFS(PO!$V$4:$V$203,PO!$H$4:$H$203,$A31))</f>
        <v/>
      </c>
      <c r="O31" s="39" t="str">
        <f aca="false">IF($A31="","",IFERROR($N31/$M31,""))</f>
        <v/>
      </c>
      <c r="P31" s="38" t="str">
        <f aca="false">IF($A31="","",SUMIFS('Thanh toán'!$H$4:$H$203,'Thanh toán'!$E$4:$E$203,$A31))</f>
        <v/>
      </c>
      <c r="Q31" s="38" t="str">
        <f aca="false">IF($A31="","",SUMIFS('Công nợ'!$I$4:$I$203,'Công nợ'!$D$4:$D$203,$A31))</f>
        <v/>
      </c>
      <c r="R31" s="38" t="str">
        <f aca="false">IF($A31="","",SUMIFS('Công nợ'!$I$4:$I$203,'Công nợ'!$D$4:$D$203,$A31,'Công nợ'!$K$4:$K$203,"&gt;0"))</f>
        <v/>
      </c>
    </row>
    <row r="32" customFormat="false" ht="15" hidden="false" customHeight="false" outlineLevel="0" collapsed="false">
      <c r="A32" s="37" t="str">
        <f aca="false">IF('Nhà cung cấp'!$A32="","",'Nhà cung cấp'!$A32)</f>
        <v/>
      </c>
      <c r="B32" s="37" t="str">
        <f aca="false">IF($A32="","",'Nhà cung cấp'!$B32)</f>
        <v/>
      </c>
      <c r="C32" s="37" t="str">
        <f aca="false">IF($A32="","",'Nhà cung cấp'!$H32)</f>
        <v/>
      </c>
      <c r="D32" s="38" t="str">
        <f aca="false">IF($A32="","",COUNTIFS('Báo giá'!$I$4:$I$203,$A32))</f>
        <v/>
      </c>
      <c r="E32" s="38" t="str">
        <f aca="false">IF($A32="","",COUNTIFS('Báo giá'!$I$4:$I$203,$A32,'Báo giá'!$T$4:$T$203,"x"))</f>
        <v/>
      </c>
      <c r="F32" s="39" t="str">
        <f aca="false">IF($A32="","",IFERROR($E32/$D32,""))</f>
        <v/>
      </c>
      <c r="G32" s="38" t="str">
        <f aca="false">IF($A32="","",COUNTIFS(PO!$H$4:$H$203,$A32))</f>
        <v/>
      </c>
      <c r="H32" s="38" t="str">
        <f aca="false">IF($A32="","",SUMIFS(PO!$L$4:$L$203,PO!$H$4:$H$203,$A32))</f>
        <v/>
      </c>
      <c r="I32" s="38" t="str">
        <f aca="false">IF($A32="","",SUMIFS(PO!$N$4:$N$203,PO!$H$4:$H$203,$A32))</f>
        <v/>
      </c>
      <c r="J32" s="38" t="str">
        <f aca="false">IF($A32="","",COUNTIFS(PO!$H$4:$H$203,$A32,PO!$S$4:$S$203,"Đúng hạn")+COUNTIFS(PO!$H$4:$H$203,$A32,PO!$S$4:$S$203,"Giao trễ")+COUNTIFS(PO!$H$4:$H$203,$A32,PO!$S$4:$S$203,"Trễ hạn"))</f>
        <v/>
      </c>
      <c r="K32" s="38" t="str">
        <f aca="false">IF($A32="","",COUNTIFS(PO!$H$4:$H$203,$A32,PO!$S$4:$S$203,"Đúng hạn"))</f>
        <v/>
      </c>
      <c r="L32" s="39" t="str">
        <f aca="false">IF($A32="","",IFERROR($K32/$J32,""))</f>
        <v/>
      </c>
      <c r="M32" s="38" t="str">
        <f aca="false">IF($A32="","",SUMIFS(PO!$U$4:$U$203,PO!$H$4:$H$203,$A32))</f>
        <v/>
      </c>
      <c r="N32" s="38" t="str">
        <f aca="false">IF($A32="","",SUMIFS(PO!$V$4:$V$203,PO!$H$4:$H$203,$A32))</f>
        <v/>
      </c>
      <c r="O32" s="39" t="str">
        <f aca="false">IF($A32="","",IFERROR($N32/$M32,""))</f>
        <v/>
      </c>
      <c r="P32" s="38" t="str">
        <f aca="false">IF($A32="","",SUMIFS('Thanh toán'!$H$4:$H$203,'Thanh toán'!$E$4:$E$203,$A32))</f>
        <v/>
      </c>
      <c r="Q32" s="38" t="str">
        <f aca="false">IF($A32="","",SUMIFS('Công nợ'!$I$4:$I$203,'Công nợ'!$D$4:$D$203,$A32))</f>
        <v/>
      </c>
      <c r="R32" s="38" t="str">
        <f aca="false">IF($A32="","",SUMIFS('Công nợ'!$I$4:$I$203,'Công nợ'!$D$4:$D$203,$A32,'Công nợ'!$K$4:$K$203,"&gt;0"))</f>
        <v/>
      </c>
    </row>
    <row r="33" customFormat="false" ht="15" hidden="false" customHeight="false" outlineLevel="0" collapsed="false">
      <c r="A33" s="37" t="str">
        <f aca="false">IF('Nhà cung cấp'!$A33="","",'Nhà cung cấp'!$A33)</f>
        <v/>
      </c>
      <c r="B33" s="37" t="str">
        <f aca="false">IF($A33="","",'Nhà cung cấp'!$B33)</f>
        <v/>
      </c>
      <c r="C33" s="37" t="str">
        <f aca="false">IF($A33="","",'Nhà cung cấp'!$H33)</f>
        <v/>
      </c>
      <c r="D33" s="38" t="str">
        <f aca="false">IF($A33="","",COUNTIFS('Báo giá'!$I$4:$I$203,$A33))</f>
        <v/>
      </c>
      <c r="E33" s="38" t="str">
        <f aca="false">IF($A33="","",COUNTIFS('Báo giá'!$I$4:$I$203,$A33,'Báo giá'!$T$4:$T$203,"x"))</f>
        <v/>
      </c>
      <c r="F33" s="39" t="str">
        <f aca="false">IF($A33="","",IFERROR($E33/$D33,""))</f>
        <v/>
      </c>
      <c r="G33" s="38" t="str">
        <f aca="false">IF($A33="","",COUNTIFS(PO!$H$4:$H$203,$A33))</f>
        <v/>
      </c>
      <c r="H33" s="38" t="str">
        <f aca="false">IF($A33="","",SUMIFS(PO!$L$4:$L$203,PO!$H$4:$H$203,$A33))</f>
        <v/>
      </c>
      <c r="I33" s="38" t="str">
        <f aca="false">IF($A33="","",SUMIFS(PO!$N$4:$N$203,PO!$H$4:$H$203,$A33))</f>
        <v/>
      </c>
      <c r="J33" s="38" t="str">
        <f aca="false">IF($A33="","",COUNTIFS(PO!$H$4:$H$203,$A33,PO!$S$4:$S$203,"Đúng hạn")+COUNTIFS(PO!$H$4:$H$203,$A33,PO!$S$4:$S$203,"Giao trễ")+COUNTIFS(PO!$H$4:$H$203,$A33,PO!$S$4:$S$203,"Trễ hạn"))</f>
        <v/>
      </c>
      <c r="K33" s="38" t="str">
        <f aca="false">IF($A33="","",COUNTIFS(PO!$H$4:$H$203,$A33,PO!$S$4:$S$203,"Đúng hạn"))</f>
        <v/>
      </c>
      <c r="L33" s="39" t="str">
        <f aca="false">IF($A33="","",IFERROR($K33/$J33,""))</f>
        <v/>
      </c>
      <c r="M33" s="38" t="str">
        <f aca="false">IF($A33="","",SUMIFS(PO!$U$4:$U$203,PO!$H$4:$H$203,$A33))</f>
        <v/>
      </c>
      <c r="N33" s="38" t="str">
        <f aca="false">IF($A33="","",SUMIFS(PO!$V$4:$V$203,PO!$H$4:$H$203,$A33))</f>
        <v/>
      </c>
      <c r="O33" s="39" t="str">
        <f aca="false">IF($A33="","",IFERROR($N33/$M33,""))</f>
        <v/>
      </c>
      <c r="P33" s="38" t="str">
        <f aca="false">IF($A33="","",SUMIFS('Thanh toán'!$H$4:$H$203,'Thanh toán'!$E$4:$E$203,$A33))</f>
        <v/>
      </c>
      <c r="Q33" s="38" t="str">
        <f aca="false">IF($A33="","",SUMIFS('Công nợ'!$I$4:$I$203,'Công nợ'!$D$4:$D$203,$A33))</f>
        <v/>
      </c>
      <c r="R33" s="38" t="str">
        <f aca="false">IF($A33="","",SUMIFS('Công nợ'!$I$4:$I$203,'Công nợ'!$D$4:$D$203,$A33,'Công nợ'!$K$4:$K$203,"&gt;0"))</f>
        <v/>
      </c>
    </row>
    <row r="34" customFormat="false" ht="15" hidden="false" customHeight="false" outlineLevel="0" collapsed="false">
      <c r="A34" s="37" t="str">
        <f aca="false">IF('Nhà cung cấp'!$A34="","",'Nhà cung cấp'!$A34)</f>
        <v/>
      </c>
      <c r="B34" s="37" t="str">
        <f aca="false">IF($A34="","",'Nhà cung cấp'!$B34)</f>
        <v/>
      </c>
      <c r="C34" s="37" t="str">
        <f aca="false">IF($A34="","",'Nhà cung cấp'!$H34)</f>
        <v/>
      </c>
      <c r="D34" s="38" t="str">
        <f aca="false">IF($A34="","",COUNTIFS('Báo giá'!$I$4:$I$203,$A34))</f>
        <v/>
      </c>
      <c r="E34" s="38" t="str">
        <f aca="false">IF($A34="","",COUNTIFS('Báo giá'!$I$4:$I$203,$A34,'Báo giá'!$T$4:$T$203,"x"))</f>
        <v/>
      </c>
      <c r="F34" s="39" t="str">
        <f aca="false">IF($A34="","",IFERROR($E34/$D34,""))</f>
        <v/>
      </c>
      <c r="G34" s="38" t="str">
        <f aca="false">IF($A34="","",COUNTIFS(PO!$H$4:$H$203,$A34))</f>
        <v/>
      </c>
      <c r="H34" s="38" t="str">
        <f aca="false">IF($A34="","",SUMIFS(PO!$L$4:$L$203,PO!$H$4:$H$203,$A34))</f>
        <v/>
      </c>
      <c r="I34" s="38" t="str">
        <f aca="false">IF($A34="","",SUMIFS(PO!$N$4:$N$203,PO!$H$4:$H$203,$A34))</f>
        <v/>
      </c>
      <c r="J34" s="38" t="str">
        <f aca="false">IF($A34="","",COUNTIFS(PO!$H$4:$H$203,$A34,PO!$S$4:$S$203,"Đúng hạn")+COUNTIFS(PO!$H$4:$H$203,$A34,PO!$S$4:$S$203,"Giao trễ")+COUNTIFS(PO!$H$4:$H$203,$A34,PO!$S$4:$S$203,"Trễ hạn"))</f>
        <v/>
      </c>
      <c r="K34" s="38" t="str">
        <f aca="false">IF($A34="","",COUNTIFS(PO!$H$4:$H$203,$A34,PO!$S$4:$S$203,"Đúng hạn"))</f>
        <v/>
      </c>
      <c r="L34" s="39" t="str">
        <f aca="false">IF($A34="","",IFERROR($K34/$J34,""))</f>
        <v/>
      </c>
      <c r="M34" s="38" t="str">
        <f aca="false">IF($A34="","",SUMIFS(PO!$U$4:$U$203,PO!$H$4:$H$203,$A34))</f>
        <v/>
      </c>
      <c r="N34" s="38" t="str">
        <f aca="false">IF($A34="","",SUMIFS(PO!$V$4:$V$203,PO!$H$4:$H$203,$A34))</f>
        <v/>
      </c>
      <c r="O34" s="39" t="str">
        <f aca="false">IF($A34="","",IFERROR($N34/$M34,""))</f>
        <v/>
      </c>
      <c r="P34" s="38" t="str">
        <f aca="false">IF($A34="","",SUMIFS('Thanh toán'!$H$4:$H$203,'Thanh toán'!$E$4:$E$203,$A34))</f>
        <v/>
      </c>
      <c r="Q34" s="38" t="str">
        <f aca="false">IF($A34="","",SUMIFS('Công nợ'!$I$4:$I$203,'Công nợ'!$D$4:$D$203,$A34))</f>
        <v/>
      </c>
      <c r="R34" s="38" t="str">
        <f aca="false">IF($A34="","",SUMIFS('Công nợ'!$I$4:$I$203,'Công nợ'!$D$4:$D$203,$A34,'Công nợ'!$K$4:$K$203,"&gt;0"))</f>
        <v/>
      </c>
    </row>
    <row r="35" customFormat="false" ht="15" hidden="false" customHeight="false" outlineLevel="0" collapsed="false">
      <c r="A35" s="37" t="str">
        <f aca="false">IF('Nhà cung cấp'!$A35="","",'Nhà cung cấp'!$A35)</f>
        <v/>
      </c>
      <c r="B35" s="37" t="str">
        <f aca="false">IF($A35="","",'Nhà cung cấp'!$B35)</f>
        <v/>
      </c>
      <c r="C35" s="37" t="str">
        <f aca="false">IF($A35="","",'Nhà cung cấp'!$H35)</f>
        <v/>
      </c>
      <c r="D35" s="38" t="str">
        <f aca="false">IF($A35="","",COUNTIFS('Báo giá'!$I$4:$I$203,$A35))</f>
        <v/>
      </c>
      <c r="E35" s="38" t="str">
        <f aca="false">IF($A35="","",COUNTIFS('Báo giá'!$I$4:$I$203,$A35,'Báo giá'!$T$4:$T$203,"x"))</f>
        <v/>
      </c>
      <c r="F35" s="39" t="str">
        <f aca="false">IF($A35="","",IFERROR($E35/$D35,""))</f>
        <v/>
      </c>
      <c r="G35" s="38" t="str">
        <f aca="false">IF($A35="","",COUNTIFS(PO!$H$4:$H$203,$A35))</f>
        <v/>
      </c>
      <c r="H35" s="38" t="str">
        <f aca="false">IF($A35="","",SUMIFS(PO!$L$4:$L$203,PO!$H$4:$H$203,$A35))</f>
        <v/>
      </c>
      <c r="I35" s="38" t="str">
        <f aca="false">IF($A35="","",SUMIFS(PO!$N$4:$N$203,PO!$H$4:$H$203,$A35))</f>
        <v/>
      </c>
      <c r="J35" s="38" t="str">
        <f aca="false">IF($A35="","",COUNTIFS(PO!$H$4:$H$203,$A35,PO!$S$4:$S$203,"Đúng hạn")+COUNTIFS(PO!$H$4:$H$203,$A35,PO!$S$4:$S$203,"Giao trễ")+COUNTIFS(PO!$H$4:$H$203,$A35,PO!$S$4:$S$203,"Trễ hạn"))</f>
        <v/>
      </c>
      <c r="K35" s="38" t="str">
        <f aca="false">IF($A35="","",COUNTIFS(PO!$H$4:$H$203,$A35,PO!$S$4:$S$203,"Đúng hạn"))</f>
        <v/>
      </c>
      <c r="L35" s="39" t="str">
        <f aca="false">IF($A35="","",IFERROR($K35/$J35,""))</f>
        <v/>
      </c>
      <c r="M35" s="38" t="str">
        <f aca="false">IF($A35="","",SUMIFS(PO!$U$4:$U$203,PO!$H$4:$H$203,$A35))</f>
        <v/>
      </c>
      <c r="N35" s="38" t="str">
        <f aca="false">IF($A35="","",SUMIFS(PO!$V$4:$V$203,PO!$H$4:$H$203,$A35))</f>
        <v/>
      </c>
      <c r="O35" s="39" t="str">
        <f aca="false">IF($A35="","",IFERROR($N35/$M35,""))</f>
        <v/>
      </c>
      <c r="P35" s="38" t="str">
        <f aca="false">IF($A35="","",SUMIFS('Thanh toán'!$H$4:$H$203,'Thanh toán'!$E$4:$E$203,$A35))</f>
        <v/>
      </c>
      <c r="Q35" s="38" t="str">
        <f aca="false">IF($A35="","",SUMIFS('Công nợ'!$I$4:$I$203,'Công nợ'!$D$4:$D$203,$A35))</f>
        <v/>
      </c>
      <c r="R35" s="38" t="str">
        <f aca="false">IF($A35="","",SUMIFS('Công nợ'!$I$4:$I$203,'Công nợ'!$D$4:$D$203,$A35,'Công nợ'!$K$4:$K$203,"&gt;0"))</f>
        <v/>
      </c>
    </row>
    <row r="36" customFormat="false" ht="15" hidden="false" customHeight="false" outlineLevel="0" collapsed="false">
      <c r="A36" s="37" t="str">
        <f aca="false">IF('Nhà cung cấp'!$A36="","",'Nhà cung cấp'!$A36)</f>
        <v/>
      </c>
      <c r="B36" s="37" t="str">
        <f aca="false">IF($A36="","",'Nhà cung cấp'!$B36)</f>
        <v/>
      </c>
      <c r="C36" s="37" t="str">
        <f aca="false">IF($A36="","",'Nhà cung cấp'!$H36)</f>
        <v/>
      </c>
      <c r="D36" s="38" t="str">
        <f aca="false">IF($A36="","",COUNTIFS('Báo giá'!$I$4:$I$203,$A36))</f>
        <v/>
      </c>
      <c r="E36" s="38" t="str">
        <f aca="false">IF($A36="","",COUNTIFS('Báo giá'!$I$4:$I$203,$A36,'Báo giá'!$T$4:$T$203,"x"))</f>
        <v/>
      </c>
      <c r="F36" s="39" t="str">
        <f aca="false">IF($A36="","",IFERROR($E36/$D36,""))</f>
        <v/>
      </c>
      <c r="G36" s="38" t="str">
        <f aca="false">IF($A36="","",COUNTIFS(PO!$H$4:$H$203,$A36))</f>
        <v/>
      </c>
      <c r="H36" s="38" t="str">
        <f aca="false">IF($A36="","",SUMIFS(PO!$L$4:$L$203,PO!$H$4:$H$203,$A36))</f>
        <v/>
      </c>
      <c r="I36" s="38" t="str">
        <f aca="false">IF($A36="","",SUMIFS(PO!$N$4:$N$203,PO!$H$4:$H$203,$A36))</f>
        <v/>
      </c>
      <c r="J36" s="38" t="str">
        <f aca="false">IF($A36="","",COUNTIFS(PO!$H$4:$H$203,$A36,PO!$S$4:$S$203,"Đúng hạn")+COUNTIFS(PO!$H$4:$H$203,$A36,PO!$S$4:$S$203,"Giao trễ")+COUNTIFS(PO!$H$4:$H$203,$A36,PO!$S$4:$S$203,"Trễ hạn"))</f>
        <v/>
      </c>
      <c r="K36" s="38" t="str">
        <f aca="false">IF($A36="","",COUNTIFS(PO!$H$4:$H$203,$A36,PO!$S$4:$S$203,"Đúng hạn"))</f>
        <v/>
      </c>
      <c r="L36" s="39" t="str">
        <f aca="false">IF($A36="","",IFERROR($K36/$J36,""))</f>
        <v/>
      </c>
      <c r="M36" s="38" t="str">
        <f aca="false">IF($A36="","",SUMIFS(PO!$U$4:$U$203,PO!$H$4:$H$203,$A36))</f>
        <v/>
      </c>
      <c r="N36" s="38" t="str">
        <f aca="false">IF($A36="","",SUMIFS(PO!$V$4:$V$203,PO!$H$4:$H$203,$A36))</f>
        <v/>
      </c>
      <c r="O36" s="39" t="str">
        <f aca="false">IF($A36="","",IFERROR($N36/$M36,""))</f>
        <v/>
      </c>
      <c r="P36" s="38" t="str">
        <f aca="false">IF($A36="","",SUMIFS('Thanh toán'!$H$4:$H$203,'Thanh toán'!$E$4:$E$203,$A36))</f>
        <v/>
      </c>
      <c r="Q36" s="38" t="str">
        <f aca="false">IF($A36="","",SUMIFS('Công nợ'!$I$4:$I$203,'Công nợ'!$D$4:$D$203,$A36))</f>
        <v/>
      </c>
      <c r="R36" s="38" t="str">
        <f aca="false">IF($A36="","",SUMIFS('Công nợ'!$I$4:$I$203,'Công nợ'!$D$4:$D$203,$A36,'Công nợ'!$K$4:$K$203,"&gt;0"))</f>
        <v/>
      </c>
    </row>
    <row r="37" customFormat="false" ht="15" hidden="false" customHeight="false" outlineLevel="0" collapsed="false">
      <c r="A37" s="37" t="str">
        <f aca="false">IF('Nhà cung cấp'!$A37="","",'Nhà cung cấp'!$A37)</f>
        <v/>
      </c>
      <c r="B37" s="37" t="str">
        <f aca="false">IF($A37="","",'Nhà cung cấp'!$B37)</f>
        <v/>
      </c>
      <c r="C37" s="37" t="str">
        <f aca="false">IF($A37="","",'Nhà cung cấp'!$H37)</f>
        <v/>
      </c>
      <c r="D37" s="38" t="str">
        <f aca="false">IF($A37="","",COUNTIFS('Báo giá'!$I$4:$I$203,$A37))</f>
        <v/>
      </c>
      <c r="E37" s="38" t="str">
        <f aca="false">IF($A37="","",COUNTIFS('Báo giá'!$I$4:$I$203,$A37,'Báo giá'!$T$4:$T$203,"x"))</f>
        <v/>
      </c>
      <c r="F37" s="39" t="str">
        <f aca="false">IF($A37="","",IFERROR($E37/$D37,""))</f>
        <v/>
      </c>
      <c r="G37" s="38" t="str">
        <f aca="false">IF($A37="","",COUNTIFS(PO!$H$4:$H$203,$A37))</f>
        <v/>
      </c>
      <c r="H37" s="38" t="str">
        <f aca="false">IF($A37="","",SUMIFS(PO!$L$4:$L$203,PO!$H$4:$H$203,$A37))</f>
        <v/>
      </c>
      <c r="I37" s="38" t="str">
        <f aca="false">IF($A37="","",SUMIFS(PO!$N$4:$N$203,PO!$H$4:$H$203,$A37))</f>
        <v/>
      </c>
      <c r="J37" s="38" t="str">
        <f aca="false">IF($A37="","",COUNTIFS(PO!$H$4:$H$203,$A37,PO!$S$4:$S$203,"Đúng hạn")+COUNTIFS(PO!$H$4:$H$203,$A37,PO!$S$4:$S$203,"Giao trễ")+COUNTIFS(PO!$H$4:$H$203,$A37,PO!$S$4:$S$203,"Trễ hạn"))</f>
        <v/>
      </c>
      <c r="K37" s="38" t="str">
        <f aca="false">IF($A37="","",COUNTIFS(PO!$H$4:$H$203,$A37,PO!$S$4:$S$203,"Đúng hạn"))</f>
        <v/>
      </c>
      <c r="L37" s="39" t="str">
        <f aca="false">IF($A37="","",IFERROR($K37/$J37,""))</f>
        <v/>
      </c>
      <c r="M37" s="38" t="str">
        <f aca="false">IF($A37="","",SUMIFS(PO!$U$4:$U$203,PO!$H$4:$H$203,$A37))</f>
        <v/>
      </c>
      <c r="N37" s="38" t="str">
        <f aca="false">IF($A37="","",SUMIFS(PO!$V$4:$V$203,PO!$H$4:$H$203,$A37))</f>
        <v/>
      </c>
      <c r="O37" s="39" t="str">
        <f aca="false">IF($A37="","",IFERROR($N37/$M37,""))</f>
        <v/>
      </c>
      <c r="P37" s="38" t="str">
        <f aca="false">IF($A37="","",SUMIFS('Thanh toán'!$H$4:$H$203,'Thanh toán'!$E$4:$E$203,$A37))</f>
        <v/>
      </c>
      <c r="Q37" s="38" t="str">
        <f aca="false">IF($A37="","",SUMIFS('Công nợ'!$I$4:$I$203,'Công nợ'!$D$4:$D$203,$A37))</f>
        <v/>
      </c>
      <c r="R37" s="38" t="str">
        <f aca="false">IF($A37="","",SUMIFS('Công nợ'!$I$4:$I$203,'Công nợ'!$D$4:$D$203,$A37,'Công nợ'!$K$4:$K$203,"&gt;0"))</f>
        <v/>
      </c>
    </row>
    <row r="38" customFormat="false" ht="15" hidden="false" customHeight="false" outlineLevel="0" collapsed="false">
      <c r="A38" s="37" t="str">
        <f aca="false">IF('Nhà cung cấp'!$A38="","",'Nhà cung cấp'!$A38)</f>
        <v/>
      </c>
      <c r="B38" s="37" t="str">
        <f aca="false">IF($A38="","",'Nhà cung cấp'!$B38)</f>
        <v/>
      </c>
      <c r="C38" s="37" t="str">
        <f aca="false">IF($A38="","",'Nhà cung cấp'!$H38)</f>
        <v/>
      </c>
      <c r="D38" s="38" t="str">
        <f aca="false">IF($A38="","",COUNTIFS('Báo giá'!$I$4:$I$203,$A38))</f>
        <v/>
      </c>
      <c r="E38" s="38" t="str">
        <f aca="false">IF($A38="","",COUNTIFS('Báo giá'!$I$4:$I$203,$A38,'Báo giá'!$T$4:$T$203,"x"))</f>
        <v/>
      </c>
      <c r="F38" s="39" t="str">
        <f aca="false">IF($A38="","",IFERROR($E38/$D38,""))</f>
        <v/>
      </c>
      <c r="G38" s="38" t="str">
        <f aca="false">IF($A38="","",COUNTIFS(PO!$H$4:$H$203,$A38))</f>
        <v/>
      </c>
      <c r="H38" s="38" t="str">
        <f aca="false">IF($A38="","",SUMIFS(PO!$L$4:$L$203,PO!$H$4:$H$203,$A38))</f>
        <v/>
      </c>
      <c r="I38" s="38" t="str">
        <f aca="false">IF($A38="","",SUMIFS(PO!$N$4:$N$203,PO!$H$4:$H$203,$A38))</f>
        <v/>
      </c>
      <c r="J38" s="38" t="str">
        <f aca="false">IF($A38="","",COUNTIFS(PO!$H$4:$H$203,$A38,PO!$S$4:$S$203,"Đúng hạn")+COUNTIFS(PO!$H$4:$H$203,$A38,PO!$S$4:$S$203,"Giao trễ")+COUNTIFS(PO!$H$4:$H$203,$A38,PO!$S$4:$S$203,"Trễ hạn"))</f>
        <v/>
      </c>
      <c r="K38" s="38" t="str">
        <f aca="false">IF($A38="","",COUNTIFS(PO!$H$4:$H$203,$A38,PO!$S$4:$S$203,"Đúng hạn"))</f>
        <v/>
      </c>
      <c r="L38" s="39" t="str">
        <f aca="false">IF($A38="","",IFERROR($K38/$J38,""))</f>
        <v/>
      </c>
      <c r="M38" s="38" t="str">
        <f aca="false">IF($A38="","",SUMIFS(PO!$U$4:$U$203,PO!$H$4:$H$203,$A38))</f>
        <v/>
      </c>
      <c r="N38" s="38" t="str">
        <f aca="false">IF($A38="","",SUMIFS(PO!$V$4:$V$203,PO!$H$4:$H$203,$A38))</f>
        <v/>
      </c>
      <c r="O38" s="39" t="str">
        <f aca="false">IF($A38="","",IFERROR($N38/$M38,""))</f>
        <v/>
      </c>
      <c r="P38" s="38" t="str">
        <f aca="false">IF($A38="","",SUMIFS('Thanh toán'!$H$4:$H$203,'Thanh toán'!$E$4:$E$203,$A38))</f>
        <v/>
      </c>
      <c r="Q38" s="38" t="str">
        <f aca="false">IF($A38="","",SUMIFS('Công nợ'!$I$4:$I$203,'Công nợ'!$D$4:$D$203,$A38))</f>
        <v/>
      </c>
      <c r="R38" s="38" t="str">
        <f aca="false">IF($A38="","",SUMIFS('Công nợ'!$I$4:$I$203,'Công nợ'!$D$4:$D$203,$A38,'Công nợ'!$K$4:$K$203,"&gt;0"))</f>
        <v/>
      </c>
    </row>
    <row r="39" customFormat="false" ht="15" hidden="false" customHeight="false" outlineLevel="0" collapsed="false">
      <c r="A39" s="37" t="str">
        <f aca="false">IF('Nhà cung cấp'!$A39="","",'Nhà cung cấp'!$A39)</f>
        <v/>
      </c>
      <c r="B39" s="37" t="str">
        <f aca="false">IF($A39="","",'Nhà cung cấp'!$B39)</f>
        <v/>
      </c>
      <c r="C39" s="37" t="str">
        <f aca="false">IF($A39="","",'Nhà cung cấp'!$H39)</f>
        <v/>
      </c>
      <c r="D39" s="38" t="str">
        <f aca="false">IF($A39="","",COUNTIFS('Báo giá'!$I$4:$I$203,$A39))</f>
        <v/>
      </c>
      <c r="E39" s="38" t="str">
        <f aca="false">IF($A39="","",COUNTIFS('Báo giá'!$I$4:$I$203,$A39,'Báo giá'!$T$4:$T$203,"x"))</f>
        <v/>
      </c>
      <c r="F39" s="39" t="str">
        <f aca="false">IF($A39="","",IFERROR($E39/$D39,""))</f>
        <v/>
      </c>
      <c r="G39" s="38" t="str">
        <f aca="false">IF($A39="","",COUNTIFS(PO!$H$4:$H$203,$A39))</f>
        <v/>
      </c>
      <c r="H39" s="38" t="str">
        <f aca="false">IF($A39="","",SUMIFS(PO!$L$4:$L$203,PO!$H$4:$H$203,$A39))</f>
        <v/>
      </c>
      <c r="I39" s="38" t="str">
        <f aca="false">IF($A39="","",SUMIFS(PO!$N$4:$N$203,PO!$H$4:$H$203,$A39))</f>
        <v/>
      </c>
      <c r="J39" s="38" t="str">
        <f aca="false">IF($A39="","",COUNTIFS(PO!$H$4:$H$203,$A39,PO!$S$4:$S$203,"Đúng hạn")+COUNTIFS(PO!$H$4:$H$203,$A39,PO!$S$4:$S$203,"Giao trễ")+COUNTIFS(PO!$H$4:$H$203,$A39,PO!$S$4:$S$203,"Trễ hạn"))</f>
        <v/>
      </c>
      <c r="K39" s="38" t="str">
        <f aca="false">IF($A39="","",COUNTIFS(PO!$H$4:$H$203,$A39,PO!$S$4:$S$203,"Đúng hạn"))</f>
        <v/>
      </c>
      <c r="L39" s="39" t="str">
        <f aca="false">IF($A39="","",IFERROR($K39/$J39,""))</f>
        <v/>
      </c>
      <c r="M39" s="38" t="str">
        <f aca="false">IF($A39="","",SUMIFS(PO!$U$4:$U$203,PO!$H$4:$H$203,$A39))</f>
        <v/>
      </c>
      <c r="N39" s="38" t="str">
        <f aca="false">IF($A39="","",SUMIFS(PO!$V$4:$V$203,PO!$H$4:$H$203,$A39))</f>
        <v/>
      </c>
      <c r="O39" s="39" t="str">
        <f aca="false">IF($A39="","",IFERROR($N39/$M39,""))</f>
        <v/>
      </c>
      <c r="P39" s="38" t="str">
        <f aca="false">IF($A39="","",SUMIFS('Thanh toán'!$H$4:$H$203,'Thanh toán'!$E$4:$E$203,$A39))</f>
        <v/>
      </c>
      <c r="Q39" s="38" t="str">
        <f aca="false">IF($A39="","",SUMIFS('Công nợ'!$I$4:$I$203,'Công nợ'!$D$4:$D$203,$A39))</f>
        <v/>
      </c>
      <c r="R39" s="38" t="str">
        <f aca="false">IF($A39="","",SUMIFS('Công nợ'!$I$4:$I$203,'Công nợ'!$D$4:$D$203,$A39,'Công nợ'!$K$4:$K$203,"&gt;0"))</f>
        <v/>
      </c>
    </row>
    <row r="40" customFormat="false" ht="15" hidden="false" customHeight="false" outlineLevel="0" collapsed="false">
      <c r="A40" s="37" t="str">
        <f aca="false">IF('Nhà cung cấp'!$A40="","",'Nhà cung cấp'!$A40)</f>
        <v/>
      </c>
      <c r="B40" s="37" t="str">
        <f aca="false">IF($A40="","",'Nhà cung cấp'!$B40)</f>
        <v/>
      </c>
      <c r="C40" s="37" t="str">
        <f aca="false">IF($A40="","",'Nhà cung cấp'!$H40)</f>
        <v/>
      </c>
      <c r="D40" s="38" t="str">
        <f aca="false">IF($A40="","",COUNTIFS('Báo giá'!$I$4:$I$203,$A40))</f>
        <v/>
      </c>
      <c r="E40" s="38" t="str">
        <f aca="false">IF($A40="","",COUNTIFS('Báo giá'!$I$4:$I$203,$A40,'Báo giá'!$T$4:$T$203,"x"))</f>
        <v/>
      </c>
      <c r="F40" s="39" t="str">
        <f aca="false">IF($A40="","",IFERROR($E40/$D40,""))</f>
        <v/>
      </c>
      <c r="G40" s="38" t="str">
        <f aca="false">IF($A40="","",COUNTIFS(PO!$H$4:$H$203,$A40))</f>
        <v/>
      </c>
      <c r="H40" s="38" t="str">
        <f aca="false">IF($A40="","",SUMIFS(PO!$L$4:$L$203,PO!$H$4:$H$203,$A40))</f>
        <v/>
      </c>
      <c r="I40" s="38" t="str">
        <f aca="false">IF($A40="","",SUMIFS(PO!$N$4:$N$203,PO!$H$4:$H$203,$A40))</f>
        <v/>
      </c>
      <c r="J40" s="38" t="str">
        <f aca="false">IF($A40="","",COUNTIFS(PO!$H$4:$H$203,$A40,PO!$S$4:$S$203,"Đúng hạn")+COUNTIFS(PO!$H$4:$H$203,$A40,PO!$S$4:$S$203,"Giao trễ")+COUNTIFS(PO!$H$4:$H$203,$A40,PO!$S$4:$S$203,"Trễ hạn"))</f>
        <v/>
      </c>
      <c r="K40" s="38" t="str">
        <f aca="false">IF($A40="","",COUNTIFS(PO!$H$4:$H$203,$A40,PO!$S$4:$S$203,"Đúng hạn"))</f>
        <v/>
      </c>
      <c r="L40" s="39" t="str">
        <f aca="false">IF($A40="","",IFERROR($K40/$J40,""))</f>
        <v/>
      </c>
      <c r="M40" s="38" t="str">
        <f aca="false">IF($A40="","",SUMIFS(PO!$U$4:$U$203,PO!$H$4:$H$203,$A40))</f>
        <v/>
      </c>
      <c r="N40" s="38" t="str">
        <f aca="false">IF($A40="","",SUMIFS(PO!$V$4:$V$203,PO!$H$4:$H$203,$A40))</f>
        <v/>
      </c>
      <c r="O40" s="39" t="str">
        <f aca="false">IF($A40="","",IFERROR($N40/$M40,""))</f>
        <v/>
      </c>
      <c r="P40" s="38" t="str">
        <f aca="false">IF($A40="","",SUMIFS('Thanh toán'!$H$4:$H$203,'Thanh toán'!$E$4:$E$203,$A40))</f>
        <v/>
      </c>
      <c r="Q40" s="38" t="str">
        <f aca="false">IF($A40="","",SUMIFS('Công nợ'!$I$4:$I$203,'Công nợ'!$D$4:$D$203,$A40))</f>
        <v/>
      </c>
      <c r="R40" s="38" t="str">
        <f aca="false">IF($A40="","",SUMIFS('Công nợ'!$I$4:$I$203,'Công nợ'!$D$4:$D$203,$A40,'Công nợ'!$K$4:$K$203,"&gt;0"))</f>
        <v/>
      </c>
    </row>
    <row r="41" customFormat="false" ht="15" hidden="false" customHeight="false" outlineLevel="0" collapsed="false">
      <c r="A41" s="37" t="str">
        <f aca="false">IF('Nhà cung cấp'!$A41="","",'Nhà cung cấp'!$A41)</f>
        <v/>
      </c>
      <c r="B41" s="37" t="str">
        <f aca="false">IF($A41="","",'Nhà cung cấp'!$B41)</f>
        <v/>
      </c>
      <c r="C41" s="37" t="str">
        <f aca="false">IF($A41="","",'Nhà cung cấp'!$H41)</f>
        <v/>
      </c>
      <c r="D41" s="38" t="str">
        <f aca="false">IF($A41="","",COUNTIFS('Báo giá'!$I$4:$I$203,$A41))</f>
        <v/>
      </c>
      <c r="E41" s="38" t="str">
        <f aca="false">IF($A41="","",COUNTIFS('Báo giá'!$I$4:$I$203,$A41,'Báo giá'!$T$4:$T$203,"x"))</f>
        <v/>
      </c>
      <c r="F41" s="39" t="str">
        <f aca="false">IF($A41="","",IFERROR($E41/$D41,""))</f>
        <v/>
      </c>
      <c r="G41" s="38" t="str">
        <f aca="false">IF($A41="","",COUNTIFS(PO!$H$4:$H$203,$A41))</f>
        <v/>
      </c>
      <c r="H41" s="38" t="str">
        <f aca="false">IF($A41="","",SUMIFS(PO!$L$4:$L$203,PO!$H$4:$H$203,$A41))</f>
        <v/>
      </c>
      <c r="I41" s="38" t="str">
        <f aca="false">IF($A41="","",SUMIFS(PO!$N$4:$N$203,PO!$H$4:$H$203,$A41))</f>
        <v/>
      </c>
      <c r="J41" s="38" t="str">
        <f aca="false">IF($A41="","",COUNTIFS(PO!$H$4:$H$203,$A41,PO!$S$4:$S$203,"Đúng hạn")+COUNTIFS(PO!$H$4:$H$203,$A41,PO!$S$4:$S$203,"Giao trễ")+COUNTIFS(PO!$H$4:$H$203,$A41,PO!$S$4:$S$203,"Trễ hạn"))</f>
        <v/>
      </c>
      <c r="K41" s="38" t="str">
        <f aca="false">IF($A41="","",COUNTIFS(PO!$H$4:$H$203,$A41,PO!$S$4:$S$203,"Đúng hạn"))</f>
        <v/>
      </c>
      <c r="L41" s="39" t="str">
        <f aca="false">IF($A41="","",IFERROR($K41/$J41,""))</f>
        <v/>
      </c>
      <c r="M41" s="38" t="str">
        <f aca="false">IF($A41="","",SUMIFS(PO!$U$4:$U$203,PO!$H$4:$H$203,$A41))</f>
        <v/>
      </c>
      <c r="N41" s="38" t="str">
        <f aca="false">IF($A41="","",SUMIFS(PO!$V$4:$V$203,PO!$H$4:$H$203,$A41))</f>
        <v/>
      </c>
      <c r="O41" s="39" t="str">
        <f aca="false">IF($A41="","",IFERROR($N41/$M41,""))</f>
        <v/>
      </c>
      <c r="P41" s="38" t="str">
        <f aca="false">IF($A41="","",SUMIFS('Thanh toán'!$H$4:$H$203,'Thanh toán'!$E$4:$E$203,$A41))</f>
        <v/>
      </c>
      <c r="Q41" s="38" t="str">
        <f aca="false">IF($A41="","",SUMIFS('Công nợ'!$I$4:$I$203,'Công nợ'!$D$4:$D$203,$A41))</f>
        <v/>
      </c>
      <c r="R41" s="38" t="str">
        <f aca="false">IF($A41="","",SUMIFS('Công nợ'!$I$4:$I$203,'Công nợ'!$D$4:$D$203,$A41,'Công nợ'!$K$4:$K$203,"&gt;0"))</f>
        <v/>
      </c>
    </row>
    <row r="42" customFormat="false" ht="15" hidden="false" customHeight="false" outlineLevel="0" collapsed="false">
      <c r="A42" s="37" t="str">
        <f aca="false">IF('Nhà cung cấp'!$A42="","",'Nhà cung cấp'!$A42)</f>
        <v/>
      </c>
      <c r="B42" s="37" t="str">
        <f aca="false">IF($A42="","",'Nhà cung cấp'!$B42)</f>
        <v/>
      </c>
      <c r="C42" s="37" t="str">
        <f aca="false">IF($A42="","",'Nhà cung cấp'!$H42)</f>
        <v/>
      </c>
      <c r="D42" s="38" t="str">
        <f aca="false">IF($A42="","",COUNTIFS('Báo giá'!$I$4:$I$203,$A42))</f>
        <v/>
      </c>
      <c r="E42" s="38" t="str">
        <f aca="false">IF($A42="","",COUNTIFS('Báo giá'!$I$4:$I$203,$A42,'Báo giá'!$T$4:$T$203,"x"))</f>
        <v/>
      </c>
      <c r="F42" s="39" t="str">
        <f aca="false">IF($A42="","",IFERROR($E42/$D42,""))</f>
        <v/>
      </c>
      <c r="G42" s="38" t="str">
        <f aca="false">IF($A42="","",COUNTIFS(PO!$H$4:$H$203,$A42))</f>
        <v/>
      </c>
      <c r="H42" s="38" t="str">
        <f aca="false">IF($A42="","",SUMIFS(PO!$L$4:$L$203,PO!$H$4:$H$203,$A42))</f>
        <v/>
      </c>
      <c r="I42" s="38" t="str">
        <f aca="false">IF($A42="","",SUMIFS(PO!$N$4:$N$203,PO!$H$4:$H$203,$A42))</f>
        <v/>
      </c>
      <c r="J42" s="38" t="str">
        <f aca="false">IF($A42="","",COUNTIFS(PO!$H$4:$H$203,$A42,PO!$S$4:$S$203,"Đúng hạn")+COUNTIFS(PO!$H$4:$H$203,$A42,PO!$S$4:$S$203,"Giao trễ")+COUNTIFS(PO!$H$4:$H$203,$A42,PO!$S$4:$S$203,"Trễ hạn"))</f>
        <v/>
      </c>
      <c r="K42" s="38" t="str">
        <f aca="false">IF($A42="","",COUNTIFS(PO!$H$4:$H$203,$A42,PO!$S$4:$S$203,"Đúng hạn"))</f>
        <v/>
      </c>
      <c r="L42" s="39" t="str">
        <f aca="false">IF($A42="","",IFERROR($K42/$J42,""))</f>
        <v/>
      </c>
      <c r="M42" s="38" t="str">
        <f aca="false">IF($A42="","",SUMIFS(PO!$U$4:$U$203,PO!$H$4:$H$203,$A42))</f>
        <v/>
      </c>
      <c r="N42" s="38" t="str">
        <f aca="false">IF($A42="","",SUMIFS(PO!$V$4:$V$203,PO!$H$4:$H$203,$A42))</f>
        <v/>
      </c>
      <c r="O42" s="39" t="str">
        <f aca="false">IF($A42="","",IFERROR($N42/$M42,""))</f>
        <v/>
      </c>
      <c r="P42" s="38" t="str">
        <f aca="false">IF($A42="","",SUMIFS('Thanh toán'!$H$4:$H$203,'Thanh toán'!$E$4:$E$203,$A42))</f>
        <v/>
      </c>
      <c r="Q42" s="38" t="str">
        <f aca="false">IF($A42="","",SUMIFS('Công nợ'!$I$4:$I$203,'Công nợ'!$D$4:$D$203,$A42))</f>
        <v/>
      </c>
      <c r="R42" s="38" t="str">
        <f aca="false">IF($A42="","",SUMIFS('Công nợ'!$I$4:$I$203,'Công nợ'!$D$4:$D$203,$A42,'Công nợ'!$K$4:$K$203,"&gt;0"))</f>
        <v/>
      </c>
    </row>
    <row r="43" customFormat="false" ht="15" hidden="false" customHeight="false" outlineLevel="0" collapsed="false">
      <c r="A43" s="37" t="str">
        <f aca="false">IF('Nhà cung cấp'!$A43="","",'Nhà cung cấp'!$A43)</f>
        <v/>
      </c>
      <c r="B43" s="37" t="str">
        <f aca="false">IF($A43="","",'Nhà cung cấp'!$B43)</f>
        <v/>
      </c>
      <c r="C43" s="37" t="str">
        <f aca="false">IF($A43="","",'Nhà cung cấp'!$H43)</f>
        <v/>
      </c>
      <c r="D43" s="38" t="str">
        <f aca="false">IF($A43="","",COUNTIFS('Báo giá'!$I$4:$I$203,$A43))</f>
        <v/>
      </c>
      <c r="E43" s="38" t="str">
        <f aca="false">IF($A43="","",COUNTIFS('Báo giá'!$I$4:$I$203,$A43,'Báo giá'!$T$4:$T$203,"x"))</f>
        <v/>
      </c>
      <c r="F43" s="39" t="str">
        <f aca="false">IF($A43="","",IFERROR($E43/$D43,""))</f>
        <v/>
      </c>
      <c r="G43" s="38" t="str">
        <f aca="false">IF($A43="","",COUNTIFS(PO!$H$4:$H$203,$A43))</f>
        <v/>
      </c>
      <c r="H43" s="38" t="str">
        <f aca="false">IF($A43="","",SUMIFS(PO!$L$4:$L$203,PO!$H$4:$H$203,$A43))</f>
        <v/>
      </c>
      <c r="I43" s="38" t="str">
        <f aca="false">IF($A43="","",SUMIFS(PO!$N$4:$N$203,PO!$H$4:$H$203,$A43))</f>
        <v/>
      </c>
      <c r="J43" s="38" t="str">
        <f aca="false">IF($A43="","",COUNTIFS(PO!$H$4:$H$203,$A43,PO!$S$4:$S$203,"Đúng hạn")+COUNTIFS(PO!$H$4:$H$203,$A43,PO!$S$4:$S$203,"Giao trễ")+COUNTIFS(PO!$H$4:$H$203,$A43,PO!$S$4:$S$203,"Trễ hạn"))</f>
        <v/>
      </c>
      <c r="K43" s="38" t="str">
        <f aca="false">IF($A43="","",COUNTIFS(PO!$H$4:$H$203,$A43,PO!$S$4:$S$203,"Đúng hạn"))</f>
        <v/>
      </c>
      <c r="L43" s="39" t="str">
        <f aca="false">IF($A43="","",IFERROR($K43/$J43,""))</f>
        <v/>
      </c>
      <c r="M43" s="38" t="str">
        <f aca="false">IF($A43="","",SUMIFS(PO!$U$4:$U$203,PO!$H$4:$H$203,$A43))</f>
        <v/>
      </c>
      <c r="N43" s="38" t="str">
        <f aca="false">IF($A43="","",SUMIFS(PO!$V$4:$V$203,PO!$H$4:$H$203,$A43))</f>
        <v/>
      </c>
      <c r="O43" s="39" t="str">
        <f aca="false">IF($A43="","",IFERROR($N43/$M43,""))</f>
        <v/>
      </c>
      <c r="P43" s="38" t="str">
        <f aca="false">IF($A43="","",SUMIFS('Thanh toán'!$H$4:$H$203,'Thanh toán'!$E$4:$E$203,$A43))</f>
        <v/>
      </c>
      <c r="Q43" s="38" t="str">
        <f aca="false">IF($A43="","",SUMIFS('Công nợ'!$I$4:$I$203,'Công nợ'!$D$4:$D$203,$A43))</f>
        <v/>
      </c>
      <c r="R43" s="38" t="str">
        <f aca="false">IF($A43="","",SUMIFS('Công nợ'!$I$4:$I$203,'Công nợ'!$D$4:$D$203,$A43,'Công nợ'!$K$4:$K$203,"&gt;0"))</f>
        <v/>
      </c>
    </row>
    <row r="44" customFormat="false" ht="15" hidden="false" customHeight="false" outlineLevel="0" collapsed="false">
      <c r="A44" s="37" t="str">
        <f aca="false">IF('Nhà cung cấp'!$A44="","",'Nhà cung cấp'!$A44)</f>
        <v/>
      </c>
      <c r="B44" s="37" t="str">
        <f aca="false">IF($A44="","",'Nhà cung cấp'!$B44)</f>
        <v/>
      </c>
      <c r="C44" s="37" t="str">
        <f aca="false">IF($A44="","",'Nhà cung cấp'!$H44)</f>
        <v/>
      </c>
      <c r="D44" s="38" t="str">
        <f aca="false">IF($A44="","",COUNTIFS('Báo giá'!$I$4:$I$203,$A44))</f>
        <v/>
      </c>
      <c r="E44" s="38" t="str">
        <f aca="false">IF($A44="","",COUNTIFS('Báo giá'!$I$4:$I$203,$A44,'Báo giá'!$T$4:$T$203,"x"))</f>
        <v/>
      </c>
      <c r="F44" s="39" t="str">
        <f aca="false">IF($A44="","",IFERROR($E44/$D44,""))</f>
        <v/>
      </c>
      <c r="G44" s="38" t="str">
        <f aca="false">IF($A44="","",COUNTIFS(PO!$H$4:$H$203,$A44))</f>
        <v/>
      </c>
      <c r="H44" s="38" t="str">
        <f aca="false">IF($A44="","",SUMIFS(PO!$L$4:$L$203,PO!$H$4:$H$203,$A44))</f>
        <v/>
      </c>
      <c r="I44" s="38" t="str">
        <f aca="false">IF($A44="","",SUMIFS(PO!$N$4:$N$203,PO!$H$4:$H$203,$A44))</f>
        <v/>
      </c>
      <c r="J44" s="38" t="str">
        <f aca="false">IF($A44="","",COUNTIFS(PO!$H$4:$H$203,$A44,PO!$S$4:$S$203,"Đúng hạn")+COUNTIFS(PO!$H$4:$H$203,$A44,PO!$S$4:$S$203,"Giao trễ")+COUNTIFS(PO!$H$4:$H$203,$A44,PO!$S$4:$S$203,"Trễ hạn"))</f>
        <v/>
      </c>
      <c r="K44" s="38" t="str">
        <f aca="false">IF($A44="","",COUNTIFS(PO!$H$4:$H$203,$A44,PO!$S$4:$S$203,"Đúng hạn"))</f>
        <v/>
      </c>
      <c r="L44" s="39" t="str">
        <f aca="false">IF($A44="","",IFERROR($K44/$J44,""))</f>
        <v/>
      </c>
      <c r="M44" s="38" t="str">
        <f aca="false">IF($A44="","",SUMIFS(PO!$U$4:$U$203,PO!$H$4:$H$203,$A44))</f>
        <v/>
      </c>
      <c r="N44" s="38" t="str">
        <f aca="false">IF($A44="","",SUMIFS(PO!$V$4:$V$203,PO!$H$4:$H$203,$A44))</f>
        <v/>
      </c>
      <c r="O44" s="39" t="str">
        <f aca="false">IF($A44="","",IFERROR($N44/$M44,""))</f>
        <v/>
      </c>
      <c r="P44" s="38" t="str">
        <f aca="false">IF($A44="","",SUMIFS('Thanh toán'!$H$4:$H$203,'Thanh toán'!$E$4:$E$203,$A44))</f>
        <v/>
      </c>
      <c r="Q44" s="38" t="str">
        <f aca="false">IF($A44="","",SUMIFS('Công nợ'!$I$4:$I$203,'Công nợ'!$D$4:$D$203,$A44))</f>
        <v/>
      </c>
      <c r="R44" s="38" t="str">
        <f aca="false">IF($A44="","",SUMIFS('Công nợ'!$I$4:$I$203,'Công nợ'!$D$4:$D$203,$A44,'Công nợ'!$K$4:$K$203,"&gt;0"))</f>
        <v/>
      </c>
    </row>
    <row r="45" customFormat="false" ht="15" hidden="false" customHeight="false" outlineLevel="0" collapsed="false">
      <c r="A45" s="37" t="str">
        <f aca="false">IF('Nhà cung cấp'!$A45="","",'Nhà cung cấp'!$A45)</f>
        <v/>
      </c>
      <c r="B45" s="37" t="str">
        <f aca="false">IF($A45="","",'Nhà cung cấp'!$B45)</f>
        <v/>
      </c>
      <c r="C45" s="37" t="str">
        <f aca="false">IF($A45="","",'Nhà cung cấp'!$H45)</f>
        <v/>
      </c>
      <c r="D45" s="38" t="str">
        <f aca="false">IF($A45="","",COUNTIFS('Báo giá'!$I$4:$I$203,$A45))</f>
        <v/>
      </c>
      <c r="E45" s="38" t="str">
        <f aca="false">IF($A45="","",COUNTIFS('Báo giá'!$I$4:$I$203,$A45,'Báo giá'!$T$4:$T$203,"x"))</f>
        <v/>
      </c>
      <c r="F45" s="39" t="str">
        <f aca="false">IF($A45="","",IFERROR($E45/$D45,""))</f>
        <v/>
      </c>
      <c r="G45" s="38" t="str">
        <f aca="false">IF($A45="","",COUNTIFS(PO!$H$4:$H$203,$A45))</f>
        <v/>
      </c>
      <c r="H45" s="38" t="str">
        <f aca="false">IF($A45="","",SUMIFS(PO!$L$4:$L$203,PO!$H$4:$H$203,$A45))</f>
        <v/>
      </c>
      <c r="I45" s="38" t="str">
        <f aca="false">IF($A45="","",SUMIFS(PO!$N$4:$N$203,PO!$H$4:$H$203,$A45))</f>
        <v/>
      </c>
      <c r="J45" s="38" t="str">
        <f aca="false">IF($A45="","",COUNTIFS(PO!$H$4:$H$203,$A45,PO!$S$4:$S$203,"Đúng hạn")+COUNTIFS(PO!$H$4:$H$203,$A45,PO!$S$4:$S$203,"Giao trễ")+COUNTIFS(PO!$H$4:$H$203,$A45,PO!$S$4:$S$203,"Trễ hạn"))</f>
        <v/>
      </c>
      <c r="K45" s="38" t="str">
        <f aca="false">IF($A45="","",COUNTIFS(PO!$H$4:$H$203,$A45,PO!$S$4:$S$203,"Đúng hạn"))</f>
        <v/>
      </c>
      <c r="L45" s="39" t="str">
        <f aca="false">IF($A45="","",IFERROR($K45/$J45,""))</f>
        <v/>
      </c>
      <c r="M45" s="38" t="str">
        <f aca="false">IF($A45="","",SUMIFS(PO!$U$4:$U$203,PO!$H$4:$H$203,$A45))</f>
        <v/>
      </c>
      <c r="N45" s="38" t="str">
        <f aca="false">IF($A45="","",SUMIFS(PO!$V$4:$V$203,PO!$H$4:$H$203,$A45))</f>
        <v/>
      </c>
      <c r="O45" s="39" t="str">
        <f aca="false">IF($A45="","",IFERROR($N45/$M45,""))</f>
        <v/>
      </c>
      <c r="P45" s="38" t="str">
        <f aca="false">IF($A45="","",SUMIFS('Thanh toán'!$H$4:$H$203,'Thanh toán'!$E$4:$E$203,$A45))</f>
        <v/>
      </c>
      <c r="Q45" s="38" t="str">
        <f aca="false">IF($A45="","",SUMIFS('Công nợ'!$I$4:$I$203,'Công nợ'!$D$4:$D$203,$A45))</f>
        <v/>
      </c>
      <c r="R45" s="38" t="str">
        <f aca="false">IF($A45="","",SUMIFS('Công nợ'!$I$4:$I$203,'Công nợ'!$D$4:$D$203,$A45,'Công nợ'!$K$4:$K$203,"&gt;0"))</f>
        <v/>
      </c>
    </row>
    <row r="46" customFormat="false" ht="15" hidden="false" customHeight="false" outlineLevel="0" collapsed="false">
      <c r="A46" s="37" t="str">
        <f aca="false">IF('Nhà cung cấp'!$A46="","",'Nhà cung cấp'!$A46)</f>
        <v/>
      </c>
      <c r="B46" s="37" t="str">
        <f aca="false">IF($A46="","",'Nhà cung cấp'!$B46)</f>
        <v/>
      </c>
      <c r="C46" s="37" t="str">
        <f aca="false">IF($A46="","",'Nhà cung cấp'!$H46)</f>
        <v/>
      </c>
      <c r="D46" s="38" t="str">
        <f aca="false">IF($A46="","",COUNTIFS('Báo giá'!$I$4:$I$203,$A46))</f>
        <v/>
      </c>
      <c r="E46" s="38" t="str">
        <f aca="false">IF($A46="","",COUNTIFS('Báo giá'!$I$4:$I$203,$A46,'Báo giá'!$T$4:$T$203,"x"))</f>
        <v/>
      </c>
      <c r="F46" s="39" t="str">
        <f aca="false">IF($A46="","",IFERROR($E46/$D46,""))</f>
        <v/>
      </c>
      <c r="G46" s="38" t="str">
        <f aca="false">IF($A46="","",COUNTIFS(PO!$H$4:$H$203,$A46))</f>
        <v/>
      </c>
      <c r="H46" s="38" t="str">
        <f aca="false">IF($A46="","",SUMIFS(PO!$L$4:$L$203,PO!$H$4:$H$203,$A46))</f>
        <v/>
      </c>
      <c r="I46" s="38" t="str">
        <f aca="false">IF($A46="","",SUMIFS(PO!$N$4:$N$203,PO!$H$4:$H$203,$A46))</f>
        <v/>
      </c>
      <c r="J46" s="38" t="str">
        <f aca="false">IF($A46="","",COUNTIFS(PO!$H$4:$H$203,$A46,PO!$S$4:$S$203,"Đúng hạn")+COUNTIFS(PO!$H$4:$H$203,$A46,PO!$S$4:$S$203,"Giao trễ")+COUNTIFS(PO!$H$4:$H$203,$A46,PO!$S$4:$S$203,"Trễ hạn"))</f>
        <v/>
      </c>
      <c r="K46" s="38" t="str">
        <f aca="false">IF($A46="","",COUNTIFS(PO!$H$4:$H$203,$A46,PO!$S$4:$S$203,"Đúng hạn"))</f>
        <v/>
      </c>
      <c r="L46" s="39" t="str">
        <f aca="false">IF($A46="","",IFERROR($K46/$J46,""))</f>
        <v/>
      </c>
      <c r="M46" s="38" t="str">
        <f aca="false">IF($A46="","",SUMIFS(PO!$U$4:$U$203,PO!$H$4:$H$203,$A46))</f>
        <v/>
      </c>
      <c r="N46" s="38" t="str">
        <f aca="false">IF($A46="","",SUMIFS(PO!$V$4:$V$203,PO!$H$4:$H$203,$A46))</f>
        <v/>
      </c>
      <c r="O46" s="39" t="str">
        <f aca="false">IF($A46="","",IFERROR($N46/$M46,""))</f>
        <v/>
      </c>
      <c r="P46" s="38" t="str">
        <f aca="false">IF($A46="","",SUMIFS('Thanh toán'!$H$4:$H$203,'Thanh toán'!$E$4:$E$203,$A46))</f>
        <v/>
      </c>
      <c r="Q46" s="38" t="str">
        <f aca="false">IF($A46="","",SUMIFS('Công nợ'!$I$4:$I$203,'Công nợ'!$D$4:$D$203,$A46))</f>
        <v/>
      </c>
      <c r="R46" s="38" t="str">
        <f aca="false">IF($A46="","",SUMIFS('Công nợ'!$I$4:$I$203,'Công nợ'!$D$4:$D$203,$A46,'Công nợ'!$K$4:$K$203,"&gt;0"))</f>
        <v/>
      </c>
    </row>
    <row r="47" customFormat="false" ht="15" hidden="false" customHeight="false" outlineLevel="0" collapsed="false">
      <c r="A47" s="37" t="str">
        <f aca="false">IF('Nhà cung cấp'!$A47="","",'Nhà cung cấp'!$A47)</f>
        <v/>
      </c>
      <c r="B47" s="37" t="str">
        <f aca="false">IF($A47="","",'Nhà cung cấp'!$B47)</f>
        <v/>
      </c>
      <c r="C47" s="37" t="str">
        <f aca="false">IF($A47="","",'Nhà cung cấp'!$H47)</f>
        <v/>
      </c>
      <c r="D47" s="38" t="str">
        <f aca="false">IF($A47="","",COUNTIFS('Báo giá'!$I$4:$I$203,$A47))</f>
        <v/>
      </c>
      <c r="E47" s="38" t="str">
        <f aca="false">IF($A47="","",COUNTIFS('Báo giá'!$I$4:$I$203,$A47,'Báo giá'!$T$4:$T$203,"x"))</f>
        <v/>
      </c>
      <c r="F47" s="39" t="str">
        <f aca="false">IF($A47="","",IFERROR($E47/$D47,""))</f>
        <v/>
      </c>
      <c r="G47" s="38" t="str">
        <f aca="false">IF($A47="","",COUNTIFS(PO!$H$4:$H$203,$A47))</f>
        <v/>
      </c>
      <c r="H47" s="38" t="str">
        <f aca="false">IF($A47="","",SUMIFS(PO!$L$4:$L$203,PO!$H$4:$H$203,$A47))</f>
        <v/>
      </c>
      <c r="I47" s="38" t="str">
        <f aca="false">IF($A47="","",SUMIFS(PO!$N$4:$N$203,PO!$H$4:$H$203,$A47))</f>
        <v/>
      </c>
      <c r="J47" s="38" t="str">
        <f aca="false">IF($A47="","",COUNTIFS(PO!$H$4:$H$203,$A47,PO!$S$4:$S$203,"Đúng hạn")+COUNTIFS(PO!$H$4:$H$203,$A47,PO!$S$4:$S$203,"Giao trễ")+COUNTIFS(PO!$H$4:$H$203,$A47,PO!$S$4:$S$203,"Trễ hạn"))</f>
        <v/>
      </c>
      <c r="K47" s="38" t="str">
        <f aca="false">IF($A47="","",COUNTIFS(PO!$H$4:$H$203,$A47,PO!$S$4:$S$203,"Đúng hạn"))</f>
        <v/>
      </c>
      <c r="L47" s="39" t="str">
        <f aca="false">IF($A47="","",IFERROR($K47/$J47,""))</f>
        <v/>
      </c>
      <c r="M47" s="38" t="str">
        <f aca="false">IF($A47="","",SUMIFS(PO!$U$4:$U$203,PO!$H$4:$H$203,$A47))</f>
        <v/>
      </c>
      <c r="N47" s="38" t="str">
        <f aca="false">IF($A47="","",SUMIFS(PO!$V$4:$V$203,PO!$H$4:$H$203,$A47))</f>
        <v/>
      </c>
      <c r="O47" s="39" t="str">
        <f aca="false">IF($A47="","",IFERROR($N47/$M47,""))</f>
        <v/>
      </c>
      <c r="P47" s="38" t="str">
        <f aca="false">IF($A47="","",SUMIFS('Thanh toán'!$H$4:$H$203,'Thanh toán'!$E$4:$E$203,$A47))</f>
        <v/>
      </c>
      <c r="Q47" s="38" t="str">
        <f aca="false">IF($A47="","",SUMIFS('Công nợ'!$I$4:$I$203,'Công nợ'!$D$4:$D$203,$A47))</f>
        <v/>
      </c>
      <c r="R47" s="38" t="str">
        <f aca="false">IF($A47="","",SUMIFS('Công nợ'!$I$4:$I$203,'Công nợ'!$D$4:$D$203,$A47,'Công nợ'!$K$4:$K$203,"&gt;0"))</f>
        <v/>
      </c>
    </row>
    <row r="48" customFormat="false" ht="15" hidden="false" customHeight="false" outlineLevel="0" collapsed="false">
      <c r="A48" s="37" t="str">
        <f aca="false">IF('Nhà cung cấp'!$A48="","",'Nhà cung cấp'!$A48)</f>
        <v/>
      </c>
      <c r="B48" s="37" t="str">
        <f aca="false">IF($A48="","",'Nhà cung cấp'!$B48)</f>
        <v/>
      </c>
      <c r="C48" s="37" t="str">
        <f aca="false">IF($A48="","",'Nhà cung cấp'!$H48)</f>
        <v/>
      </c>
      <c r="D48" s="38" t="str">
        <f aca="false">IF($A48="","",COUNTIFS('Báo giá'!$I$4:$I$203,$A48))</f>
        <v/>
      </c>
      <c r="E48" s="38" t="str">
        <f aca="false">IF($A48="","",COUNTIFS('Báo giá'!$I$4:$I$203,$A48,'Báo giá'!$T$4:$T$203,"x"))</f>
        <v/>
      </c>
      <c r="F48" s="39" t="str">
        <f aca="false">IF($A48="","",IFERROR($E48/$D48,""))</f>
        <v/>
      </c>
      <c r="G48" s="38" t="str">
        <f aca="false">IF($A48="","",COUNTIFS(PO!$H$4:$H$203,$A48))</f>
        <v/>
      </c>
      <c r="H48" s="38" t="str">
        <f aca="false">IF($A48="","",SUMIFS(PO!$L$4:$L$203,PO!$H$4:$H$203,$A48))</f>
        <v/>
      </c>
      <c r="I48" s="38" t="str">
        <f aca="false">IF($A48="","",SUMIFS(PO!$N$4:$N$203,PO!$H$4:$H$203,$A48))</f>
        <v/>
      </c>
      <c r="J48" s="38" t="str">
        <f aca="false">IF($A48="","",COUNTIFS(PO!$H$4:$H$203,$A48,PO!$S$4:$S$203,"Đúng hạn")+COUNTIFS(PO!$H$4:$H$203,$A48,PO!$S$4:$S$203,"Giao trễ")+COUNTIFS(PO!$H$4:$H$203,$A48,PO!$S$4:$S$203,"Trễ hạn"))</f>
        <v/>
      </c>
      <c r="K48" s="38" t="str">
        <f aca="false">IF($A48="","",COUNTIFS(PO!$H$4:$H$203,$A48,PO!$S$4:$S$203,"Đúng hạn"))</f>
        <v/>
      </c>
      <c r="L48" s="39" t="str">
        <f aca="false">IF($A48="","",IFERROR($K48/$J48,""))</f>
        <v/>
      </c>
      <c r="M48" s="38" t="str">
        <f aca="false">IF($A48="","",SUMIFS(PO!$U$4:$U$203,PO!$H$4:$H$203,$A48))</f>
        <v/>
      </c>
      <c r="N48" s="38" t="str">
        <f aca="false">IF($A48="","",SUMIFS(PO!$V$4:$V$203,PO!$H$4:$H$203,$A48))</f>
        <v/>
      </c>
      <c r="O48" s="39" t="str">
        <f aca="false">IF($A48="","",IFERROR($N48/$M48,""))</f>
        <v/>
      </c>
      <c r="P48" s="38" t="str">
        <f aca="false">IF($A48="","",SUMIFS('Thanh toán'!$H$4:$H$203,'Thanh toán'!$E$4:$E$203,$A48))</f>
        <v/>
      </c>
      <c r="Q48" s="38" t="str">
        <f aca="false">IF($A48="","",SUMIFS('Công nợ'!$I$4:$I$203,'Công nợ'!$D$4:$D$203,$A48))</f>
        <v/>
      </c>
      <c r="R48" s="38" t="str">
        <f aca="false">IF($A48="","",SUMIFS('Công nợ'!$I$4:$I$203,'Công nợ'!$D$4:$D$203,$A48,'Công nợ'!$K$4:$K$203,"&gt;0"))</f>
        <v/>
      </c>
    </row>
    <row r="49" customFormat="false" ht="15" hidden="false" customHeight="false" outlineLevel="0" collapsed="false">
      <c r="A49" s="37" t="str">
        <f aca="false">IF('Nhà cung cấp'!$A49="","",'Nhà cung cấp'!$A49)</f>
        <v/>
      </c>
      <c r="B49" s="37" t="str">
        <f aca="false">IF($A49="","",'Nhà cung cấp'!$B49)</f>
        <v/>
      </c>
      <c r="C49" s="37" t="str">
        <f aca="false">IF($A49="","",'Nhà cung cấp'!$H49)</f>
        <v/>
      </c>
      <c r="D49" s="38" t="str">
        <f aca="false">IF($A49="","",COUNTIFS('Báo giá'!$I$4:$I$203,$A49))</f>
        <v/>
      </c>
      <c r="E49" s="38" t="str">
        <f aca="false">IF($A49="","",COUNTIFS('Báo giá'!$I$4:$I$203,$A49,'Báo giá'!$T$4:$T$203,"x"))</f>
        <v/>
      </c>
      <c r="F49" s="39" t="str">
        <f aca="false">IF($A49="","",IFERROR($E49/$D49,""))</f>
        <v/>
      </c>
      <c r="G49" s="38" t="str">
        <f aca="false">IF($A49="","",COUNTIFS(PO!$H$4:$H$203,$A49))</f>
        <v/>
      </c>
      <c r="H49" s="38" t="str">
        <f aca="false">IF($A49="","",SUMIFS(PO!$L$4:$L$203,PO!$H$4:$H$203,$A49))</f>
        <v/>
      </c>
      <c r="I49" s="38" t="str">
        <f aca="false">IF($A49="","",SUMIFS(PO!$N$4:$N$203,PO!$H$4:$H$203,$A49))</f>
        <v/>
      </c>
      <c r="J49" s="38" t="str">
        <f aca="false">IF($A49="","",COUNTIFS(PO!$H$4:$H$203,$A49,PO!$S$4:$S$203,"Đúng hạn")+COUNTIFS(PO!$H$4:$H$203,$A49,PO!$S$4:$S$203,"Giao trễ")+COUNTIFS(PO!$H$4:$H$203,$A49,PO!$S$4:$S$203,"Trễ hạn"))</f>
        <v/>
      </c>
      <c r="K49" s="38" t="str">
        <f aca="false">IF($A49="","",COUNTIFS(PO!$H$4:$H$203,$A49,PO!$S$4:$S$203,"Đúng hạn"))</f>
        <v/>
      </c>
      <c r="L49" s="39" t="str">
        <f aca="false">IF($A49="","",IFERROR($K49/$J49,""))</f>
        <v/>
      </c>
      <c r="M49" s="38" t="str">
        <f aca="false">IF($A49="","",SUMIFS(PO!$U$4:$U$203,PO!$H$4:$H$203,$A49))</f>
        <v/>
      </c>
      <c r="N49" s="38" t="str">
        <f aca="false">IF($A49="","",SUMIFS(PO!$V$4:$V$203,PO!$H$4:$H$203,$A49))</f>
        <v/>
      </c>
      <c r="O49" s="39" t="str">
        <f aca="false">IF($A49="","",IFERROR($N49/$M49,""))</f>
        <v/>
      </c>
      <c r="P49" s="38" t="str">
        <f aca="false">IF($A49="","",SUMIFS('Thanh toán'!$H$4:$H$203,'Thanh toán'!$E$4:$E$203,$A49))</f>
        <v/>
      </c>
      <c r="Q49" s="38" t="str">
        <f aca="false">IF($A49="","",SUMIFS('Công nợ'!$I$4:$I$203,'Công nợ'!$D$4:$D$203,$A49))</f>
        <v/>
      </c>
      <c r="R49" s="38" t="str">
        <f aca="false">IF($A49="","",SUMIFS('Công nợ'!$I$4:$I$203,'Công nợ'!$D$4:$D$203,$A49,'Công nợ'!$K$4:$K$203,"&gt;0"))</f>
        <v/>
      </c>
    </row>
    <row r="50" customFormat="false" ht="15" hidden="false" customHeight="false" outlineLevel="0" collapsed="false">
      <c r="A50" s="37" t="str">
        <f aca="false">IF('Nhà cung cấp'!$A50="","",'Nhà cung cấp'!$A50)</f>
        <v/>
      </c>
      <c r="B50" s="37" t="str">
        <f aca="false">IF($A50="","",'Nhà cung cấp'!$B50)</f>
        <v/>
      </c>
      <c r="C50" s="37" t="str">
        <f aca="false">IF($A50="","",'Nhà cung cấp'!$H50)</f>
        <v/>
      </c>
      <c r="D50" s="38" t="str">
        <f aca="false">IF($A50="","",COUNTIFS('Báo giá'!$I$4:$I$203,$A50))</f>
        <v/>
      </c>
      <c r="E50" s="38" t="str">
        <f aca="false">IF($A50="","",COUNTIFS('Báo giá'!$I$4:$I$203,$A50,'Báo giá'!$T$4:$T$203,"x"))</f>
        <v/>
      </c>
      <c r="F50" s="39" t="str">
        <f aca="false">IF($A50="","",IFERROR($E50/$D50,""))</f>
        <v/>
      </c>
      <c r="G50" s="38" t="str">
        <f aca="false">IF($A50="","",COUNTIFS(PO!$H$4:$H$203,$A50))</f>
        <v/>
      </c>
      <c r="H50" s="38" t="str">
        <f aca="false">IF($A50="","",SUMIFS(PO!$L$4:$L$203,PO!$H$4:$H$203,$A50))</f>
        <v/>
      </c>
      <c r="I50" s="38" t="str">
        <f aca="false">IF($A50="","",SUMIFS(PO!$N$4:$N$203,PO!$H$4:$H$203,$A50))</f>
        <v/>
      </c>
      <c r="J50" s="38" t="str">
        <f aca="false">IF($A50="","",COUNTIFS(PO!$H$4:$H$203,$A50,PO!$S$4:$S$203,"Đúng hạn")+COUNTIFS(PO!$H$4:$H$203,$A50,PO!$S$4:$S$203,"Giao trễ")+COUNTIFS(PO!$H$4:$H$203,$A50,PO!$S$4:$S$203,"Trễ hạn"))</f>
        <v/>
      </c>
      <c r="K50" s="38" t="str">
        <f aca="false">IF($A50="","",COUNTIFS(PO!$H$4:$H$203,$A50,PO!$S$4:$S$203,"Đúng hạn"))</f>
        <v/>
      </c>
      <c r="L50" s="39" t="str">
        <f aca="false">IF($A50="","",IFERROR($K50/$J50,""))</f>
        <v/>
      </c>
      <c r="M50" s="38" t="str">
        <f aca="false">IF($A50="","",SUMIFS(PO!$U$4:$U$203,PO!$H$4:$H$203,$A50))</f>
        <v/>
      </c>
      <c r="N50" s="38" t="str">
        <f aca="false">IF($A50="","",SUMIFS(PO!$V$4:$V$203,PO!$H$4:$H$203,$A50))</f>
        <v/>
      </c>
      <c r="O50" s="39" t="str">
        <f aca="false">IF($A50="","",IFERROR($N50/$M50,""))</f>
        <v/>
      </c>
      <c r="P50" s="38" t="str">
        <f aca="false">IF($A50="","",SUMIFS('Thanh toán'!$H$4:$H$203,'Thanh toán'!$E$4:$E$203,$A50))</f>
        <v/>
      </c>
      <c r="Q50" s="38" t="str">
        <f aca="false">IF($A50="","",SUMIFS('Công nợ'!$I$4:$I$203,'Công nợ'!$D$4:$D$203,$A50))</f>
        <v/>
      </c>
      <c r="R50" s="38" t="str">
        <f aca="false">IF($A50="","",SUMIFS('Công nợ'!$I$4:$I$203,'Công nợ'!$D$4:$D$203,$A50,'Công nợ'!$K$4:$K$203,"&gt;0"))</f>
        <v/>
      </c>
    </row>
    <row r="51" customFormat="false" ht="15" hidden="false" customHeight="false" outlineLevel="0" collapsed="false">
      <c r="A51" s="37" t="str">
        <f aca="false">IF('Nhà cung cấp'!$A51="","",'Nhà cung cấp'!$A51)</f>
        <v/>
      </c>
      <c r="B51" s="37" t="str">
        <f aca="false">IF($A51="","",'Nhà cung cấp'!$B51)</f>
        <v/>
      </c>
      <c r="C51" s="37" t="str">
        <f aca="false">IF($A51="","",'Nhà cung cấp'!$H51)</f>
        <v/>
      </c>
      <c r="D51" s="38" t="str">
        <f aca="false">IF($A51="","",COUNTIFS('Báo giá'!$I$4:$I$203,$A51))</f>
        <v/>
      </c>
      <c r="E51" s="38" t="str">
        <f aca="false">IF($A51="","",COUNTIFS('Báo giá'!$I$4:$I$203,$A51,'Báo giá'!$T$4:$T$203,"x"))</f>
        <v/>
      </c>
      <c r="F51" s="39" t="str">
        <f aca="false">IF($A51="","",IFERROR($E51/$D51,""))</f>
        <v/>
      </c>
      <c r="G51" s="38" t="str">
        <f aca="false">IF($A51="","",COUNTIFS(PO!$H$4:$H$203,$A51))</f>
        <v/>
      </c>
      <c r="H51" s="38" t="str">
        <f aca="false">IF($A51="","",SUMIFS(PO!$L$4:$L$203,PO!$H$4:$H$203,$A51))</f>
        <v/>
      </c>
      <c r="I51" s="38" t="str">
        <f aca="false">IF($A51="","",SUMIFS(PO!$N$4:$N$203,PO!$H$4:$H$203,$A51))</f>
        <v/>
      </c>
      <c r="J51" s="38" t="str">
        <f aca="false">IF($A51="","",COUNTIFS(PO!$H$4:$H$203,$A51,PO!$S$4:$S$203,"Đúng hạn")+COUNTIFS(PO!$H$4:$H$203,$A51,PO!$S$4:$S$203,"Giao trễ")+COUNTIFS(PO!$H$4:$H$203,$A51,PO!$S$4:$S$203,"Trễ hạn"))</f>
        <v/>
      </c>
      <c r="K51" s="38" t="str">
        <f aca="false">IF($A51="","",COUNTIFS(PO!$H$4:$H$203,$A51,PO!$S$4:$S$203,"Đúng hạn"))</f>
        <v/>
      </c>
      <c r="L51" s="39" t="str">
        <f aca="false">IF($A51="","",IFERROR($K51/$J51,""))</f>
        <v/>
      </c>
      <c r="M51" s="38" t="str">
        <f aca="false">IF($A51="","",SUMIFS(PO!$U$4:$U$203,PO!$H$4:$H$203,$A51))</f>
        <v/>
      </c>
      <c r="N51" s="38" t="str">
        <f aca="false">IF($A51="","",SUMIFS(PO!$V$4:$V$203,PO!$H$4:$H$203,$A51))</f>
        <v/>
      </c>
      <c r="O51" s="39" t="str">
        <f aca="false">IF($A51="","",IFERROR($N51/$M51,""))</f>
        <v/>
      </c>
      <c r="P51" s="38" t="str">
        <f aca="false">IF($A51="","",SUMIFS('Thanh toán'!$H$4:$H$203,'Thanh toán'!$E$4:$E$203,$A51))</f>
        <v/>
      </c>
      <c r="Q51" s="38" t="str">
        <f aca="false">IF($A51="","",SUMIFS('Công nợ'!$I$4:$I$203,'Công nợ'!$D$4:$D$203,$A51))</f>
        <v/>
      </c>
      <c r="R51" s="38" t="str">
        <f aca="false">IF($A51="","",SUMIFS('Công nợ'!$I$4:$I$203,'Công nợ'!$D$4:$D$203,$A51,'Công nợ'!$K$4:$K$203,"&gt;0"))</f>
        <v/>
      </c>
    </row>
    <row r="52" customFormat="false" ht="15" hidden="false" customHeight="false" outlineLevel="0" collapsed="false">
      <c r="A52" s="37" t="str">
        <f aca="false">IF('Nhà cung cấp'!$A52="","",'Nhà cung cấp'!$A52)</f>
        <v/>
      </c>
      <c r="B52" s="37" t="str">
        <f aca="false">IF($A52="","",'Nhà cung cấp'!$B52)</f>
        <v/>
      </c>
      <c r="C52" s="37" t="str">
        <f aca="false">IF($A52="","",'Nhà cung cấp'!$H52)</f>
        <v/>
      </c>
      <c r="D52" s="38" t="str">
        <f aca="false">IF($A52="","",COUNTIFS('Báo giá'!$I$4:$I$203,$A52))</f>
        <v/>
      </c>
      <c r="E52" s="38" t="str">
        <f aca="false">IF($A52="","",COUNTIFS('Báo giá'!$I$4:$I$203,$A52,'Báo giá'!$T$4:$T$203,"x"))</f>
        <v/>
      </c>
      <c r="F52" s="39" t="str">
        <f aca="false">IF($A52="","",IFERROR($E52/$D52,""))</f>
        <v/>
      </c>
      <c r="G52" s="38" t="str">
        <f aca="false">IF($A52="","",COUNTIFS(PO!$H$4:$H$203,$A52))</f>
        <v/>
      </c>
      <c r="H52" s="38" t="str">
        <f aca="false">IF($A52="","",SUMIFS(PO!$L$4:$L$203,PO!$H$4:$H$203,$A52))</f>
        <v/>
      </c>
      <c r="I52" s="38" t="str">
        <f aca="false">IF($A52="","",SUMIFS(PO!$N$4:$N$203,PO!$H$4:$H$203,$A52))</f>
        <v/>
      </c>
      <c r="J52" s="38" t="str">
        <f aca="false">IF($A52="","",COUNTIFS(PO!$H$4:$H$203,$A52,PO!$S$4:$S$203,"Đúng hạn")+COUNTIFS(PO!$H$4:$H$203,$A52,PO!$S$4:$S$203,"Giao trễ")+COUNTIFS(PO!$H$4:$H$203,$A52,PO!$S$4:$S$203,"Trễ hạn"))</f>
        <v/>
      </c>
      <c r="K52" s="38" t="str">
        <f aca="false">IF($A52="","",COUNTIFS(PO!$H$4:$H$203,$A52,PO!$S$4:$S$203,"Đúng hạn"))</f>
        <v/>
      </c>
      <c r="L52" s="39" t="str">
        <f aca="false">IF($A52="","",IFERROR($K52/$J52,""))</f>
        <v/>
      </c>
      <c r="M52" s="38" t="str">
        <f aca="false">IF($A52="","",SUMIFS(PO!$U$4:$U$203,PO!$H$4:$H$203,$A52))</f>
        <v/>
      </c>
      <c r="N52" s="38" t="str">
        <f aca="false">IF($A52="","",SUMIFS(PO!$V$4:$V$203,PO!$H$4:$H$203,$A52))</f>
        <v/>
      </c>
      <c r="O52" s="39" t="str">
        <f aca="false">IF($A52="","",IFERROR($N52/$M52,""))</f>
        <v/>
      </c>
      <c r="P52" s="38" t="str">
        <f aca="false">IF($A52="","",SUMIFS('Thanh toán'!$H$4:$H$203,'Thanh toán'!$E$4:$E$203,$A52))</f>
        <v/>
      </c>
      <c r="Q52" s="38" t="str">
        <f aca="false">IF($A52="","",SUMIFS('Công nợ'!$I$4:$I$203,'Công nợ'!$D$4:$D$203,$A52))</f>
        <v/>
      </c>
      <c r="R52" s="38" t="str">
        <f aca="false">IF($A52="","",SUMIFS('Công nợ'!$I$4:$I$203,'Công nợ'!$D$4:$D$203,$A52,'Công nợ'!$K$4:$K$203,"&gt;0"))</f>
        <v/>
      </c>
    </row>
    <row r="53" customFormat="false" ht="15" hidden="false" customHeight="false" outlineLevel="0" collapsed="false">
      <c r="A53" s="37" t="str">
        <f aca="false">IF('Nhà cung cấp'!$A53="","",'Nhà cung cấp'!$A53)</f>
        <v/>
      </c>
      <c r="B53" s="37" t="str">
        <f aca="false">IF($A53="","",'Nhà cung cấp'!$B53)</f>
        <v/>
      </c>
      <c r="C53" s="37" t="str">
        <f aca="false">IF($A53="","",'Nhà cung cấp'!$H53)</f>
        <v/>
      </c>
      <c r="D53" s="38" t="str">
        <f aca="false">IF($A53="","",COUNTIFS('Báo giá'!$I$4:$I$203,$A53))</f>
        <v/>
      </c>
      <c r="E53" s="38" t="str">
        <f aca="false">IF($A53="","",COUNTIFS('Báo giá'!$I$4:$I$203,$A53,'Báo giá'!$T$4:$T$203,"x"))</f>
        <v/>
      </c>
      <c r="F53" s="39" t="str">
        <f aca="false">IF($A53="","",IFERROR($E53/$D53,""))</f>
        <v/>
      </c>
      <c r="G53" s="38" t="str">
        <f aca="false">IF($A53="","",COUNTIFS(PO!$H$4:$H$203,$A53))</f>
        <v/>
      </c>
      <c r="H53" s="38" t="str">
        <f aca="false">IF($A53="","",SUMIFS(PO!$L$4:$L$203,PO!$H$4:$H$203,$A53))</f>
        <v/>
      </c>
      <c r="I53" s="38" t="str">
        <f aca="false">IF($A53="","",SUMIFS(PO!$N$4:$N$203,PO!$H$4:$H$203,$A53))</f>
        <v/>
      </c>
      <c r="J53" s="38" t="str">
        <f aca="false">IF($A53="","",COUNTIFS(PO!$H$4:$H$203,$A53,PO!$S$4:$S$203,"Đúng hạn")+COUNTIFS(PO!$H$4:$H$203,$A53,PO!$S$4:$S$203,"Giao trễ")+COUNTIFS(PO!$H$4:$H$203,$A53,PO!$S$4:$S$203,"Trễ hạn"))</f>
        <v/>
      </c>
      <c r="K53" s="38" t="str">
        <f aca="false">IF($A53="","",COUNTIFS(PO!$H$4:$H$203,$A53,PO!$S$4:$S$203,"Đúng hạn"))</f>
        <v/>
      </c>
      <c r="L53" s="39" t="str">
        <f aca="false">IF($A53="","",IFERROR($K53/$J53,""))</f>
        <v/>
      </c>
      <c r="M53" s="38" t="str">
        <f aca="false">IF($A53="","",SUMIFS(PO!$U$4:$U$203,PO!$H$4:$H$203,$A53))</f>
        <v/>
      </c>
      <c r="N53" s="38" t="str">
        <f aca="false">IF($A53="","",SUMIFS(PO!$V$4:$V$203,PO!$H$4:$H$203,$A53))</f>
        <v/>
      </c>
      <c r="O53" s="39" t="str">
        <f aca="false">IF($A53="","",IFERROR($N53/$M53,""))</f>
        <v/>
      </c>
      <c r="P53" s="38" t="str">
        <f aca="false">IF($A53="","",SUMIFS('Thanh toán'!$H$4:$H$203,'Thanh toán'!$E$4:$E$203,$A53))</f>
        <v/>
      </c>
      <c r="Q53" s="38" t="str">
        <f aca="false">IF($A53="","",SUMIFS('Công nợ'!$I$4:$I$203,'Công nợ'!$D$4:$D$203,$A53))</f>
        <v/>
      </c>
      <c r="R53" s="38" t="str">
        <f aca="false">IF($A53="","",SUMIFS('Công nợ'!$I$4:$I$203,'Công nợ'!$D$4:$D$203,$A53,'Công nợ'!$K$4:$K$203,"&gt;0"))</f>
        <v/>
      </c>
    </row>
    <row r="54" customFormat="false" ht="15" hidden="false" customHeight="false" outlineLevel="0" collapsed="false">
      <c r="A54" s="37" t="str">
        <f aca="false">IF('Nhà cung cấp'!$A54="","",'Nhà cung cấp'!$A54)</f>
        <v/>
      </c>
      <c r="B54" s="37" t="str">
        <f aca="false">IF($A54="","",'Nhà cung cấp'!$B54)</f>
        <v/>
      </c>
      <c r="C54" s="37" t="str">
        <f aca="false">IF($A54="","",'Nhà cung cấp'!$H54)</f>
        <v/>
      </c>
      <c r="D54" s="38" t="str">
        <f aca="false">IF($A54="","",COUNTIFS('Báo giá'!$I$4:$I$203,$A54))</f>
        <v/>
      </c>
      <c r="E54" s="38" t="str">
        <f aca="false">IF($A54="","",COUNTIFS('Báo giá'!$I$4:$I$203,$A54,'Báo giá'!$T$4:$T$203,"x"))</f>
        <v/>
      </c>
      <c r="F54" s="39" t="str">
        <f aca="false">IF($A54="","",IFERROR($E54/$D54,""))</f>
        <v/>
      </c>
      <c r="G54" s="38" t="str">
        <f aca="false">IF($A54="","",COUNTIFS(PO!$H$4:$H$203,$A54))</f>
        <v/>
      </c>
      <c r="H54" s="38" t="str">
        <f aca="false">IF($A54="","",SUMIFS(PO!$L$4:$L$203,PO!$H$4:$H$203,$A54))</f>
        <v/>
      </c>
      <c r="I54" s="38" t="str">
        <f aca="false">IF($A54="","",SUMIFS(PO!$N$4:$N$203,PO!$H$4:$H$203,$A54))</f>
        <v/>
      </c>
      <c r="J54" s="38" t="str">
        <f aca="false">IF($A54="","",COUNTIFS(PO!$H$4:$H$203,$A54,PO!$S$4:$S$203,"Đúng hạn")+COUNTIFS(PO!$H$4:$H$203,$A54,PO!$S$4:$S$203,"Giao trễ")+COUNTIFS(PO!$H$4:$H$203,$A54,PO!$S$4:$S$203,"Trễ hạn"))</f>
        <v/>
      </c>
      <c r="K54" s="38" t="str">
        <f aca="false">IF($A54="","",COUNTIFS(PO!$H$4:$H$203,$A54,PO!$S$4:$S$203,"Đúng hạn"))</f>
        <v/>
      </c>
      <c r="L54" s="39" t="str">
        <f aca="false">IF($A54="","",IFERROR($K54/$J54,""))</f>
        <v/>
      </c>
      <c r="M54" s="38" t="str">
        <f aca="false">IF($A54="","",SUMIFS(PO!$U$4:$U$203,PO!$H$4:$H$203,$A54))</f>
        <v/>
      </c>
      <c r="N54" s="38" t="str">
        <f aca="false">IF($A54="","",SUMIFS(PO!$V$4:$V$203,PO!$H$4:$H$203,$A54))</f>
        <v/>
      </c>
      <c r="O54" s="39" t="str">
        <f aca="false">IF($A54="","",IFERROR($N54/$M54,""))</f>
        <v/>
      </c>
      <c r="P54" s="38" t="str">
        <f aca="false">IF($A54="","",SUMIFS('Thanh toán'!$H$4:$H$203,'Thanh toán'!$E$4:$E$203,$A54))</f>
        <v/>
      </c>
      <c r="Q54" s="38" t="str">
        <f aca="false">IF($A54="","",SUMIFS('Công nợ'!$I$4:$I$203,'Công nợ'!$D$4:$D$203,$A54))</f>
        <v/>
      </c>
      <c r="R54" s="38" t="str">
        <f aca="false">IF($A54="","",SUMIFS('Công nợ'!$I$4:$I$203,'Công nợ'!$D$4:$D$203,$A54,'Công nợ'!$K$4:$K$203,"&gt;0"))</f>
        <v/>
      </c>
    </row>
    <row r="55" customFormat="false" ht="15" hidden="false" customHeight="false" outlineLevel="0" collapsed="false">
      <c r="A55" s="37" t="str">
        <f aca="false">IF('Nhà cung cấp'!$A55="","",'Nhà cung cấp'!$A55)</f>
        <v/>
      </c>
      <c r="B55" s="37" t="str">
        <f aca="false">IF($A55="","",'Nhà cung cấp'!$B55)</f>
        <v/>
      </c>
      <c r="C55" s="37" t="str">
        <f aca="false">IF($A55="","",'Nhà cung cấp'!$H55)</f>
        <v/>
      </c>
      <c r="D55" s="38" t="str">
        <f aca="false">IF($A55="","",COUNTIFS('Báo giá'!$I$4:$I$203,$A55))</f>
        <v/>
      </c>
      <c r="E55" s="38" t="str">
        <f aca="false">IF($A55="","",COUNTIFS('Báo giá'!$I$4:$I$203,$A55,'Báo giá'!$T$4:$T$203,"x"))</f>
        <v/>
      </c>
      <c r="F55" s="39" t="str">
        <f aca="false">IF($A55="","",IFERROR($E55/$D55,""))</f>
        <v/>
      </c>
      <c r="G55" s="38" t="str">
        <f aca="false">IF($A55="","",COUNTIFS(PO!$H$4:$H$203,$A55))</f>
        <v/>
      </c>
      <c r="H55" s="38" t="str">
        <f aca="false">IF($A55="","",SUMIFS(PO!$L$4:$L$203,PO!$H$4:$H$203,$A55))</f>
        <v/>
      </c>
      <c r="I55" s="38" t="str">
        <f aca="false">IF($A55="","",SUMIFS(PO!$N$4:$N$203,PO!$H$4:$H$203,$A55))</f>
        <v/>
      </c>
      <c r="J55" s="38" t="str">
        <f aca="false">IF($A55="","",COUNTIFS(PO!$H$4:$H$203,$A55,PO!$S$4:$S$203,"Đúng hạn")+COUNTIFS(PO!$H$4:$H$203,$A55,PO!$S$4:$S$203,"Giao trễ")+COUNTIFS(PO!$H$4:$H$203,$A55,PO!$S$4:$S$203,"Trễ hạn"))</f>
        <v/>
      </c>
      <c r="K55" s="38" t="str">
        <f aca="false">IF($A55="","",COUNTIFS(PO!$H$4:$H$203,$A55,PO!$S$4:$S$203,"Đúng hạn"))</f>
        <v/>
      </c>
      <c r="L55" s="39" t="str">
        <f aca="false">IF($A55="","",IFERROR($K55/$J55,""))</f>
        <v/>
      </c>
      <c r="M55" s="38" t="str">
        <f aca="false">IF($A55="","",SUMIFS(PO!$U$4:$U$203,PO!$H$4:$H$203,$A55))</f>
        <v/>
      </c>
      <c r="N55" s="38" t="str">
        <f aca="false">IF($A55="","",SUMIFS(PO!$V$4:$V$203,PO!$H$4:$H$203,$A55))</f>
        <v/>
      </c>
      <c r="O55" s="39" t="str">
        <f aca="false">IF($A55="","",IFERROR($N55/$M55,""))</f>
        <v/>
      </c>
      <c r="P55" s="38" t="str">
        <f aca="false">IF($A55="","",SUMIFS('Thanh toán'!$H$4:$H$203,'Thanh toán'!$E$4:$E$203,$A55))</f>
        <v/>
      </c>
      <c r="Q55" s="38" t="str">
        <f aca="false">IF($A55="","",SUMIFS('Công nợ'!$I$4:$I$203,'Công nợ'!$D$4:$D$203,$A55))</f>
        <v/>
      </c>
      <c r="R55" s="38" t="str">
        <f aca="false">IF($A55="","",SUMIFS('Công nợ'!$I$4:$I$203,'Công nợ'!$D$4:$D$203,$A55,'Công nợ'!$K$4:$K$203,"&gt;0"))</f>
        <v/>
      </c>
    </row>
    <row r="56" customFormat="false" ht="15" hidden="false" customHeight="false" outlineLevel="0" collapsed="false">
      <c r="A56" s="37" t="str">
        <f aca="false">IF('Nhà cung cấp'!$A56="","",'Nhà cung cấp'!$A56)</f>
        <v/>
      </c>
      <c r="B56" s="37" t="str">
        <f aca="false">IF($A56="","",'Nhà cung cấp'!$B56)</f>
        <v/>
      </c>
      <c r="C56" s="37" t="str">
        <f aca="false">IF($A56="","",'Nhà cung cấp'!$H56)</f>
        <v/>
      </c>
      <c r="D56" s="38" t="str">
        <f aca="false">IF($A56="","",COUNTIFS('Báo giá'!$I$4:$I$203,$A56))</f>
        <v/>
      </c>
      <c r="E56" s="38" t="str">
        <f aca="false">IF($A56="","",COUNTIFS('Báo giá'!$I$4:$I$203,$A56,'Báo giá'!$T$4:$T$203,"x"))</f>
        <v/>
      </c>
      <c r="F56" s="39" t="str">
        <f aca="false">IF($A56="","",IFERROR($E56/$D56,""))</f>
        <v/>
      </c>
      <c r="G56" s="38" t="str">
        <f aca="false">IF($A56="","",COUNTIFS(PO!$H$4:$H$203,$A56))</f>
        <v/>
      </c>
      <c r="H56" s="38" t="str">
        <f aca="false">IF($A56="","",SUMIFS(PO!$L$4:$L$203,PO!$H$4:$H$203,$A56))</f>
        <v/>
      </c>
      <c r="I56" s="38" t="str">
        <f aca="false">IF($A56="","",SUMIFS(PO!$N$4:$N$203,PO!$H$4:$H$203,$A56))</f>
        <v/>
      </c>
      <c r="J56" s="38" t="str">
        <f aca="false">IF($A56="","",COUNTIFS(PO!$H$4:$H$203,$A56,PO!$S$4:$S$203,"Đúng hạn")+COUNTIFS(PO!$H$4:$H$203,$A56,PO!$S$4:$S$203,"Giao trễ")+COUNTIFS(PO!$H$4:$H$203,$A56,PO!$S$4:$S$203,"Trễ hạn"))</f>
        <v/>
      </c>
      <c r="K56" s="38" t="str">
        <f aca="false">IF($A56="","",COUNTIFS(PO!$H$4:$H$203,$A56,PO!$S$4:$S$203,"Đúng hạn"))</f>
        <v/>
      </c>
      <c r="L56" s="39" t="str">
        <f aca="false">IF($A56="","",IFERROR($K56/$J56,""))</f>
        <v/>
      </c>
      <c r="M56" s="38" t="str">
        <f aca="false">IF($A56="","",SUMIFS(PO!$U$4:$U$203,PO!$H$4:$H$203,$A56))</f>
        <v/>
      </c>
      <c r="N56" s="38" t="str">
        <f aca="false">IF($A56="","",SUMIFS(PO!$V$4:$V$203,PO!$H$4:$H$203,$A56))</f>
        <v/>
      </c>
      <c r="O56" s="39" t="str">
        <f aca="false">IF($A56="","",IFERROR($N56/$M56,""))</f>
        <v/>
      </c>
      <c r="P56" s="38" t="str">
        <f aca="false">IF($A56="","",SUMIFS('Thanh toán'!$H$4:$H$203,'Thanh toán'!$E$4:$E$203,$A56))</f>
        <v/>
      </c>
      <c r="Q56" s="38" t="str">
        <f aca="false">IF($A56="","",SUMIFS('Công nợ'!$I$4:$I$203,'Công nợ'!$D$4:$D$203,$A56))</f>
        <v/>
      </c>
      <c r="R56" s="38" t="str">
        <f aca="false">IF($A56="","",SUMIFS('Công nợ'!$I$4:$I$203,'Công nợ'!$D$4:$D$203,$A56,'Công nợ'!$K$4:$K$203,"&gt;0"))</f>
        <v/>
      </c>
    </row>
    <row r="57" customFormat="false" ht="15" hidden="false" customHeight="false" outlineLevel="0" collapsed="false">
      <c r="A57" s="37" t="str">
        <f aca="false">IF('Nhà cung cấp'!$A57="","",'Nhà cung cấp'!$A57)</f>
        <v/>
      </c>
      <c r="B57" s="37" t="str">
        <f aca="false">IF($A57="","",'Nhà cung cấp'!$B57)</f>
        <v/>
      </c>
      <c r="C57" s="37" t="str">
        <f aca="false">IF($A57="","",'Nhà cung cấp'!$H57)</f>
        <v/>
      </c>
      <c r="D57" s="38" t="str">
        <f aca="false">IF($A57="","",COUNTIFS('Báo giá'!$I$4:$I$203,$A57))</f>
        <v/>
      </c>
      <c r="E57" s="38" t="str">
        <f aca="false">IF($A57="","",COUNTIFS('Báo giá'!$I$4:$I$203,$A57,'Báo giá'!$T$4:$T$203,"x"))</f>
        <v/>
      </c>
      <c r="F57" s="39" t="str">
        <f aca="false">IF($A57="","",IFERROR($E57/$D57,""))</f>
        <v/>
      </c>
      <c r="G57" s="38" t="str">
        <f aca="false">IF($A57="","",COUNTIFS(PO!$H$4:$H$203,$A57))</f>
        <v/>
      </c>
      <c r="H57" s="38" t="str">
        <f aca="false">IF($A57="","",SUMIFS(PO!$L$4:$L$203,PO!$H$4:$H$203,$A57))</f>
        <v/>
      </c>
      <c r="I57" s="38" t="str">
        <f aca="false">IF($A57="","",SUMIFS(PO!$N$4:$N$203,PO!$H$4:$H$203,$A57))</f>
        <v/>
      </c>
      <c r="J57" s="38" t="str">
        <f aca="false">IF($A57="","",COUNTIFS(PO!$H$4:$H$203,$A57,PO!$S$4:$S$203,"Đúng hạn")+COUNTIFS(PO!$H$4:$H$203,$A57,PO!$S$4:$S$203,"Giao trễ")+COUNTIFS(PO!$H$4:$H$203,$A57,PO!$S$4:$S$203,"Trễ hạn"))</f>
        <v/>
      </c>
      <c r="K57" s="38" t="str">
        <f aca="false">IF($A57="","",COUNTIFS(PO!$H$4:$H$203,$A57,PO!$S$4:$S$203,"Đúng hạn"))</f>
        <v/>
      </c>
      <c r="L57" s="39" t="str">
        <f aca="false">IF($A57="","",IFERROR($K57/$J57,""))</f>
        <v/>
      </c>
      <c r="M57" s="38" t="str">
        <f aca="false">IF($A57="","",SUMIFS(PO!$U$4:$U$203,PO!$H$4:$H$203,$A57))</f>
        <v/>
      </c>
      <c r="N57" s="38" t="str">
        <f aca="false">IF($A57="","",SUMIFS(PO!$V$4:$V$203,PO!$H$4:$H$203,$A57))</f>
        <v/>
      </c>
      <c r="O57" s="39" t="str">
        <f aca="false">IF($A57="","",IFERROR($N57/$M57,""))</f>
        <v/>
      </c>
      <c r="P57" s="38" t="str">
        <f aca="false">IF($A57="","",SUMIFS('Thanh toán'!$H$4:$H$203,'Thanh toán'!$E$4:$E$203,$A57))</f>
        <v/>
      </c>
      <c r="Q57" s="38" t="str">
        <f aca="false">IF($A57="","",SUMIFS('Công nợ'!$I$4:$I$203,'Công nợ'!$D$4:$D$203,$A57))</f>
        <v/>
      </c>
      <c r="R57" s="38" t="str">
        <f aca="false">IF($A57="","",SUMIFS('Công nợ'!$I$4:$I$203,'Công nợ'!$D$4:$D$203,$A57,'Công nợ'!$K$4:$K$203,"&gt;0"))</f>
        <v/>
      </c>
    </row>
    <row r="58" customFormat="false" ht="15" hidden="false" customHeight="false" outlineLevel="0" collapsed="false">
      <c r="A58" s="37" t="str">
        <f aca="false">IF('Nhà cung cấp'!$A58="","",'Nhà cung cấp'!$A58)</f>
        <v/>
      </c>
      <c r="B58" s="37" t="str">
        <f aca="false">IF($A58="","",'Nhà cung cấp'!$B58)</f>
        <v/>
      </c>
      <c r="C58" s="37" t="str">
        <f aca="false">IF($A58="","",'Nhà cung cấp'!$H58)</f>
        <v/>
      </c>
      <c r="D58" s="38" t="str">
        <f aca="false">IF($A58="","",COUNTIFS('Báo giá'!$I$4:$I$203,$A58))</f>
        <v/>
      </c>
      <c r="E58" s="38" t="str">
        <f aca="false">IF($A58="","",COUNTIFS('Báo giá'!$I$4:$I$203,$A58,'Báo giá'!$T$4:$T$203,"x"))</f>
        <v/>
      </c>
      <c r="F58" s="39" t="str">
        <f aca="false">IF($A58="","",IFERROR($E58/$D58,""))</f>
        <v/>
      </c>
      <c r="G58" s="38" t="str">
        <f aca="false">IF($A58="","",COUNTIFS(PO!$H$4:$H$203,$A58))</f>
        <v/>
      </c>
      <c r="H58" s="38" t="str">
        <f aca="false">IF($A58="","",SUMIFS(PO!$L$4:$L$203,PO!$H$4:$H$203,$A58))</f>
        <v/>
      </c>
      <c r="I58" s="38" t="str">
        <f aca="false">IF($A58="","",SUMIFS(PO!$N$4:$N$203,PO!$H$4:$H$203,$A58))</f>
        <v/>
      </c>
      <c r="J58" s="38" t="str">
        <f aca="false">IF($A58="","",COUNTIFS(PO!$H$4:$H$203,$A58,PO!$S$4:$S$203,"Đúng hạn")+COUNTIFS(PO!$H$4:$H$203,$A58,PO!$S$4:$S$203,"Giao trễ")+COUNTIFS(PO!$H$4:$H$203,$A58,PO!$S$4:$S$203,"Trễ hạn"))</f>
        <v/>
      </c>
      <c r="K58" s="38" t="str">
        <f aca="false">IF($A58="","",COUNTIFS(PO!$H$4:$H$203,$A58,PO!$S$4:$S$203,"Đúng hạn"))</f>
        <v/>
      </c>
      <c r="L58" s="39" t="str">
        <f aca="false">IF($A58="","",IFERROR($K58/$J58,""))</f>
        <v/>
      </c>
      <c r="M58" s="38" t="str">
        <f aca="false">IF($A58="","",SUMIFS(PO!$U$4:$U$203,PO!$H$4:$H$203,$A58))</f>
        <v/>
      </c>
      <c r="N58" s="38" t="str">
        <f aca="false">IF($A58="","",SUMIFS(PO!$V$4:$V$203,PO!$H$4:$H$203,$A58))</f>
        <v/>
      </c>
      <c r="O58" s="39" t="str">
        <f aca="false">IF($A58="","",IFERROR($N58/$M58,""))</f>
        <v/>
      </c>
      <c r="P58" s="38" t="str">
        <f aca="false">IF($A58="","",SUMIFS('Thanh toán'!$H$4:$H$203,'Thanh toán'!$E$4:$E$203,$A58))</f>
        <v/>
      </c>
      <c r="Q58" s="38" t="str">
        <f aca="false">IF($A58="","",SUMIFS('Công nợ'!$I$4:$I$203,'Công nợ'!$D$4:$D$203,$A58))</f>
        <v/>
      </c>
      <c r="R58" s="38" t="str">
        <f aca="false">IF($A58="","",SUMIFS('Công nợ'!$I$4:$I$203,'Công nợ'!$D$4:$D$203,$A58,'Công nợ'!$K$4:$K$203,"&gt;0"))</f>
        <v/>
      </c>
    </row>
    <row r="59" customFormat="false" ht="15" hidden="false" customHeight="false" outlineLevel="0" collapsed="false">
      <c r="A59" s="37" t="str">
        <f aca="false">IF('Nhà cung cấp'!$A59="","",'Nhà cung cấp'!$A59)</f>
        <v/>
      </c>
      <c r="B59" s="37" t="str">
        <f aca="false">IF($A59="","",'Nhà cung cấp'!$B59)</f>
        <v/>
      </c>
      <c r="C59" s="37" t="str">
        <f aca="false">IF($A59="","",'Nhà cung cấp'!$H59)</f>
        <v/>
      </c>
      <c r="D59" s="38" t="str">
        <f aca="false">IF($A59="","",COUNTIFS('Báo giá'!$I$4:$I$203,$A59))</f>
        <v/>
      </c>
      <c r="E59" s="38" t="str">
        <f aca="false">IF($A59="","",COUNTIFS('Báo giá'!$I$4:$I$203,$A59,'Báo giá'!$T$4:$T$203,"x"))</f>
        <v/>
      </c>
      <c r="F59" s="39" t="str">
        <f aca="false">IF($A59="","",IFERROR($E59/$D59,""))</f>
        <v/>
      </c>
      <c r="G59" s="38" t="str">
        <f aca="false">IF($A59="","",COUNTIFS(PO!$H$4:$H$203,$A59))</f>
        <v/>
      </c>
      <c r="H59" s="38" t="str">
        <f aca="false">IF($A59="","",SUMIFS(PO!$L$4:$L$203,PO!$H$4:$H$203,$A59))</f>
        <v/>
      </c>
      <c r="I59" s="38" t="str">
        <f aca="false">IF($A59="","",SUMIFS(PO!$N$4:$N$203,PO!$H$4:$H$203,$A59))</f>
        <v/>
      </c>
      <c r="J59" s="38" t="str">
        <f aca="false">IF($A59="","",COUNTIFS(PO!$H$4:$H$203,$A59,PO!$S$4:$S$203,"Đúng hạn")+COUNTIFS(PO!$H$4:$H$203,$A59,PO!$S$4:$S$203,"Giao trễ")+COUNTIFS(PO!$H$4:$H$203,$A59,PO!$S$4:$S$203,"Trễ hạn"))</f>
        <v/>
      </c>
      <c r="K59" s="38" t="str">
        <f aca="false">IF($A59="","",COUNTIFS(PO!$H$4:$H$203,$A59,PO!$S$4:$S$203,"Đúng hạn"))</f>
        <v/>
      </c>
      <c r="L59" s="39" t="str">
        <f aca="false">IF($A59="","",IFERROR($K59/$J59,""))</f>
        <v/>
      </c>
      <c r="M59" s="38" t="str">
        <f aca="false">IF($A59="","",SUMIFS(PO!$U$4:$U$203,PO!$H$4:$H$203,$A59))</f>
        <v/>
      </c>
      <c r="N59" s="38" t="str">
        <f aca="false">IF($A59="","",SUMIFS(PO!$V$4:$V$203,PO!$H$4:$H$203,$A59))</f>
        <v/>
      </c>
      <c r="O59" s="39" t="str">
        <f aca="false">IF($A59="","",IFERROR($N59/$M59,""))</f>
        <v/>
      </c>
      <c r="P59" s="38" t="str">
        <f aca="false">IF($A59="","",SUMIFS('Thanh toán'!$H$4:$H$203,'Thanh toán'!$E$4:$E$203,$A59))</f>
        <v/>
      </c>
      <c r="Q59" s="38" t="str">
        <f aca="false">IF($A59="","",SUMIFS('Công nợ'!$I$4:$I$203,'Công nợ'!$D$4:$D$203,$A59))</f>
        <v/>
      </c>
      <c r="R59" s="38" t="str">
        <f aca="false">IF($A59="","",SUMIFS('Công nợ'!$I$4:$I$203,'Công nợ'!$D$4:$D$203,$A59,'Công nợ'!$K$4:$K$203,"&gt;0"))</f>
        <v/>
      </c>
    </row>
    <row r="60" customFormat="false" ht="15" hidden="false" customHeight="false" outlineLevel="0" collapsed="false">
      <c r="A60" s="37" t="str">
        <f aca="false">IF('Nhà cung cấp'!$A60="","",'Nhà cung cấp'!$A60)</f>
        <v/>
      </c>
      <c r="B60" s="37" t="str">
        <f aca="false">IF($A60="","",'Nhà cung cấp'!$B60)</f>
        <v/>
      </c>
      <c r="C60" s="37" t="str">
        <f aca="false">IF($A60="","",'Nhà cung cấp'!$H60)</f>
        <v/>
      </c>
      <c r="D60" s="38" t="str">
        <f aca="false">IF($A60="","",COUNTIFS('Báo giá'!$I$4:$I$203,$A60))</f>
        <v/>
      </c>
      <c r="E60" s="38" t="str">
        <f aca="false">IF($A60="","",COUNTIFS('Báo giá'!$I$4:$I$203,$A60,'Báo giá'!$T$4:$T$203,"x"))</f>
        <v/>
      </c>
      <c r="F60" s="39" t="str">
        <f aca="false">IF($A60="","",IFERROR($E60/$D60,""))</f>
        <v/>
      </c>
      <c r="G60" s="38" t="str">
        <f aca="false">IF($A60="","",COUNTIFS(PO!$H$4:$H$203,$A60))</f>
        <v/>
      </c>
      <c r="H60" s="38" t="str">
        <f aca="false">IF($A60="","",SUMIFS(PO!$L$4:$L$203,PO!$H$4:$H$203,$A60))</f>
        <v/>
      </c>
      <c r="I60" s="38" t="str">
        <f aca="false">IF($A60="","",SUMIFS(PO!$N$4:$N$203,PO!$H$4:$H$203,$A60))</f>
        <v/>
      </c>
      <c r="J60" s="38" t="str">
        <f aca="false">IF($A60="","",COUNTIFS(PO!$H$4:$H$203,$A60,PO!$S$4:$S$203,"Đúng hạn")+COUNTIFS(PO!$H$4:$H$203,$A60,PO!$S$4:$S$203,"Giao trễ")+COUNTIFS(PO!$H$4:$H$203,$A60,PO!$S$4:$S$203,"Trễ hạn"))</f>
        <v/>
      </c>
      <c r="K60" s="38" t="str">
        <f aca="false">IF($A60="","",COUNTIFS(PO!$H$4:$H$203,$A60,PO!$S$4:$S$203,"Đúng hạn"))</f>
        <v/>
      </c>
      <c r="L60" s="39" t="str">
        <f aca="false">IF($A60="","",IFERROR($K60/$J60,""))</f>
        <v/>
      </c>
      <c r="M60" s="38" t="str">
        <f aca="false">IF($A60="","",SUMIFS(PO!$U$4:$U$203,PO!$H$4:$H$203,$A60))</f>
        <v/>
      </c>
      <c r="N60" s="38" t="str">
        <f aca="false">IF($A60="","",SUMIFS(PO!$V$4:$V$203,PO!$H$4:$H$203,$A60))</f>
        <v/>
      </c>
      <c r="O60" s="39" t="str">
        <f aca="false">IF($A60="","",IFERROR($N60/$M60,""))</f>
        <v/>
      </c>
      <c r="P60" s="38" t="str">
        <f aca="false">IF($A60="","",SUMIFS('Thanh toán'!$H$4:$H$203,'Thanh toán'!$E$4:$E$203,$A60))</f>
        <v/>
      </c>
      <c r="Q60" s="38" t="str">
        <f aca="false">IF($A60="","",SUMIFS('Công nợ'!$I$4:$I$203,'Công nợ'!$D$4:$D$203,$A60))</f>
        <v/>
      </c>
      <c r="R60" s="38" t="str">
        <f aca="false">IF($A60="","",SUMIFS('Công nợ'!$I$4:$I$203,'Công nợ'!$D$4:$D$203,$A60,'Công nợ'!$K$4:$K$203,"&gt;0"))</f>
        <v/>
      </c>
    </row>
    <row r="61" customFormat="false" ht="15" hidden="false" customHeight="false" outlineLevel="0" collapsed="false">
      <c r="A61" s="37" t="str">
        <f aca="false">IF('Nhà cung cấp'!$A61="","",'Nhà cung cấp'!$A61)</f>
        <v/>
      </c>
      <c r="B61" s="37" t="str">
        <f aca="false">IF($A61="","",'Nhà cung cấp'!$B61)</f>
        <v/>
      </c>
      <c r="C61" s="37" t="str">
        <f aca="false">IF($A61="","",'Nhà cung cấp'!$H61)</f>
        <v/>
      </c>
      <c r="D61" s="38" t="str">
        <f aca="false">IF($A61="","",COUNTIFS('Báo giá'!$I$4:$I$203,$A61))</f>
        <v/>
      </c>
      <c r="E61" s="38" t="str">
        <f aca="false">IF($A61="","",COUNTIFS('Báo giá'!$I$4:$I$203,$A61,'Báo giá'!$T$4:$T$203,"x"))</f>
        <v/>
      </c>
      <c r="F61" s="39" t="str">
        <f aca="false">IF($A61="","",IFERROR($E61/$D61,""))</f>
        <v/>
      </c>
      <c r="G61" s="38" t="str">
        <f aca="false">IF($A61="","",COUNTIFS(PO!$H$4:$H$203,$A61))</f>
        <v/>
      </c>
      <c r="H61" s="38" t="str">
        <f aca="false">IF($A61="","",SUMIFS(PO!$L$4:$L$203,PO!$H$4:$H$203,$A61))</f>
        <v/>
      </c>
      <c r="I61" s="38" t="str">
        <f aca="false">IF($A61="","",SUMIFS(PO!$N$4:$N$203,PO!$H$4:$H$203,$A61))</f>
        <v/>
      </c>
      <c r="J61" s="38" t="str">
        <f aca="false">IF($A61="","",COUNTIFS(PO!$H$4:$H$203,$A61,PO!$S$4:$S$203,"Đúng hạn")+COUNTIFS(PO!$H$4:$H$203,$A61,PO!$S$4:$S$203,"Giao trễ")+COUNTIFS(PO!$H$4:$H$203,$A61,PO!$S$4:$S$203,"Trễ hạn"))</f>
        <v/>
      </c>
      <c r="K61" s="38" t="str">
        <f aca="false">IF($A61="","",COUNTIFS(PO!$H$4:$H$203,$A61,PO!$S$4:$S$203,"Đúng hạn"))</f>
        <v/>
      </c>
      <c r="L61" s="39" t="str">
        <f aca="false">IF($A61="","",IFERROR($K61/$J61,""))</f>
        <v/>
      </c>
      <c r="M61" s="38" t="str">
        <f aca="false">IF($A61="","",SUMIFS(PO!$U$4:$U$203,PO!$H$4:$H$203,$A61))</f>
        <v/>
      </c>
      <c r="N61" s="38" t="str">
        <f aca="false">IF($A61="","",SUMIFS(PO!$V$4:$V$203,PO!$H$4:$H$203,$A61))</f>
        <v/>
      </c>
      <c r="O61" s="39" t="str">
        <f aca="false">IF($A61="","",IFERROR($N61/$M61,""))</f>
        <v/>
      </c>
      <c r="P61" s="38" t="str">
        <f aca="false">IF($A61="","",SUMIFS('Thanh toán'!$H$4:$H$203,'Thanh toán'!$E$4:$E$203,$A61))</f>
        <v/>
      </c>
      <c r="Q61" s="38" t="str">
        <f aca="false">IF($A61="","",SUMIFS('Công nợ'!$I$4:$I$203,'Công nợ'!$D$4:$D$203,$A61))</f>
        <v/>
      </c>
      <c r="R61" s="38" t="str">
        <f aca="false">IF($A61="","",SUMIFS('Công nợ'!$I$4:$I$203,'Công nợ'!$D$4:$D$203,$A61,'Công nợ'!$K$4:$K$203,"&gt;0"))</f>
        <v/>
      </c>
    </row>
    <row r="62" customFormat="false" ht="15" hidden="false" customHeight="false" outlineLevel="0" collapsed="false">
      <c r="A62" s="37" t="str">
        <f aca="false">IF('Nhà cung cấp'!$A62="","",'Nhà cung cấp'!$A62)</f>
        <v/>
      </c>
      <c r="B62" s="37" t="str">
        <f aca="false">IF($A62="","",'Nhà cung cấp'!$B62)</f>
        <v/>
      </c>
      <c r="C62" s="37" t="str">
        <f aca="false">IF($A62="","",'Nhà cung cấp'!$H62)</f>
        <v/>
      </c>
      <c r="D62" s="38" t="str">
        <f aca="false">IF($A62="","",COUNTIFS('Báo giá'!$I$4:$I$203,$A62))</f>
        <v/>
      </c>
      <c r="E62" s="38" t="str">
        <f aca="false">IF($A62="","",COUNTIFS('Báo giá'!$I$4:$I$203,$A62,'Báo giá'!$T$4:$T$203,"x"))</f>
        <v/>
      </c>
      <c r="F62" s="39" t="str">
        <f aca="false">IF($A62="","",IFERROR($E62/$D62,""))</f>
        <v/>
      </c>
      <c r="G62" s="38" t="str">
        <f aca="false">IF($A62="","",COUNTIFS(PO!$H$4:$H$203,$A62))</f>
        <v/>
      </c>
      <c r="H62" s="38" t="str">
        <f aca="false">IF($A62="","",SUMIFS(PO!$L$4:$L$203,PO!$H$4:$H$203,$A62))</f>
        <v/>
      </c>
      <c r="I62" s="38" t="str">
        <f aca="false">IF($A62="","",SUMIFS(PO!$N$4:$N$203,PO!$H$4:$H$203,$A62))</f>
        <v/>
      </c>
      <c r="J62" s="38" t="str">
        <f aca="false">IF($A62="","",COUNTIFS(PO!$H$4:$H$203,$A62,PO!$S$4:$S$203,"Đúng hạn")+COUNTIFS(PO!$H$4:$H$203,$A62,PO!$S$4:$S$203,"Giao trễ")+COUNTIFS(PO!$H$4:$H$203,$A62,PO!$S$4:$S$203,"Trễ hạn"))</f>
        <v/>
      </c>
      <c r="K62" s="38" t="str">
        <f aca="false">IF($A62="","",COUNTIFS(PO!$H$4:$H$203,$A62,PO!$S$4:$S$203,"Đúng hạn"))</f>
        <v/>
      </c>
      <c r="L62" s="39" t="str">
        <f aca="false">IF($A62="","",IFERROR($K62/$J62,""))</f>
        <v/>
      </c>
      <c r="M62" s="38" t="str">
        <f aca="false">IF($A62="","",SUMIFS(PO!$U$4:$U$203,PO!$H$4:$H$203,$A62))</f>
        <v/>
      </c>
      <c r="N62" s="38" t="str">
        <f aca="false">IF($A62="","",SUMIFS(PO!$V$4:$V$203,PO!$H$4:$H$203,$A62))</f>
        <v/>
      </c>
      <c r="O62" s="39" t="str">
        <f aca="false">IF($A62="","",IFERROR($N62/$M62,""))</f>
        <v/>
      </c>
      <c r="P62" s="38" t="str">
        <f aca="false">IF($A62="","",SUMIFS('Thanh toán'!$H$4:$H$203,'Thanh toán'!$E$4:$E$203,$A62))</f>
        <v/>
      </c>
      <c r="Q62" s="38" t="str">
        <f aca="false">IF($A62="","",SUMIFS('Công nợ'!$I$4:$I$203,'Công nợ'!$D$4:$D$203,$A62))</f>
        <v/>
      </c>
      <c r="R62" s="38" t="str">
        <f aca="false">IF($A62="","",SUMIFS('Công nợ'!$I$4:$I$203,'Công nợ'!$D$4:$D$203,$A62,'Công nợ'!$K$4:$K$203,"&gt;0"))</f>
        <v/>
      </c>
    </row>
    <row r="63" customFormat="false" ht="15" hidden="false" customHeight="false" outlineLevel="0" collapsed="false">
      <c r="A63" s="37" t="str">
        <f aca="false">IF('Nhà cung cấp'!$A63="","",'Nhà cung cấp'!$A63)</f>
        <v/>
      </c>
      <c r="B63" s="37" t="str">
        <f aca="false">IF($A63="","",'Nhà cung cấp'!$B63)</f>
        <v/>
      </c>
      <c r="C63" s="37" t="str">
        <f aca="false">IF($A63="","",'Nhà cung cấp'!$H63)</f>
        <v/>
      </c>
      <c r="D63" s="38" t="str">
        <f aca="false">IF($A63="","",COUNTIFS('Báo giá'!$I$4:$I$203,$A63))</f>
        <v/>
      </c>
      <c r="E63" s="38" t="str">
        <f aca="false">IF($A63="","",COUNTIFS('Báo giá'!$I$4:$I$203,$A63,'Báo giá'!$T$4:$T$203,"x"))</f>
        <v/>
      </c>
      <c r="F63" s="39" t="str">
        <f aca="false">IF($A63="","",IFERROR($E63/$D63,""))</f>
        <v/>
      </c>
      <c r="G63" s="38" t="str">
        <f aca="false">IF($A63="","",COUNTIFS(PO!$H$4:$H$203,$A63))</f>
        <v/>
      </c>
      <c r="H63" s="38" t="str">
        <f aca="false">IF($A63="","",SUMIFS(PO!$L$4:$L$203,PO!$H$4:$H$203,$A63))</f>
        <v/>
      </c>
      <c r="I63" s="38" t="str">
        <f aca="false">IF($A63="","",SUMIFS(PO!$N$4:$N$203,PO!$H$4:$H$203,$A63))</f>
        <v/>
      </c>
      <c r="J63" s="38" t="str">
        <f aca="false">IF($A63="","",COUNTIFS(PO!$H$4:$H$203,$A63,PO!$S$4:$S$203,"Đúng hạn")+COUNTIFS(PO!$H$4:$H$203,$A63,PO!$S$4:$S$203,"Giao trễ")+COUNTIFS(PO!$H$4:$H$203,$A63,PO!$S$4:$S$203,"Trễ hạn"))</f>
        <v/>
      </c>
      <c r="K63" s="38" t="str">
        <f aca="false">IF($A63="","",COUNTIFS(PO!$H$4:$H$203,$A63,PO!$S$4:$S$203,"Đúng hạn"))</f>
        <v/>
      </c>
      <c r="L63" s="39" t="str">
        <f aca="false">IF($A63="","",IFERROR($K63/$J63,""))</f>
        <v/>
      </c>
      <c r="M63" s="38" t="str">
        <f aca="false">IF($A63="","",SUMIFS(PO!$U$4:$U$203,PO!$H$4:$H$203,$A63))</f>
        <v/>
      </c>
      <c r="N63" s="38" t="str">
        <f aca="false">IF($A63="","",SUMIFS(PO!$V$4:$V$203,PO!$H$4:$H$203,$A63))</f>
        <v/>
      </c>
      <c r="O63" s="39" t="str">
        <f aca="false">IF($A63="","",IFERROR($N63/$M63,""))</f>
        <v/>
      </c>
      <c r="P63" s="38" t="str">
        <f aca="false">IF($A63="","",SUMIFS('Thanh toán'!$H$4:$H$203,'Thanh toán'!$E$4:$E$203,$A63))</f>
        <v/>
      </c>
      <c r="Q63" s="38" t="str">
        <f aca="false">IF($A63="","",SUMIFS('Công nợ'!$I$4:$I$203,'Công nợ'!$D$4:$D$203,$A63))</f>
        <v/>
      </c>
      <c r="R63" s="38" t="str">
        <f aca="false">IF($A63="","",SUMIFS('Công nợ'!$I$4:$I$203,'Công nợ'!$D$4:$D$203,$A63,'Công nợ'!$K$4:$K$203,"&gt;0"))</f>
        <v/>
      </c>
    </row>
    <row r="64" customFormat="false" ht="15" hidden="false" customHeight="false" outlineLevel="0" collapsed="false">
      <c r="A64" s="37" t="str">
        <f aca="false">IF('Nhà cung cấp'!$A64="","",'Nhà cung cấp'!$A64)</f>
        <v/>
      </c>
      <c r="B64" s="37" t="str">
        <f aca="false">IF($A64="","",'Nhà cung cấp'!$B64)</f>
        <v/>
      </c>
      <c r="C64" s="37" t="str">
        <f aca="false">IF($A64="","",'Nhà cung cấp'!$H64)</f>
        <v/>
      </c>
      <c r="D64" s="38" t="str">
        <f aca="false">IF($A64="","",COUNTIFS('Báo giá'!$I$4:$I$203,$A64))</f>
        <v/>
      </c>
      <c r="E64" s="38" t="str">
        <f aca="false">IF($A64="","",COUNTIFS('Báo giá'!$I$4:$I$203,$A64,'Báo giá'!$T$4:$T$203,"x"))</f>
        <v/>
      </c>
      <c r="F64" s="39" t="str">
        <f aca="false">IF($A64="","",IFERROR($E64/$D64,""))</f>
        <v/>
      </c>
      <c r="G64" s="38" t="str">
        <f aca="false">IF($A64="","",COUNTIFS(PO!$H$4:$H$203,$A64))</f>
        <v/>
      </c>
      <c r="H64" s="38" t="str">
        <f aca="false">IF($A64="","",SUMIFS(PO!$L$4:$L$203,PO!$H$4:$H$203,$A64))</f>
        <v/>
      </c>
      <c r="I64" s="38" t="str">
        <f aca="false">IF($A64="","",SUMIFS(PO!$N$4:$N$203,PO!$H$4:$H$203,$A64))</f>
        <v/>
      </c>
      <c r="J64" s="38" t="str">
        <f aca="false">IF($A64="","",COUNTIFS(PO!$H$4:$H$203,$A64,PO!$S$4:$S$203,"Đúng hạn")+COUNTIFS(PO!$H$4:$H$203,$A64,PO!$S$4:$S$203,"Giao trễ")+COUNTIFS(PO!$H$4:$H$203,$A64,PO!$S$4:$S$203,"Trễ hạn"))</f>
        <v/>
      </c>
      <c r="K64" s="38" t="str">
        <f aca="false">IF($A64="","",COUNTIFS(PO!$H$4:$H$203,$A64,PO!$S$4:$S$203,"Đúng hạn"))</f>
        <v/>
      </c>
      <c r="L64" s="39" t="str">
        <f aca="false">IF($A64="","",IFERROR($K64/$J64,""))</f>
        <v/>
      </c>
      <c r="M64" s="38" t="str">
        <f aca="false">IF($A64="","",SUMIFS(PO!$U$4:$U$203,PO!$H$4:$H$203,$A64))</f>
        <v/>
      </c>
      <c r="N64" s="38" t="str">
        <f aca="false">IF($A64="","",SUMIFS(PO!$V$4:$V$203,PO!$H$4:$H$203,$A64))</f>
        <v/>
      </c>
      <c r="O64" s="39" t="str">
        <f aca="false">IF($A64="","",IFERROR($N64/$M64,""))</f>
        <v/>
      </c>
      <c r="P64" s="38" t="str">
        <f aca="false">IF($A64="","",SUMIFS('Thanh toán'!$H$4:$H$203,'Thanh toán'!$E$4:$E$203,$A64))</f>
        <v/>
      </c>
      <c r="Q64" s="38" t="str">
        <f aca="false">IF($A64="","",SUMIFS('Công nợ'!$I$4:$I$203,'Công nợ'!$D$4:$D$203,$A64))</f>
        <v/>
      </c>
      <c r="R64" s="38" t="str">
        <f aca="false">IF($A64="","",SUMIFS('Công nợ'!$I$4:$I$203,'Công nợ'!$D$4:$D$203,$A64,'Công nợ'!$K$4:$K$203,"&gt;0"))</f>
        <v/>
      </c>
    </row>
    <row r="65" customFormat="false" ht="15" hidden="false" customHeight="false" outlineLevel="0" collapsed="false">
      <c r="A65" s="37" t="str">
        <f aca="false">IF('Nhà cung cấp'!$A65="","",'Nhà cung cấp'!$A65)</f>
        <v/>
      </c>
      <c r="B65" s="37" t="str">
        <f aca="false">IF($A65="","",'Nhà cung cấp'!$B65)</f>
        <v/>
      </c>
      <c r="C65" s="37" t="str">
        <f aca="false">IF($A65="","",'Nhà cung cấp'!$H65)</f>
        <v/>
      </c>
      <c r="D65" s="38" t="str">
        <f aca="false">IF($A65="","",COUNTIFS('Báo giá'!$I$4:$I$203,$A65))</f>
        <v/>
      </c>
      <c r="E65" s="38" t="str">
        <f aca="false">IF($A65="","",COUNTIFS('Báo giá'!$I$4:$I$203,$A65,'Báo giá'!$T$4:$T$203,"x"))</f>
        <v/>
      </c>
      <c r="F65" s="39" t="str">
        <f aca="false">IF($A65="","",IFERROR($E65/$D65,""))</f>
        <v/>
      </c>
      <c r="G65" s="38" t="str">
        <f aca="false">IF($A65="","",COUNTIFS(PO!$H$4:$H$203,$A65))</f>
        <v/>
      </c>
      <c r="H65" s="38" t="str">
        <f aca="false">IF($A65="","",SUMIFS(PO!$L$4:$L$203,PO!$H$4:$H$203,$A65))</f>
        <v/>
      </c>
      <c r="I65" s="38" t="str">
        <f aca="false">IF($A65="","",SUMIFS(PO!$N$4:$N$203,PO!$H$4:$H$203,$A65))</f>
        <v/>
      </c>
      <c r="J65" s="38" t="str">
        <f aca="false">IF($A65="","",COUNTIFS(PO!$H$4:$H$203,$A65,PO!$S$4:$S$203,"Đúng hạn")+COUNTIFS(PO!$H$4:$H$203,$A65,PO!$S$4:$S$203,"Giao trễ")+COUNTIFS(PO!$H$4:$H$203,$A65,PO!$S$4:$S$203,"Trễ hạn"))</f>
        <v/>
      </c>
      <c r="K65" s="38" t="str">
        <f aca="false">IF($A65="","",COUNTIFS(PO!$H$4:$H$203,$A65,PO!$S$4:$S$203,"Đúng hạn"))</f>
        <v/>
      </c>
      <c r="L65" s="39" t="str">
        <f aca="false">IF($A65="","",IFERROR($K65/$J65,""))</f>
        <v/>
      </c>
      <c r="M65" s="38" t="str">
        <f aca="false">IF($A65="","",SUMIFS(PO!$U$4:$U$203,PO!$H$4:$H$203,$A65))</f>
        <v/>
      </c>
      <c r="N65" s="38" t="str">
        <f aca="false">IF($A65="","",SUMIFS(PO!$V$4:$V$203,PO!$H$4:$H$203,$A65))</f>
        <v/>
      </c>
      <c r="O65" s="39" t="str">
        <f aca="false">IF($A65="","",IFERROR($N65/$M65,""))</f>
        <v/>
      </c>
      <c r="P65" s="38" t="str">
        <f aca="false">IF($A65="","",SUMIFS('Thanh toán'!$H$4:$H$203,'Thanh toán'!$E$4:$E$203,$A65))</f>
        <v/>
      </c>
      <c r="Q65" s="38" t="str">
        <f aca="false">IF($A65="","",SUMIFS('Công nợ'!$I$4:$I$203,'Công nợ'!$D$4:$D$203,$A65))</f>
        <v/>
      </c>
      <c r="R65" s="38" t="str">
        <f aca="false">IF($A65="","",SUMIFS('Công nợ'!$I$4:$I$203,'Công nợ'!$D$4:$D$203,$A65,'Công nợ'!$K$4:$K$203,"&gt;0"))</f>
        <v/>
      </c>
    </row>
    <row r="66" customFormat="false" ht="15" hidden="false" customHeight="false" outlineLevel="0" collapsed="false">
      <c r="A66" s="37" t="str">
        <f aca="false">IF('Nhà cung cấp'!$A66="","",'Nhà cung cấp'!$A66)</f>
        <v/>
      </c>
      <c r="B66" s="37" t="str">
        <f aca="false">IF($A66="","",'Nhà cung cấp'!$B66)</f>
        <v/>
      </c>
      <c r="C66" s="37" t="str">
        <f aca="false">IF($A66="","",'Nhà cung cấp'!$H66)</f>
        <v/>
      </c>
      <c r="D66" s="38" t="str">
        <f aca="false">IF($A66="","",COUNTIFS('Báo giá'!$I$4:$I$203,$A66))</f>
        <v/>
      </c>
      <c r="E66" s="38" t="str">
        <f aca="false">IF($A66="","",COUNTIFS('Báo giá'!$I$4:$I$203,$A66,'Báo giá'!$T$4:$T$203,"x"))</f>
        <v/>
      </c>
      <c r="F66" s="39" t="str">
        <f aca="false">IF($A66="","",IFERROR($E66/$D66,""))</f>
        <v/>
      </c>
      <c r="G66" s="38" t="str">
        <f aca="false">IF($A66="","",COUNTIFS(PO!$H$4:$H$203,$A66))</f>
        <v/>
      </c>
      <c r="H66" s="38" t="str">
        <f aca="false">IF($A66="","",SUMIFS(PO!$L$4:$L$203,PO!$H$4:$H$203,$A66))</f>
        <v/>
      </c>
      <c r="I66" s="38" t="str">
        <f aca="false">IF($A66="","",SUMIFS(PO!$N$4:$N$203,PO!$H$4:$H$203,$A66))</f>
        <v/>
      </c>
      <c r="J66" s="38" t="str">
        <f aca="false">IF($A66="","",COUNTIFS(PO!$H$4:$H$203,$A66,PO!$S$4:$S$203,"Đúng hạn")+COUNTIFS(PO!$H$4:$H$203,$A66,PO!$S$4:$S$203,"Giao trễ")+COUNTIFS(PO!$H$4:$H$203,$A66,PO!$S$4:$S$203,"Trễ hạn"))</f>
        <v/>
      </c>
      <c r="K66" s="38" t="str">
        <f aca="false">IF($A66="","",COUNTIFS(PO!$H$4:$H$203,$A66,PO!$S$4:$S$203,"Đúng hạn"))</f>
        <v/>
      </c>
      <c r="L66" s="39" t="str">
        <f aca="false">IF($A66="","",IFERROR($K66/$J66,""))</f>
        <v/>
      </c>
      <c r="M66" s="38" t="str">
        <f aca="false">IF($A66="","",SUMIFS(PO!$U$4:$U$203,PO!$H$4:$H$203,$A66))</f>
        <v/>
      </c>
      <c r="N66" s="38" t="str">
        <f aca="false">IF($A66="","",SUMIFS(PO!$V$4:$V$203,PO!$H$4:$H$203,$A66))</f>
        <v/>
      </c>
      <c r="O66" s="39" t="str">
        <f aca="false">IF($A66="","",IFERROR($N66/$M66,""))</f>
        <v/>
      </c>
      <c r="P66" s="38" t="str">
        <f aca="false">IF($A66="","",SUMIFS('Thanh toán'!$H$4:$H$203,'Thanh toán'!$E$4:$E$203,$A66))</f>
        <v/>
      </c>
      <c r="Q66" s="38" t="str">
        <f aca="false">IF($A66="","",SUMIFS('Công nợ'!$I$4:$I$203,'Công nợ'!$D$4:$D$203,$A66))</f>
        <v/>
      </c>
      <c r="R66" s="38" t="str">
        <f aca="false">IF($A66="","",SUMIFS('Công nợ'!$I$4:$I$203,'Công nợ'!$D$4:$D$203,$A66,'Công nợ'!$K$4:$K$203,"&gt;0"))</f>
        <v/>
      </c>
    </row>
    <row r="67" customFormat="false" ht="15" hidden="false" customHeight="false" outlineLevel="0" collapsed="false">
      <c r="A67" s="37" t="str">
        <f aca="false">IF('Nhà cung cấp'!$A67="","",'Nhà cung cấp'!$A67)</f>
        <v/>
      </c>
      <c r="B67" s="37" t="str">
        <f aca="false">IF($A67="","",'Nhà cung cấp'!$B67)</f>
        <v/>
      </c>
      <c r="C67" s="37" t="str">
        <f aca="false">IF($A67="","",'Nhà cung cấp'!$H67)</f>
        <v/>
      </c>
      <c r="D67" s="38" t="str">
        <f aca="false">IF($A67="","",COUNTIFS('Báo giá'!$I$4:$I$203,$A67))</f>
        <v/>
      </c>
      <c r="E67" s="38" t="str">
        <f aca="false">IF($A67="","",COUNTIFS('Báo giá'!$I$4:$I$203,$A67,'Báo giá'!$T$4:$T$203,"x"))</f>
        <v/>
      </c>
      <c r="F67" s="39" t="str">
        <f aca="false">IF($A67="","",IFERROR($E67/$D67,""))</f>
        <v/>
      </c>
      <c r="G67" s="38" t="str">
        <f aca="false">IF($A67="","",COUNTIFS(PO!$H$4:$H$203,$A67))</f>
        <v/>
      </c>
      <c r="H67" s="38" t="str">
        <f aca="false">IF($A67="","",SUMIFS(PO!$L$4:$L$203,PO!$H$4:$H$203,$A67))</f>
        <v/>
      </c>
      <c r="I67" s="38" t="str">
        <f aca="false">IF($A67="","",SUMIFS(PO!$N$4:$N$203,PO!$H$4:$H$203,$A67))</f>
        <v/>
      </c>
      <c r="J67" s="38" t="str">
        <f aca="false">IF($A67="","",COUNTIFS(PO!$H$4:$H$203,$A67,PO!$S$4:$S$203,"Đúng hạn")+COUNTIFS(PO!$H$4:$H$203,$A67,PO!$S$4:$S$203,"Giao trễ")+COUNTIFS(PO!$H$4:$H$203,$A67,PO!$S$4:$S$203,"Trễ hạn"))</f>
        <v/>
      </c>
      <c r="K67" s="38" t="str">
        <f aca="false">IF($A67="","",COUNTIFS(PO!$H$4:$H$203,$A67,PO!$S$4:$S$203,"Đúng hạn"))</f>
        <v/>
      </c>
      <c r="L67" s="39" t="str">
        <f aca="false">IF($A67="","",IFERROR($K67/$J67,""))</f>
        <v/>
      </c>
      <c r="M67" s="38" t="str">
        <f aca="false">IF($A67="","",SUMIFS(PO!$U$4:$U$203,PO!$H$4:$H$203,$A67))</f>
        <v/>
      </c>
      <c r="N67" s="38" t="str">
        <f aca="false">IF($A67="","",SUMIFS(PO!$V$4:$V$203,PO!$H$4:$H$203,$A67))</f>
        <v/>
      </c>
      <c r="O67" s="39" t="str">
        <f aca="false">IF($A67="","",IFERROR($N67/$M67,""))</f>
        <v/>
      </c>
      <c r="P67" s="38" t="str">
        <f aca="false">IF($A67="","",SUMIFS('Thanh toán'!$H$4:$H$203,'Thanh toán'!$E$4:$E$203,$A67))</f>
        <v/>
      </c>
      <c r="Q67" s="38" t="str">
        <f aca="false">IF($A67="","",SUMIFS('Công nợ'!$I$4:$I$203,'Công nợ'!$D$4:$D$203,$A67))</f>
        <v/>
      </c>
      <c r="R67" s="38" t="str">
        <f aca="false">IF($A67="","",SUMIFS('Công nợ'!$I$4:$I$203,'Công nợ'!$D$4:$D$203,$A67,'Công nợ'!$K$4:$K$203,"&gt;0"))</f>
        <v/>
      </c>
    </row>
    <row r="68" customFormat="false" ht="15" hidden="false" customHeight="false" outlineLevel="0" collapsed="false">
      <c r="A68" s="37" t="str">
        <f aca="false">IF('Nhà cung cấp'!$A68="","",'Nhà cung cấp'!$A68)</f>
        <v/>
      </c>
      <c r="B68" s="37" t="str">
        <f aca="false">IF($A68="","",'Nhà cung cấp'!$B68)</f>
        <v/>
      </c>
      <c r="C68" s="37" t="str">
        <f aca="false">IF($A68="","",'Nhà cung cấp'!$H68)</f>
        <v/>
      </c>
      <c r="D68" s="38" t="str">
        <f aca="false">IF($A68="","",COUNTIFS('Báo giá'!$I$4:$I$203,$A68))</f>
        <v/>
      </c>
      <c r="E68" s="38" t="str">
        <f aca="false">IF($A68="","",COUNTIFS('Báo giá'!$I$4:$I$203,$A68,'Báo giá'!$T$4:$T$203,"x"))</f>
        <v/>
      </c>
      <c r="F68" s="39" t="str">
        <f aca="false">IF($A68="","",IFERROR($E68/$D68,""))</f>
        <v/>
      </c>
      <c r="G68" s="38" t="str">
        <f aca="false">IF($A68="","",COUNTIFS(PO!$H$4:$H$203,$A68))</f>
        <v/>
      </c>
      <c r="H68" s="38" t="str">
        <f aca="false">IF($A68="","",SUMIFS(PO!$L$4:$L$203,PO!$H$4:$H$203,$A68))</f>
        <v/>
      </c>
      <c r="I68" s="38" t="str">
        <f aca="false">IF($A68="","",SUMIFS(PO!$N$4:$N$203,PO!$H$4:$H$203,$A68))</f>
        <v/>
      </c>
      <c r="J68" s="38" t="str">
        <f aca="false">IF($A68="","",COUNTIFS(PO!$H$4:$H$203,$A68,PO!$S$4:$S$203,"Đúng hạn")+COUNTIFS(PO!$H$4:$H$203,$A68,PO!$S$4:$S$203,"Giao trễ")+COUNTIFS(PO!$H$4:$H$203,$A68,PO!$S$4:$S$203,"Trễ hạn"))</f>
        <v/>
      </c>
      <c r="K68" s="38" t="str">
        <f aca="false">IF($A68="","",COUNTIFS(PO!$H$4:$H$203,$A68,PO!$S$4:$S$203,"Đúng hạn"))</f>
        <v/>
      </c>
      <c r="L68" s="39" t="str">
        <f aca="false">IF($A68="","",IFERROR($K68/$J68,""))</f>
        <v/>
      </c>
      <c r="M68" s="38" t="str">
        <f aca="false">IF($A68="","",SUMIFS(PO!$U$4:$U$203,PO!$H$4:$H$203,$A68))</f>
        <v/>
      </c>
      <c r="N68" s="38" t="str">
        <f aca="false">IF($A68="","",SUMIFS(PO!$V$4:$V$203,PO!$H$4:$H$203,$A68))</f>
        <v/>
      </c>
      <c r="O68" s="39" t="str">
        <f aca="false">IF($A68="","",IFERROR($N68/$M68,""))</f>
        <v/>
      </c>
      <c r="P68" s="38" t="str">
        <f aca="false">IF($A68="","",SUMIFS('Thanh toán'!$H$4:$H$203,'Thanh toán'!$E$4:$E$203,$A68))</f>
        <v/>
      </c>
      <c r="Q68" s="38" t="str">
        <f aca="false">IF($A68="","",SUMIFS('Công nợ'!$I$4:$I$203,'Công nợ'!$D$4:$D$203,$A68))</f>
        <v/>
      </c>
      <c r="R68" s="38" t="str">
        <f aca="false">IF($A68="","",SUMIFS('Công nợ'!$I$4:$I$203,'Công nợ'!$D$4:$D$203,$A68,'Công nợ'!$K$4:$K$203,"&gt;0"))</f>
        <v/>
      </c>
    </row>
    <row r="69" customFormat="false" ht="15" hidden="false" customHeight="false" outlineLevel="0" collapsed="false">
      <c r="A69" s="37" t="str">
        <f aca="false">IF('Nhà cung cấp'!$A69="","",'Nhà cung cấp'!$A69)</f>
        <v/>
      </c>
      <c r="B69" s="37" t="str">
        <f aca="false">IF($A69="","",'Nhà cung cấp'!$B69)</f>
        <v/>
      </c>
      <c r="C69" s="37" t="str">
        <f aca="false">IF($A69="","",'Nhà cung cấp'!$H69)</f>
        <v/>
      </c>
      <c r="D69" s="38" t="str">
        <f aca="false">IF($A69="","",COUNTIFS('Báo giá'!$I$4:$I$203,$A69))</f>
        <v/>
      </c>
      <c r="E69" s="38" t="str">
        <f aca="false">IF($A69="","",COUNTIFS('Báo giá'!$I$4:$I$203,$A69,'Báo giá'!$T$4:$T$203,"x"))</f>
        <v/>
      </c>
      <c r="F69" s="39" t="str">
        <f aca="false">IF($A69="","",IFERROR($E69/$D69,""))</f>
        <v/>
      </c>
      <c r="G69" s="38" t="str">
        <f aca="false">IF($A69="","",COUNTIFS(PO!$H$4:$H$203,$A69))</f>
        <v/>
      </c>
      <c r="H69" s="38" t="str">
        <f aca="false">IF($A69="","",SUMIFS(PO!$L$4:$L$203,PO!$H$4:$H$203,$A69))</f>
        <v/>
      </c>
      <c r="I69" s="38" t="str">
        <f aca="false">IF($A69="","",SUMIFS(PO!$N$4:$N$203,PO!$H$4:$H$203,$A69))</f>
        <v/>
      </c>
      <c r="J69" s="38" t="str">
        <f aca="false">IF($A69="","",COUNTIFS(PO!$H$4:$H$203,$A69,PO!$S$4:$S$203,"Đúng hạn")+COUNTIFS(PO!$H$4:$H$203,$A69,PO!$S$4:$S$203,"Giao trễ")+COUNTIFS(PO!$H$4:$H$203,$A69,PO!$S$4:$S$203,"Trễ hạn"))</f>
        <v/>
      </c>
      <c r="K69" s="38" t="str">
        <f aca="false">IF($A69="","",COUNTIFS(PO!$H$4:$H$203,$A69,PO!$S$4:$S$203,"Đúng hạn"))</f>
        <v/>
      </c>
      <c r="L69" s="39" t="str">
        <f aca="false">IF($A69="","",IFERROR($K69/$J69,""))</f>
        <v/>
      </c>
      <c r="M69" s="38" t="str">
        <f aca="false">IF($A69="","",SUMIFS(PO!$U$4:$U$203,PO!$H$4:$H$203,$A69))</f>
        <v/>
      </c>
      <c r="N69" s="38" t="str">
        <f aca="false">IF($A69="","",SUMIFS(PO!$V$4:$V$203,PO!$H$4:$H$203,$A69))</f>
        <v/>
      </c>
      <c r="O69" s="39" t="str">
        <f aca="false">IF($A69="","",IFERROR($N69/$M69,""))</f>
        <v/>
      </c>
      <c r="P69" s="38" t="str">
        <f aca="false">IF($A69="","",SUMIFS('Thanh toán'!$H$4:$H$203,'Thanh toán'!$E$4:$E$203,$A69))</f>
        <v/>
      </c>
      <c r="Q69" s="38" t="str">
        <f aca="false">IF($A69="","",SUMIFS('Công nợ'!$I$4:$I$203,'Công nợ'!$D$4:$D$203,$A69))</f>
        <v/>
      </c>
      <c r="R69" s="38" t="str">
        <f aca="false">IF($A69="","",SUMIFS('Công nợ'!$I$4:$I$203,'Công nợ'!$D$4:$D$203,$A69,'Công nợ'!$K$4:$K$203,"&gt;0"))</f>
        <v/>
      </c>
    </row>
    <row r="70" customFormat="false" ht="15" hidden="false" customHeight="false" outlineLevel="0" collapsed="false">
      <c r="A70" s="37" t="str">
        <f aca="false">IF('Nhà cung cấp'!$A70="","",'Nhà cung cấp'!$A70)</f>
        <v/>
      </c>
      <c r="B70" s="37" t="str">
        <f aca="false">IF($A70="","",'Nhà cung cấp'!$B70)</f>
        <v/>
      </c>
      <c r="C70" s="37" t="str">
        <f aca="false">IF($A70="","",'Nhà cung cấp'!$H70)</f>
        <v/>
      </c>
      <c r="D70" s="38" t="str">
        <f aca="false">IF($A70="","",COUNTIFS('Báo giá'!$I$4:$I$203,$A70))</f>
        <v/>
      </c>
      <c r="E70" s="38" t="str">
        <f aca="false">IF($A70="","",COUNTIFS('Báo giá'!$I$4:$I$203,$A70,'Báo giá'!$T$4:$T$203,"x"))</f>
        <v/>
      </c>
      <c r="F70" s="39" t="str">
        <f aca="false">IF($A70="","",IFERROR($E70/$D70,""))</f>
        <v/>
      </c>
      <c r="G70" s="38" t="str">
        <f aca="false">IF($A70="","",COUNTIFS(PO!$H$4:$H$203,$A70))</f>
        <v/>
      </c>
      <c r="H70" s="38" t="str">
        <f aca="false">IF($A70="","",SUMIFS(PO!$L$4:$L$203,PO!$H$4:$H$203,$A70))</f>
        <v/>
      </c>
      <c r="I70" s="38" t="str">
        <f aca="false">IF($A70="","",SUMIFS(PO!$N$4:$N$203,PO!$H$4:$H$203,$A70))</f>
        <v/>
      </c>
      <c r="J70" s="38" t="str">
        <f aca="false">IF($A70="","",COUNTIFS(PO!$H$4:$H$203,$A70,PO!$S$4:$S$203,"Đúng hạn")+COUNTIFS(PO!$H$4:$H$203,$A70,PO!$S$4:$S$203,"Giao trễ")+COUNTIFS(PO!$H$4:$H$203,$A70,PO!$S$4:$S$203,"Trễ hạn"))</f>
        <v/>
      </c>
      <c r="K70" s="38" t="str">
        <f aca="false">IF($A70="","",COUNTIFS(PO!$H$4:$H$203,$A70,PO!$S$4:$S$203,"Đúng hạn"))</f>
        <v/>
      </c>
      <c r="L70" s="39" t="str">
        <f aca="false">IF($A70="","",IFERROR($K70/$J70,""))</f>
        <v/>
      </c>
      <c r="M70" s="38" t="str">
        <f aca="false">IF($A70="","",SUMIFS(PO!$U$4:$U$203,PO!$H$4:$H$203,$A70))</f>
        <v/>
      </c>
      <c r="N70" s="38" t="str">
        <f aca="false">IF($A70="","",SUMIFS(PO!$V$4:$V$203,PO!$H$4:$H$203,$A70))</f>
        <v/>
      </c>
      <c r="O70" s="39" t="str">
        <f aca="false">IF($A70="","",IFERROR($N70/$M70,""))</f>
        <v/>
      </c>
      <c r="P70" s="38" t="str">
        <f aca="false">IF($A70="","",SUMIFS('Thanh toán'!$H$4:$H$203,'Thanh toán'!$E$4:$E$203,$A70))</f>
        <v/>
      </c>
      <c r="Q70" s="38" t="str">
        <f aca="false">IF($A70="","",SUMIFS('Công nợ'!$I$4:$I$203,'Công nợ'!$D$4:$D$203,$A70))</f>
        <v/>
      </c>
      <c r="R70" s="38" t="str">
        <f aca="false">IF($A70="","",SUMIFS('Công nợ'!$I$4:$I$203,'Công nợ'!$D$4:$D$203,$A70,'Công nợ'!$K$4:$K$203,"&gt;0"))</f>
        <v/>
      </c>
    </row>
    <row r="71" customFormat="false" ht="15" hidden="false" customHeight="false" outlineLevel="0" collapsed="false">
      <c r="A71" s="37" t="str">
        <f aca="false">IF('Nhà cung cấp'!$A71="","",'Nhà cung cấp'!$A71)</f>
        <v/>
      </c>
      <c r="B71" s="37" t="str">
        <f aca="false">IF($A71="","",'Nhà cung cấp'!$B71)</f>
        <v/>
      </c>
      <c r="C71" s="37" t="str">
        <f aca="false">IF($A71="","",'Nhà cung cấp'!$H71)</f>
        <v/>
      </c>
      <c r="D71" s="38" t="str">
        <f aca="false">IF($A71="","",COUNTIFS('Báo giá'!$I$4:$I$203,$A71))</f>
        <v/>
      </c>
      <c r="E71" s="38" t="str">
        <f aca="false">IF($A71="","",COUNTIFS('Báo giá'!$I$4:$I$203,$A71,'Báo giá'!$T$4:$T$203,"x"))</f>
        <v/>
      </c>
      <c r="F71" s="39" t="str">
        <f aca="false">IF($A71="","",IFERROR($E71/$D71,""))</f>
        <v/>
      </c>
      <c r="G71" s="38" t="str">
        <f aca="false">IF($A71="","",COUNTIFS(PO!$H$4:$H$203,$A71))</f>
        <v/>
      </c>
      <c r="H71" s="38" t="str">
        <f aca="false">IF($A71="","",SUMIFS(PO!$L$4:$L$203,PO!$H$4:$H$203,$A71))</f>
        <v/>
      </c>
      <c r="I71" s="38" t="str">
        <f aca="false">IF($A71="","",SUMIFS(PO!$N$4:$N$203,PO!$H$4:$H$203,$A71))</f>
        <v/>
      </c>
      <c r="J71" s="38" t="str">
        <f aca="false">IF($A71="","",COUNTIFS(PO!$H$4:$H$203,$A71,PO!$S$4:$S$203,"Đúng hạn")+COUNTIFS(PO!$H$4:$H$203,$A71,PO!$S$4:$S$203,"Giao trễ")+COUNTIFS(PO!$H$4:$H$203,$A71,PO!$S$4:$S$203,"Trễ hạn"))</f>
        <v/>
      </c>
      <c r="K71" s="38" t="str">
        <f aca="false">IF($A71="","",COUNTIFS(PO!$H$4:$H$203,$A71,PO!$S$4:$S$203,"Đúng hạn"))</f>
        <v/>
      </c>
      <c r="L71" s="39" t="str">
        <f aca="false">IF($A71="","",IFERROR($K71/$J71,""))</f>
        <v/>
      </c>
      <c r="M71" s="38" t="str">
        <f aca="false">IF($A71="","",SUMIFS(PO!$U$4:$U$203,PO!$H$4:$H$203,$A71))</f>
        <v/>
      </c>
      <c r="N71" s="38" t="str">
        <f aca="false">IF($A71="","",SUMIFS(PO!$V$4:$V$203,PO!$H$4:$H$203,$A71))</f>
        <v/>
      </c>
      <c r="O71" s="39" t="str">
        <f aca="false">IF($A71="","",IFERROR($N71/$M71,""))</f>
        <v/>
      </c>
      <c r="P71" s="38" t="str">
        <f aca="false">IF($A71="","",SUMIFS('Thanh toán'!$H$4:$H$203,'Thanh toán'!$E$4:$E$203,$A71))</f>
        <v/>
      </c>
      <c r="Q71" s="38" t="str">
        <f aca="false">IF($A71="","",SUMIFS('Công nợ'!$I$4:$I$203,'Công nợ'!$D$4:$D$203,$A71))</f>
        <v/>
      </c>
      <c r="R71" s="38" t="str">
        <f aca="false">IF($A71="","",SUMIFS('Công nợ'!$I$4:$I$203,'Công nợ'!$D$4:$D$203,$A71,'Công nợ'!$K$4:$K$203,"&gt;0"))</f>
        <v/>
      </c>
    </row>
    <row r="72" customFormat="false" ht="15" hidden="false" customHeight="false" outlineLevel="0" collapsed="false">
      <c r="A72" s="37" t="str">
        <f aca="false">IF('Nhà cung cấp'!$A72="","",'Nhà cung cấp'!$A72)</f>
        <v/>
      </c>
      <c r="B72" s="37" t="str">
        <f aca="false">IF($A72="","",'Nhà cung cấp'!$B72)</f>
        <v/>
      </c>
      <c r="C72" s="37" t="str">
        <f aca="false">IF($A72="","",'Nhà cung cấp'!$H72)</f>
        <v/>
      </c>
      <c r="D72" s="38" t="str">
        <f aca="false">IF($A72="","",COUNTIFS('Báo giá'!$I$4:$I$203,$A72))</f>
        <v/>
      </c>
      <c r="E72" s="38" t="str">
        <f aca="false">IF($A72="","",COUNTIFS('Báo giá'!$I$4:$I$203,$A72,'Báo giá'!$T$4:$T$203,"x"))</f>
        <v/>
      </c>
      <c r="F72" s="39" t="str">
        <f aca="false">IF($A72="","",IFERROR($E72/$D72,""))</f>
        <v/>
      </c>
      <c r="G72" s="38" t="str">
        <f aca="false">IF($A72="","",COUNTIFS(PO!$H$4:$H$203,$A72))</f>
        <v/>
      </c>
      <c r="H72" s="38" t="str">
        <f aca="false">IF($A72="","",SUMIFS(PO!$L$4:$L$203,PO!$H$4:$H$203,$A72))</f>
        <v/>
      </c>
      <c r="I72" s="38" t="str">
        <f aca="false">IF($A72="","",SUMIFS(PO!$N$4:$N$203,PO!$H$4:$H$203,$A72))</f>
        <v/>
      </c>
      <c r="J72" s="38" t="str">
        <f aca="false">IF($A72="","",COUNTIFS(PO!$H$4:$H$203,$A72,PO!$S$4:$S$203,"Đúng hạn")+COUNTIFS(PO!$H$4:$H$203,$A72,PO!$S$4:$S$203,"Giao trễ")+COUNTIFS(PO!$H$4:$H$203,$A72,PO!$S$4:$S$203,"Trễ hạn"))</f>
        <v/>
      </c>
      <c r="K72" s="38" t="str">
        <f aca="false">IF($A72="","",COUNTIFS(PO!$H$4:$H$203,$A72,PO!$S$4:$S$203,"Đúng hạn"))</f>
        <v/>
      </c>
      <c r="L72" s="39" t="str">
        <f aca="false">IF($A72="","",IFERROR($K72/$J72,""))</f>
        <v/>
      </c>
      <c r="M72" s="38" t="str">
        <f aca="false">IF($A72="","",SUMIFS(PO!$U$4:$U$203,PO!$H$4:$H$203,$A72))</f>
        <v/>
      </c>
      <c r="N72" s="38" t="str">
        <f aca="false">IF($A72="","",SUMIFS(PO!$V$4:$V$203,PO!$H$4:$H$203,$A72))</f>
        <v/>
      </c>
      <c r="O72" s="39" t="str">
        <f aca="false">IF($A72="","",IFERROR($N72/$M72,""))</f>
        <v/>
      </c>
      <c r="P72" s="38" t="str">
        <f aca="false">IF($A72="","",SUMIFS('Thanh toán'!$H$4:$H$203,'Thanh toán'!$E$4:$E$203,$A72))</f>
        <v/>
      </c>
      <c r="Q72" s="38" t="str">
        <f aca="false">IF($A72="","",SUMIFS('Công nợ'!$I$4:$I$203,'Công nợ'!$D$4:$D$203,$A72))</f>
        <v/>
      </c>
      <c r="R72" s="38" t="str">
        <f aca="false">IF($A72="","",SUMIFS('Công nợ'!$I$4:$I$203,'Công nợ'!$D$4:$D$203,$A72,'Công nợ'!$K$4:$K$203,"&gt;0"))</f>
        <v/>
      </c>
    </row>
    <row r="73" customFormat="false" ht="15" hidden="false" customHeight="false" outlineLevel="0" collapsed="false">
      <c r="A73" s="37" t="str">
        <f aca="false">IF('Nhà cung cấp'!$A73="","",'Nhà cung cấp'!$A73)</f>
        <v/>
      </c>
      <c r="B73" s="37" t="str">
        <f aca="false">IF($A73="","",'Nhà cung cấp'!$B73)</f>
        <v/>
      </c>
      <c r="C73" s="37" t="str">
        <f aca="false">IF($A73="","",'Nhà cung cấp'!$H73)</f>
        <v/>
      </c>
      <c r="D73" s="38" t="str">
        <f aca="false">IF($A73="","",COUNTIFS('Báo giá'!$I$4:$I$203,$A73))</f>
        <v/>
      </c>
      <c r="E73" s="38" t="str">
        <f aca="false">IF($A73="","",COUNTIFS('Báo giá'!$I$4:$I$203,$A73,'Báo giá'!$T$4:$T$203,"x"))</f>
        <v/>
      </c>
      <c r="F73" s="39" t="str">
        <f aca="false">IF($A73="","",IFERROR($E73/$D73,""))</f>
        <v/>
      </c>
      <c r="G73" s="38" t="str">
        <f aca="false">IF($A73="","",COUNTIFS(PO!$H$4:$H$203,$A73))</f>
        <v/>
      </c>
      <c r="H73" s="38" t="str">
        <f aca="false">IF($A73="","",SUMIFS(PO!$L$4:$L$203,PO!$H$4:$H$203,$A73))</f>
        <v/>
      </c>
      <c r="I73" s="38" t="str">
        <f aca="false">IF($A73="","",SUMIFS(PO!$N$4:$N$203,PO!$H$4:$H$203,$A73))</f>
        <v/>
      </c>
      <c r="J73" s="38" t="str">
        <f aca="false">IF($A73="","",COUNTIFS(PO!$H$4:$H$203,$A73,PO!$S$4:$S$203,"Đúng hạn")+COUNTIFS(PO!$H$4:$H$203,$A73,PO!$S$4:$S$203,"Giao trễ")+COUNTIFS(PO!$H$4:$H$203,$A73,PO!$S$4:$S$203,"Trễ hạn"))</f>
        <v/>
      </c>
      <c r="K73" s="38" t="str">
        <f aca="false">IF($A73="","",COUNTIFS(PO!$H$4:$H$203,$A73,PO!$S$4:$S$203,"Đúng hạn"))</f>
        <v/>
      </c>
      <c r="L73" s="39" t="str">
        <f aca="false">IF($A73="","",IFERROR($K73/$J73,""))</f>
        <v/>
      </c>
      <c r="M73" s="38" t="str">
        <f aca="false">IF($A73="","",SUMIFS(PO!$U$4:$U$203,PO!$H$4:$H$203,$A73))</f>
        <v/>
      </c>
      <c r="N73" s="38" t="str">
        <f aca="false">IF($A73="","",SUMIFS(PO!$V$4:$V$203,PO!$H$4:$H$203,$A73))</f>
        <v/>
      </c>
      <c r="O73" s="39" t="str">
        <f aca="false">IF($A73="","",IFERROR($N73/$M73,""))</f>
        <v/>
      </c>
      <c r="P73" s="38" t="str">
        <f aca="false">IF($A73="","",SUMIFS('Thanh toán'!$H$4:$H$203,'Thanh toán'!$E$4:$E$203,$A73))</f>
        <v/>
      </c>
      <c r="Q73" s="38" t="str">
        <f aca="false">IF($A73="","",SUMIFS('Công nợ'!$I$4:$I$203,'Công nợ'!$D$4:$D$203,$A73))</f>
        <v/>
      </c>
      <c r="R73" s="38" t="str">
        <f aca="false">IF($A73="","",SUMIFS('Công nợ'!$I$4:$I$203,'Công nợ'!$D$4:$D$203,$A73,'Công nợ'!$K$4:$K$203,"&gt;0"))</f>
        <v/>
      </c>
    </row>
    <row r="74" customFormat="false" ht="15" hidden="false" customHeight="false" outlineLevel="0" collapsed="false">
      <c r="A74" s="37" t="str">
        <f aca="false">IF('Nhà cung cấp'!$A74="","",'Nhà cung cấp'!$A74)</f>
        <v/>
      </c>
      <c r="B74" s="37" t="str">
        <f aca="false">IF($A74="","",'Nhà cung cấp'!$B74)</f>
        <v/>
      </c>
      <c r="C74" s="37" t="str">
        <f aca="false">IF($A74="","",'Nhà cung cấp'!$H74)</f>
        <v/>
      </c>
      <c r="D74" s="38" t="str">
        <f aca="false">IF($A74="","",COUNTIFS('Báo giá'!$I$4:$I$203,$A74))</f>
        <v/>
      </c>
      <c r="E74" s="38" t="str">
        <f aca="false">IF($A74="","",COUNTIFS('Báo giá'!$I$4:$I$203,$A74,'Báo giá'!$T$4:$T$203,"x"))</f>
        <v/>
      </c>
      <c r="F74" s="39" t="str">
        <f aca="false">IF($A74="","",IFERROR($E74/$D74,""))</f>
        <v/>
      </c>
      <c r="G74" s="38" t="str">
        <f aca="false">IF($A74="","",COUNTIFS(PO!$H$4:$H$203,$A74))</f>
        <v/>
      </c>
      <c r="H74" s="38" t="str">
        <f aca="false">IF($A74="","",SUMIFS(PO!$L$4:$L$203,PO!$H$4:$H$203,$A74))</f>
        <v/>
      </c>
      <c r="I74" s="38" t="str">
        <f aca="false">IF($A74="","",SUMIFS(PO!$N$4:$N$203,PO!$H$4:$H$203,$A74))</f>
        <v/>
      </c>
      <c r="J74" s="38" t="str">
        <f aca="false">IF($A74="","",COUNTIFS(PO!$H$4:$H$203,$A74,PO!$S$4:$S$203,"Đúng hạn")+COUNTIFS(PO!$H$4:$H$203,$A74,PO!$S$4:$S$203,"Giao trễ")+COUNTIFS(PO!$H$4:$H$203,$A74,PO!$S$4:$S$203,"Trễ hạn"))</f>
        <v/>
      </c>
      <c r="K74" s="38" t="str">
        <f aca="false">IF($A74="","",COUNTIFS(PO!$H$4:$H$203,$A74,PO!$S$4:$S$203,"Đúng hạn"))</f>
        <v/>
      </c>
      <c r="L74" s="39" t="str">
        <f aca="false">IF($A74="","",IFERROR($K74/$J74,""))</f>
        <v/>
      </c>
      <c r="M74" s="38" t="str">
        <f aca="false">IF($A74="","",SUMIFS(PO!$U$4:$U$203,PO!$H$4:$H$203,$A74))</f>
        <v/>
      </c>
      <c r="N74" s="38" t="str">
        <f aca="false">IF($A74="","",SUMIFS(PO!$V$4:$V$203,PO!$H$4:$H$203,$A74))</f>
        <v/>
      </c>
      <c r="O74" s="39" t="str">
        <f aca="false">IF($A74="","",IFERROR($N74/$M74,""))</f>
        <v/>
      </c>
      <c r="P74" s="38" t="str">
        <f aca="false">IF($A74="","",SUMIFS('Thanh toán'!$H$4:$H$203,'Thanh toán'!$E$4:$E$203,$A74))</f>
        <v/>
      </c>
      <c r="Q74" s="38" t="str">
        <f aca="false">IF($A74="","",SUMIFS('Công nợ'!$I$4:$I$203,'Công nợ'!$D$4:$D$203,$A74))</f>
        <v/>
      </c>
      <c r="R74" s="38" t="str">
        <f aca="false">IF($A74="","",SUMIFS('Công nợ'!$I$4:$I$203,'Công nợ'!$D$4:$D$203,$A74,'Công nợ'!$K$4:$K$203,"&gt;0"))</f>
        <v/>
      </c>
    </row>
    <row r="75" customFormat="false" ht="15" hidden="false" customHeight="false" outlineLevel="0" collapsed="false">
      <c r="A75" s="37" t="str">
        <f aca="false">IF('Nhà cung cấp'!$A75="","",'Nhà cung cấp'!$A75)</f>
        <v/>
      </c>
      <c r="B75" s="37" t="str">
        <f aca="false">IF($A75="","",'Nhà cung cấp'!$B75)</f>
        <v/>
      </c>
      <c r="C75" s="37" t="str">
        <f aca="false">IF($A75="","",'Nhà cung cấp'!$H75)</f>
        <v/>
      </c>
      <c r="D75" s="38" t="str">
        <f aca="false">IF($A75="","",COUNTIFS('Báo giá'!$I$4:$I$203,$A75))</f>
        <v/>
      </c>
      <c r="E75" s="38" t="str">
        <f aca="false">IF($A75="","",COUNTIFS('Báo giá'!$I$4:$I$203,$A75,'Báo giá'!$T$4:$T$203,"x"))</f>
        <v/>
      </c>
      <c r="F75" s="39" t="str">
        <f aca="false">IF($A75="","",IFERROR($E75/$D75,""))</f>
        <v/>
      </c>
      <c r="G75" s="38" t="str">
        <f aca="false">IF($A75="","",COUNTIFS(PO!$H$4:$H$203,$A75))</f>
        <v/>
      </c>
      <c r="H75" s="38" t="str">
        <f aca="false">IF($A75="","",SUMIFS(PO!$L$4:$L$203,PO!$H$4:$H$203,$A75))</f>
        <v/>
      </c>
      <c r="I75" s="38" t="str">
        <f aca="false">IF($A75="","",SUMIFS(PO!$N$4:$N$203,PO!$H$4:$H$203,$A75))</f>
        <v/>
      </c>
      <c r="J75" s="38" t="str">
        <f aca="false">IF($A75="","",COUNTIFS(PO!$H$4:$H$203,$A75,PO!$S$4:$S$203,"Đúng hạn")+COUNTIFS(PO!$H$4:$H$203,$A75,PO!$S$4:$S$203,"Giao trễ")+COUNTIFS(PO!$H$4:$H$203,$A75,PO!$S$4:$S$203,"Trễ hạn"))</f>
        <v/>
      </c>
      <c r="K75" s="38" t="str">
        <f aca="false">IF($A75="","",COUNTIFS(PO!$H$4:$H$203,$A75,PO!$S$4:$S$203,"Đúng hạn"))</f>
        <v/>
      </c>
      <c r="L75" s="39" t="str">
        <f aca="false">IF($A75="","",IFERROR($K75/$J75,""))</f>
        <v/>
      </c>
      <c r="M75" s="38" t="str">
        <f aca="false">IF($A75="","",SUMIFS(PO!$U$4:$U$203,PO!$H$4:$H$203,$A75))</f>
        <v/>
      </c>
      <c r="N75" s="38" t="str">
        <f aca="false">IF($A75="","",SUMIFS(PO!$V$4:$V$203,PO!$H$4:$H$203,$A75))</f>
        <v/>
      </c>
      <c r="O75" s="39" t="str">
        <f aca="false">IF($A75="","",IFERROR($N75/$M75,""))</f>
        <v/>
      </c>
      <c r="P75" s="38" t="str">
        <f aca="false">IF($A75="","",SUMIFS('Thanh toán'!$H$4:$H$203,'Thanh toán'!$E$4:$E$203,$A75))</f>
        <v/>
      </c>
      <c r="Q75" s="38" t="str">
        <f aca="false">IF($A75="","",SUMIFS('Công nợ'!$I$4:$I$203,'Công nợ'!$D$4:$D$203,$A75))</f>
        <v/>
      </c>
      <c r="R75" s="38" t="str">
        <f aca="false">IF($A75="","",SUMIFS('Công nợ'!$I$4:$I$203,'Công nợ'!$D$4:$D$203,$A75,'Công nợ'!$K$4:$K$203,"&gt;0"))</f>
        <v/>
      </c>
    </row>
    <row r="76" customFormat="false" ht="15" hidden="false" customHeight="false" outlineLevel="0" collapsed="false">
      <c r="A76" s="37" t="str">
        <f aca="false">IF('Nhà cung cấp'!$A76="","",'Nhà cung cấp'!$A76)</f>
        <v/>
      </c>
      <c r="B76" s="37" t="str">
        <f aca="false">IF($A76="","",'Nhà cung cấp'!$B76)</f>
        <v/>
      </c>
      <c r="C76" s="37" t="str">
        <f aca="false">IF($A76="","",'Nhà cung cấp'!$H76)</f>
        <v/>
      </c>
      <c r="D76" s="38" t="str">
        <f aca="false">IF($A76="","",COUNTIFS('Báo giá'!$I$4:$I$203,$A76))</f>
        <v/>
      </c>
      <c r="E76" s="38" t="str">
        <f aca="false">IF($A76="","",COUNTIFS('Báo giá'!$I$4:$I$203,$A76,'Báo giá'!$T$4:$T$203,"x"))</f>
        <v/>
      </c>
      <c r="F76" s="39" t="str">
        <f aca="false">IF($A76="","",IFERROR($E76/$D76,""))</f>
        <v/>
      </c>
      <c r="G76" s="38" t="str">
        <f aca="false">IF($A76="","",COUNTIFS(PO!$H$4:$H$203,$A76))</f>
        <v/>
      </c>
      <c r="H76" s="38" t="str">
        <f aca="false">IF($A76="","",SUMIFS(PO!$L$4:$L$203,PO!$H$4:$H$203,$A76))</f>
        <v/>
      </c>
      <c r="I76" s="38" t="str">
        <f aca="false">IF($A76="","",SUMIFS(PO!$N$4:$N$203,PO!$H$4:$H$203,$A76))</f>
        <v/>
      </c>
      <c r="J76" s="38" t="str">
        <f aca="false">IF($A76="","",COUNTIFS(PO!$H$4:$H$203,$A76,PO!$S$4:$S$203,"Đúng hạn")+COUNTIFS(PO!$H$4:$H$203,$A76,PO!$S$4:$S$203,"Giao trễ")+COUNTIFS(PO!$H$4:$H$203,$A76,PO!$S$4:$S$203,"Trễ hạn"))</f>
        <v/>
      </c>
      <c r="K76" s="38" t="str">
        <f aca="false">IF($A76="","",COUNTIFS(PO!$H$4:$H$203,$A76,PO!$S$4:$S$203,"Đúng hạn"))</f>
        <v/>
      </c>
      <c r="L76" s="39" t="str">
        <f aca="false">IF($A76="","",IFERROR($K76/$J76,""))</f>
        <v/>
      </c>
      <c r="M76" s="38" t="str">
        <f aca="false">IF($A76="","",SUMIFS(PO!$U$4:$U$203,PO!$H$4:$H$203,$A76))</f>
        <v/>
      </c>
      <c r="N76" s="38" t="str">
        <f aca="false">IF($A76="","",SUMIFS(PO!$V$4:$V$203,PO!$H$4:$H$203,$A76))</f>
        <v/>
      </c>
      <c r="O76" s="39" t="str">
        <f aca="false">IF($A76="","",IFERROR($N76/$M76,""))</f>
        <v/>
      </c>
      <c r="P76" s="38" t="str">
        <f aca="false">IF($A76="","",SUMIFS('Thanh toán'!$H$4:$H$203,'Thanh toán'!$E$4:$E$203,$A76))</f>
        <v/>
      </c>
      <c r="Q76" s="38" t="str">
        <f aca="false">IF($A76="","",SUMIFS('Công nợ'!$I$4:$I$203,'Công nợ'!$D$4:$D$203,$A76))</f>
        <v/>
      </c>
      <c r="R76" s="38" t="str">
        <f aca="false">IF($A76="","",SUMIFS('Công nợ'!$I$4:$I$203,'Công nợ'!$D$4:$D$203,$A76,'Công nợ'!$K$4:$K$203,"&gt;0"))</f>
        <v/>
      </c>
    </row>
    <row r="77" customFormat="false" ht="15" hidden="false" customHeight="false" outlineLevel="0" collapsed="false">
      <c r="A77" s="37" t="str">
        <f aca="false">IF('Nhà cung cấp'!$A77="","",'Nhà cung cấp'!$A77)</f>
        <v/>
      </c>
      <c r="B77" s="37" t="str">
        <f aca="false">IF($A77="","",'Nhà cung cấp'!$B77)</f>
        <v/>
      </c>
      <c r="C77" s="37" t="str">
        <f aca="false">IF($A77="","",'Nhà cung cấp'!$H77)</f>
        <v/>
      </c>
      <c r="D77" s="38" t="str">
        <f aca="false">IF($A77="","",COUNTIFS('Báo giá'!$I$4:$I$203,$A77))</f>
        <v/>
      </c>
      <c r="E77" s="38" t="str">
        <f aca="false">IF($A77="","",COUNTIFS('Báo giá'!$I$4:$I$203,$A77,'Báo giá'!$T$4:$T$203,"x"))</f>
        <v/>
      </c>
      <c r="F77" s="39" t="str">
        <f aca="false">IF($A77="","",IFERROR($E77/$D77,""))</f>
        <v/>
      </c>
      <c r="G77" s="38" t="str">
        <f aca="false">IF($A77="","",COUNTIFS(PO!$H$4:$H$203,$A77))</f>
        <v/>
      </c>
      <c r="H77" s="38" t="str">
        <f aca="false">IF($A77="","",SUMIFS(PO!$L$4:$L$203,PO!$H$4:$H$203,$A77))</f>
        <v/>
      </c>
      <c r="I77" s="38" t="str">
        <f aca="false">IF($A77="","",SUMIFS(PO!$N$4:$N$203,PO!$H$4:$H$203,$A77))</f>
        <v/>
      </c>
      <c r="J77" s="38" t="str">
        <f aca="false">IF($A77="","",COUNTIFS(PO!$H$4:$H$203,$A77,PO!$S$4:$S$203,"Đúng hạn")+COUNTIFS(PO!$H$4:$H$203,$A77,PO!$S$4:$S$203,"Giao trễ")+COUNTIFS(PO!$H$4:$H$203,$A77,PO!$S$4:$S$203,"Trễ hạn"))</f>
        <v/>
      </c>
      <c r="K77" s="38" t="str">
        <f aca="false">IF($A77="","",COUNTIFS(PO!$H$4:$H$203,$A77,PO!$S$4:$S$203,"Đúng hạn"))</f>
        <v/>
      </c>
      <c r="L77" s="39" t="str">
        <f aca="false">IF($A77="","",IFERROR($K77/$J77,""))</f>
        <v/>
      </c>
      <c r="M77" s="38" t="str">
        <f aca="false">IF($A77="","",SUMIFS(PO!$U$4:$U$203,PO!$H$4:$H$203,$A77))</f>
        <v/>
      </c>
      <c r="N77" s="38" t="str">
        <f aca="false">IF($A77="","",SUMIFS(PO!$V$4:$V$203,PO!$H$4:$H$203,$A77))</f>
        <v/>
      </c>
      <c r="O77" s="39" t="str">
        <f aca="false">IF($A77="","",IFERROR($N77/$M77,""))</f>
        <v/>
      </c>
      <c r="P77" s="38" t="str">
        <f aca="false">IF($A77="","",SUMIFS('Thanh toán'!$H$4:$H$203,'Thanh toán'!$E$4:$E$203,$A77))</f>
        <v/>
      </c>
      <c r="Q77" s="38" t="str">
        <f aca="false">IF($A77="","",SUMIFS('Công nợ'!$I$4:$I$203,'Công nợ'!$D$4:$D$203,$A77))</f>
        <v/>
      </c>
      <c r="R77" s="38" t="str">
        <f aca="false">IF($A77="","",SUMIFS('Công nợ'!$I$4:$I$203,'Công nợ'!$D$4:$D$203,$A77,'Công nợ'!$K$4:$K$203,"&gt;0"))</f>
        <v/>
      </c>
    </row>
    <row r="78" customFormat="false" ht="15" hidden="false" customHeight="false" outlineLevel="0" collapsed="false">
      <c r="A78" s="37" t="str">
        <f aca="false">IF('Nhà cung cấp'!$A78="","",'Nhà cung cấp'!$A78)</f>
        <v/>
      </c>
      <c r="B78" s="37" t="str">
        <f aca="false">IF($A78="","",'Nhà cung cấp'!$B78)</f>
        <v/>
      </c>
      <c r="C78" s="37" t="str">
        <f aca="false">IF($A78="","",'Nhà cung cấp'!$H78)</f>
        <v/>
      </c>
      <c r="D78" s="38" t="str">
        <f aca="false">IF($A78="","",COUNTIFS('Báo giá'!$I$4:$I$203,$A78))</f>
        <v/>
      </c>
      <c r="E78" s="38" t="str">
        <f aca="false">IF($A78="","",COUNTIFS('Báo giá'!$I$4:$I$203,$A78,'Báo giá'!$T$4:$T$203,"x"))</f>
        <v/>
      </c>
      <c r="F78" s="39" t="str">
        <f aca="false">IF($A78="","",IFERROR($E78/$D78,""))</f>
        <v/>
      </c>
      <c r="G78" s="38" t="str">
        <f aca="false">IF($A78="","",COUNTIFS(PO!$H$4:$H$203,$A78))</f>
        <v/>
      </c>
      <c r="H78" s="38" t="str">
        <f aca="false">IF($A78="","",SUMIFS(PO!$L$4:$L$203,PO!$H$4:$H$203,$A78))</f>
        <v/>
      </c>
      <c r="I78" s="38" t="str">
        <f aca="false">IF($A78="","",SUMIFS(PO!$N$4:$N$203,PO!$H$4:$H$203,$A78))</f>
        <v/>
      </c>
      <c r="J78" s="38" t="str">
        <f aca="false">IF($A78="","",COUNTIFS(PO!$H$4:$H$203,$A78,PO!$S$4:$S$203,"Đúng hạn")+COUNTIFS(PO!$H$4:$H$203,$A78,PO!$S$4:$S$203,"Giao trễ")+COUNTIFS(PO!$H$4:$H$203,$A78,PO!$S$4:$S$203,"Trễ hạn"))</f>
        <v/>
      </c>
      <c r="K78" s="38" t="str">
        <f aca="false">IF($A78="","",COUNTIFS(PO!$H$4:$H$203,$A78,PO!$S$4:$S$203,"Đúng hạn"))</f>
        <v/>
      </c>
      <c r="L78" s="39" t="str">
        <f aca="false">IF($A78="","",IFERROR($K78/$J78,""))</f>
        <v/>
      </c>
      <c r="M78" s="38" t="str">
        <f aca="false">IF($A78="","",SUMIFS(PO!$U$4:$U$203,PO!$H$4:$H$203,$A78))</f>
        <v/>
      </c>
      <c r="N78" s="38" t="str">
        <f aca="false">IF($A78="","",SUMIFS(PO!$V$4:$V$203,PO!$H$4:$H$203,$A78))</f>
        <v/>
      </c>
      <c r="O78" s="39" t="str">
        <f aca="false">IF($A78="","",IFERROR($N78/$M78,""))</f>
        <v/>
      </c>
      <c r="P78" s="38" t="str">
        <f aca="false">IF($A78="","",SUMIFS('Thanh toán'!$H$4:$H$203,'Thanh toán'!$E$4:$E$203,$A78))</f>
        <v/>
      </c>
      <c r="Q78" s="38" t="str">
        <f aca="false">IF($A78="","",SUMIFS('Công nợ'!$I$4:$I$203,'Công nợ'!$D$4:$D$203,$A78))</f>
        <v/>
      </c>
      <c r="R78" s="38" t="str">
        <f aca="false">IF($A78="","",SUMIFS('Công nợ'!$I$4:$I$203,'Công nợ'!$D$4:$D$203,$A78,'Công nợ'!$K$4:$K$203,"&gt;0"))</f>
        <v/>
      </c>
    </row>
    <row r="79" customFormat="false" ht="15" hidden="false" customHeight="false" outlineLevel="0" collapsed="false">
      <c r="A79" s="37" t="str">
        <f aca="false">IF('Nhà cung cấp'!$A79="","",'Nhà cung cấp'!$A79)</f>
        <v/>
      </c>
      <c r="B79" s="37" t="str">
        <f aca="false">IF($A79="","",'Nhà cung cấp'!$B79)</f>
        <v/>
      </c>
      <c r="C79" s="37" t="str">
        <f aca="false">IF($A79="","",'Nhà cung cấp'!$H79)</f>
        <v/>
      </c>
      <c r="D79" s="38" t="str">
        <f aca="false">IF($A79="","",COUNTIFS('Báo giá'!$I$4:$I$203,$A79))</f>
        <v/>
      </c>
      <c r="E79" s="38" t="str">
        <f aca="false">IF($A79="","",COUNTIFS('Báo giá'!$I$4:$I$203,$A79,'Báo giá'!$T$4:$T$203,"x"))</f>
        <v/>
      </c>
      <c r="F79" s="39" t="str">
        <f aca="false">IF($A79="","",IFERROR($E79/$D79,""))</f>
        <v/>
      </c>
      <c r="G79" s="38" t="str">
        <f aca="false">IF($A79="","",COUNTIFS(PO!$H$4:$H$203,$A79))</f>
        <v/>
      </c>
      <c r="H79" s="38" t="str">
        <f aca="false">IF($A79="","",SUMIFS(PO!$L$4:$L$203,PO!$H$4:$H$203,$A79))</f>
        <v/>
      </c>
      <c r="I79" s="38" t="str">
        <f aca="false">IF($A79="","",SUMIFS(PO!$N$4:$N$203,PO!$H$4:$H$203,$A79))</f>
        <v/>
      </c>
      <c r="J79" s="38" t="str">
        <f aca="false">IF($A79="","",COUNTIFS(PO!$H$4:$H$203,$A79,PO!$S$4:$S$203,"Đúng hạn")+COUNTIFS(PO!$H$4:$H$203,$A79,PO!$S$4:$S$203,"Giao trễ")+COUNTIFS(PO!$H$4:$H$203,$A79,PO!$S$4:$S$203,"Trễ hạn"))</f>
        <v/>
      </c>
      <c r="K79" s="38" t="str">
        <f aca="false">IF($A79="","",COUNTIFS(PO!$H$4:$H$203,$A79,PO!$S$4:$S$203,"Đúng hạn"))</f>
        <v/>
      </c>
      <c r="L79" s="39" t="str">
        <f aca="false">IF($A79="","",IFERROR($K79/$J79,""))</f>
        <v/>
      </c>
      <c r="M79" s="38" t="str">
        <f aca="false">IF($A79="","",SUMIFS(PO!$U$4:$U$203,PO!$H$4:$H$203,$A79))</f>
        <v/>
      </c>
      <c r="N79" s="38" t="str">
        <f aca="false">IF($A79="","",SUMIFS(PO!$V$4:$V$203,PO!$H$4:$H$203,$A79))</f>
        <v/>
      </c>
      <c r="O79" s="39" t="str">
        <f aca="false">IF($A79="","",IFERROR($N79/$M79,""))</f>
        <v/>
      </c>
      <c r="P79" s="38" t="str">
        <f aca="false">IF($A79="","",SUMIFS('Thanh toán'!$H$4:$H$203,'Thanh toán'!$E$4:$E$203,$A79))</f>
        <v/>
      </c>
      <c r="Q79" s="38" t="str">
        <f aca="false">IF($A79="","",SUMIFS('Công nợ'!$I$4:$I$203,'Công nợ'!$D$4:$D$203,$A79))</f>
        <v/>
      </c>
      <c r="R79" s="38" t="str">
        <f aca="false">IF($A79="","",SUMIFS('Công nợ'!$I$4:$I$203,'Công nợ'!$D$4:$D$203,$A79,'Công nợ'!$K$4:$K$203,"&gt;0"))</f>
        <v/>
      </c>
    </row>
    <row r="80" customFormat="false" ht="15" hidden="false" customHeight="false" outlineLevel="0" collapsed="false">
      <c r="A80" s="37" t="str">
        <f aca="false">IF('Nhà cung cấp'!$A80="","",'Nhà cung cấp'!$A80)</f>
        <v/>
      </c>
      <c r="B80" s="37" t="str">
        <f aca="false">IF($A80="","",'Nhà cung cấp'!$B80)</f>
        <v/>
      </c>
      <c r="C80" s="37" t="str">
        <f aca="false">IF($A80="","",'Nhà cung cấp'!$H80)</f>
        <v/>
      </c>
      <c r="D80" s="38" t="str">
        <f aca="false">IF($A80="","",COUNTIFS('Báo giá'!$I$4:$I$203,$A80))</f>
        <v/>
      </c>
      <c r="E80" s="38" t="str">
        <f aca="false">IF($A80="","",COUNTIFS('Báo giá'!$I$4:$I$203,$A80,'Báo giá'!$T$4:$T$203,"x"))</f>
        <v/>
      </c>
      <c r="F80" s="39" t="str">
        <f aca="false">IF($A80="","",IFERROR($E80/$D80,""))</f>
        <v/>
      </c>
      <c r="G80" s="38" t="str">
        <f aca="false">IF($A80="","",COUNTIFS(PO!$H$4:$H$203,$A80))</f>
        <v/>
      </c>
      <c r="H80" s="38" t="str">
        <f aca="false">IF($A80="","",SUMIFS(PO!$L$4:$L$203,PO!$H$4:$H$203,$A80))</f>
        <v/>
      </c>
      <c r="I80" s="38" t="str">
        <f aca="false">IF($A80="","",SUMIFS(PO!$N$4:$N$203,PO!$H$4:$H$203,$A80))</f>
        <v/>
      </c>
      <c r="J80" s="38" t="str">
        <f aca="false">IF($A80="","",COUNTIFS(PO!$H$4:$H$203,$A80,PO!$S$4:$S$203,"Đúng hạn")+COUNTIFS(PO!$H$4:$H$203,$A80,PO!$S$4:$S$203,"Giao trễ")+COUNTIFS(PO!$H$4:$H$203,$A80,PO!$S$4:$S$203,"Trễ hạn"))</f>
        <v/>
      </c>
      <c r="K80" s="38" t="str">
        <f aca="false">IF($A80="","",COUNTIFS(PO!$H$4:$H$203,$A80,PO!$S$4:$S$203,"Đúng hạn"))</f>
        <v/>
      </c>
      <c r="L80" s="39" t="str">
        <f aca="false">IF($A80="","",IFERROR($K80/$J80,""))</f>
        <v/>
      </c>
      <c r="M80" s="38" t="str">
        <f aca="false">IF($A80="","",SUMIFS(PO!$U$4:$U$203,PO!$H$4:$H$203,$A80))</f>
        <v/>
      </c>
      <c r="N80" s="38" t="str">
        <f aca="false">IF($A80="","",SUMIFS(PO!$V$4:$V$203,PO!$H$4:$H$203,$A80))</f>
        <v/>
      </c>
      <c r="O80" s="39" t="str">
        <f aca="false">IF($A80="","",IFERROR($N80/$M80,""))</f>
        <v/>
      </c>
      <c r="P80" s="38" t="str">
        <f aca="false">IF($A80="","",SUMIFS('Thanh toán'!$H$4:$H$203,'Thanh toán'!$E$4:$E$203,$A80))</f>
        <v/>
      </c>
      <c r="Q80" s="38" t="str">
        <f aca="false">IF($A80="","",SUMIFS('Công nợ'!$I$4:$I$203,'Công nợ'!$D$4:$D$203,$A80))</f>
        <v/>
      </c>
      <c r="R80" s="38" t="str">
        <f aca="false">IF($A80="","",SUMIFS('Công nợ'!$I$4:$I$203,'Công nợ'!$D$4:$D$203,$A80,'Công nợ'!$K$4:$K$203,"&gt;0"))</f>
        <v/>
      </c>
    </row>
    <row r="81" customFormat="false" ht="15" hidden="false" customHeight="false" outlineLevel="0" collapsed="false">
      <c r="A81" s="37" t="str">
        <f aca="false">IF('Nhà cung cấp'!$A81="","",'Nhà cung cấp'!$A81)</f>
        <v/>
      </c>
      <c r="B81" s="37" t="str">
        <f aca="false">IF($A81="","",'Nhà cung cấp'!$B81)</f>
        <v/>
      </c>
      <c r="C81" s="37" t="str">
        <f aca="false">IF($A81="","",'Nhà cung cấp'!$H81)</f>
        <v/>
      </c>
      <c r="D81" s="38" t="str">
        <f aca="false">IF($A81="","",COUNTIFS('Báo giá'!$I$4:$I$203,$A81))</f>
        <v/>
      </c>
      <c r="E81" s="38" t="str">
        <f aca="false">IF($A81="","",COUNTIFS('Báo giá'!$I$4:$I$203,$A81,'Báo giá'!$T$4:$T$203,"x"))</f>
        <v/>
      </c>
      <c r="F81" s="39" t="str">
        <f aca="false">IF($A81="","",IFERROR($E81/$D81,""))</f>
        <v/>
      </c>
      <c r="G81" s="38" t="str">
        <f aca="false">IF($A81="","",COUNTIFS(PO!$H$4:$H$203,$A81))</f>
        <v/>
      </c>
      <c r="H81" s="38" t="str">
        <f aca="false">IF($A81="","",SUMIFS(PO!$L$4:$L$203,PO!$H$4:$H$203,$A81))</f>
        <v/>
      </c>
      <c r="I81" s="38" t="str">
        <f aca="false">IF($A81="","",SUMIFS(PO!$N$4:$N$203,PO!$H$4:$H$203,$A81))</f>
        <v/>
      </c>
      <c r="J81" s="38" t="str">
        <f aca="false">IF($A81="","",COUNTIFS(PO!$H$4:$H$203,$A81,PO!$S$4:$S$203,"Đúng hạn")+COUNTIFS(PO!$H$4:$H$203,$A81,PO!$S$4:$S$203,"Giao trễ")+COUNTIFS(PO!$H$4:$H$203,$A81,PO!$S$4:$S$203,"Trễ hạn"))</f>
        <v/>
      </c>
      <c r="K81" s="38" t="str">
        <f aca="false">IF($A81="","",COUNTIFS(PO!$H$4:$H$203,$A81,PO!$S$4:$S$203,"Đúng hạn"))</f>
        <v/>
      </c>
      <c r="L81" s="39" t="str">
        <f aca="false">IF($A81="","",IFERROR($K81/$J81,""))</f>
        <v/>
      </c>
      <c r="M81" s="38" t="str">
        <f aca="false">IF($A81="","",SUMIFS(PO!$U$4:$U$203,PO!$H$4:$H$203,$A81))</f>
        <v/>
      </c>
      <c r="N81" s="38" t="str">
        <f aca="false">IF($A81="","",SUMIFS(PO!$V$4:$V$203,PO!$H$4:$H$203,$A81))</f>
        <v/>
      </c>
      <c r="O81" s="39" t="str">
        <f aca="false">IF($A81="","",IFERROR($N81/$M81,""))</f>
        <v/>
      </c>
      <c r="P81" s="38" t="str">
        <f aca="false">IF($A81="","",SUMIFS('Thanh toán'!$H$4:$H$203,'Thanh toán'!$E$4:$E$203,$A81))</f>
        <v/>
      </c>
      <c r="Q81" s="38" t="str">
        <f aca="false">IF($A81="","",SUMIFS('Công nợ'!$I$4:$I$203,'Công nợ'!$D$4:$D$203,$A81))</f>
        <v/>
      </c>
      <c r="R81" s="38" t="str">
        <f aca="false">IF($A81="","",SUMIFS('Công nợ'!$I$4:$I$203,'Công nợ'!$D$4:$D$203,$A81,'Công nợ'!$K$4:$K$203,"&gt;0"))</f>
        <v/>
      </c>
    </row>
    <row r="82" customFormat="false" ht="15" hidden="false" customHeight="false" outlineLevel="0" collapsed="false">
      <c r="A82" s="37" t="str">
        <f aca="false">IF('Nhà cung cấp'!$A82="","",'Nhà cung cấp'!$A82)</f>
        <v/>
      </c>
      <c r="B82" s="37" t="str">
        <f aca="false">IF($A82="","",'Nhà cung cấp'!$B82)</f>
        <v/>
      </c>
      <c r="C82" s="37" t="str">
        <f aca="false">IF($A82="","",'Nhà cung cấp'!$H82)</f>
        <v/>
      </c>
      <c r="D82" s="38" t="str">
        <f aca="false">IF($A82="","",COUNTIFS('Báo giá'!$I$4:$I$203,$A82))</f>
        <v/>
      </c>
      <c r="E82" s="38" t="str">
        <f aca="false">IF($A82="","",COUNTIFS('Báo giá'!$I$4:$I$203,$A82,'Báo giá'!$T$4:$T$203,"x"))</f>
        <v/>
      </c>
      <c r="F82" s="39" t="str">
        <f aca="false">IF($A82="","",IFERROR($E82/$D82,""))</f>
        <v/>
      </c>
      <c r="G82" s="38" t="str">
        <f aca="false">IF($A82="","",COUNTIFS(PO!$H$4:$H$203,$A82))</f>
        <v/>
      </c>
      <c r="H82" s="38" t="str">
        <f aca="false">IF($A82="","",SUMIFS(PO!$L$4:$L$203,PO!$H$4:$H$203,$A82))</f>
        <v/>
      </c>
      <c r="I82" s="38" t="str">
        <f aca="false">IF($A82="","",SUMIFS(PO!$N$4:$N$203,PO!$H$4:$H$203,$A82))</f>
        <v/>
      </c>
      <c r="J82" s="38" t="str">
        <f aca="false">IF($A82="","",COUNTIFS(PO!$H$4:$H$203,$A82,PO!$S$4:$S$203,"Đúng hạn")+COUNTIFS(PO!$H$4:$H$203,$A82,PO!$S$4:$S$203,"Giao trễ")+COUNTIFS(PO!$H$4:$H$203,$A82,PO!$S$4:$S$203,"Trễ hạn"))</f>
        <v/>
      </c>
      <c r="K82" s="38" t="str">
        <f aca="false">IF($A82="","",COUNTIFS(PO!$H$4:$H$203,$A82,PO!$S$4:$S$203,"Đúng hạn"))</f>
        <v/>
      </c>
      <c r="L82" s="39" t="str">
        <f aca="false">IF($A82="","",IFERROR($K82/$J82,""))</f>
        <v/>
      </c>
      <c r="M82" s="38" t="str">
        <f aca="false">IF($A82="","",SUMIFS(PO!$U$4:$U$203,PO!$H$4:$H$203,$A82))</f>
        <v/>
      </c>
      <c r="N82" s="38" t="str">
        <f aca="false">IF($A82="","",SUMIFS(PO!$V$4:$V$203,PO!$H$4:$H$203,$A82))</f>
        <v/>
      </c>
      <c r="O82" s="39" t="str">
        <f aca="false">IF($A82="","",IFERROR($N82/$M82,""))</f>
        <v/>
      </c>
      <c r="P82" s="38" t="str">
        <f aca="false">IF($A82="","",SUMIFS('Thanh toán'!$H$4:$H$203,'Thanh toán'!$E$4:$E$203,$A82))</f>
        <v/>
      </c>
      <c r="Q82" s="38" t="str">
        <f aca="false">IF($A82="","",SUMIFS('Công nợ'!$I$4:$I$203,'Công nợ'!$D$4:$D$203,$A82))</f>
        <v/>
      </c>
      <c r="R82" s="38" t="str">
        <f aca="false">IF($A82="","",SUMIFS('Công nợ'!$I$4:$I$203,'Công nợ'!$D$4:$D$203,$A82,'Công nợ'!$K$4:$K$203,"&gt;0"))</f>
        <v/>
      </c>
    </row>
    <row r="83" customFormat="false" ht="15" hidden="false" customHeight="false" outlineLevel="0" collapsed="false">
      <c r="A83" s="37" t="str">
        <f aca="false">IF('Nhà cung cấp'!$A83="","",'Nhà cung cấp'!$A83)</f>
        <v/>
      </c>
      <c r="B83" s="37" t="str">
        <f aca="false">IF($A83="","",'Nhà cung cấp'!$B83)</f>
        <v/>
      </c>
      <c r="C83" s="37" t="str">
        <f aca="false">IF($A83="","",'Nhà cung cấp'!$H83)</f>
        <v/>
      </c>
      <c r="D83" s="38" t="str">
        <f aca="false">IF($A83="","",COUNTIFS('Báo giá'!$I$4:$I$203,$A83))</f>
        <v/>
      </c>
      <c r="E83" s="38" t="str">
        <f aca="false">IF($A83="","",COUNTIFS('Báo giá'!$I$4:$I$203,$A83,'Báo giá'!$T$4:$T$203,"x"))</f>
        <v/>
      </c>
      <c r="F83" s="39" t="str">
        <f aca="false">IF($A83="","",IFERROR($E83/$D83,""))</f>
        <v/>
      </c>
      <c r="G83" s="38" t="str">
        <f aca="false">IF($A83="","",COUNTIFS(PO!$H$4:$H$203,$A83))</f>
        <v/>
      </c>
      <c r="H83" s="38" t="str">
        <f aca="false">IF($A83="","",SUMIFS(PO!$L$4:$L$203,PO!$H$4:$H$203,$A83))</f>
        <v/>
      </c>
      <c r="I83" s="38" t="str">
        <f aca="false">IF($A83="","",SUMIFS(PO!$N$4:$N$203,PO!$H$4:$H$203,$A83))</f>
        <v/>
      </c>
      <c r="J83" s="38" t="str">
        <f aca="false">IF($A83="","",COUNTIFS(PO!$H$4:$H$203,$A83,PO!$S$4:$S$203,"Đúng hạn")+COUNTIFS(PO!$H$4:$H$203,$A83,PO!$S$4:$S$203,"Giao trễ")+COUNTIFS(PO!$H$4:$H$203,$A83,PO!$S$4:$S$203,"Trễ hạn"))</f>
        <v/>
      </c>
      <c r="K83" s="38" t="str">
        <f aca="false">IF($A83="","",COUNTIFS(PO!$H$4:$H$203,$A83,PO!$S$4:$S$203,"Đúng hạn"))</f>
        <v/>
      </c>
      <c r="L83" s="39" t="str">
        <f aca="false">IF($A83="","",IFERROR($K83/$J83,""))</f>
        <v/>
      </c>
      <c r="M83" s="38" t="str">
        <f aca="false">IF($A83="","",SUMIFS(PO!$U$4:$U$203,PO!$H$4:$H$203,$A83))</f>
        <v/>
      </c>
      <c r="N83" s="38" t="str">
        <f aca="false">IF($A83="","",SUMIFS(PO!$V$4:$V$203,PO!$H$4:$H$203,$A83))</f>
        <v/>
      </c>
      <c r="O83" s="39" t="str">
        <f aca="false">IF($A83="","",IFERROR($N83/$M83,""))</f>
        <v/>
      </c>
      <c r="P83" s="38" t="str">
        <f aca="false">IF($A83="","",SUMIFS('Thanh toán'!$H$4:$H$203,'Thanh toán'!$E$4:$E$203,$A83))</f>
        <v/>
      </c>
      <c r="Q83" s="38" t="str">
        <f aca="false">IF($A83="","",SUMIFS('Công nợ'!$I$4:$I$203,'Công nợ'!$D$4:$D$203,$A83))</f>
        <v/>
      </c>
      <c r="R83" s="38" t="str">
        <f aca="false">IF($A83="","",SUMIFS('Công nợ'!$I$4:$I$203,'Công nợ'!$D$4:$D$203,$A83,'Công nợ'!$K$4:$K$203,"&gt;0"))</f>
        <v/>
      </c>
    </row>
    <row r="84" customFormat="false" ht="15" hidden="false" customHeight="false" outlineLevel="0" collapsed="false">
      <c r="A84" s="37" t="str">
        <f aca="false">IF('Nhà cung cấp'!$A84="","",'Nhà cung cấp'!$A84)</f>
        <v/>
      </c>
      <c r="B84" s="37" t="str">
        <f aca="false">IF($A84="","",'Nhà cung cấp'!$B84)</f>
        <v/>
      </c>
      <c r="C84" s="37" t="str">
        <f aca="false">IF($A84="","",'Nhà cung cấp'!$H84)</f>
        <v/>
      </c>
      <c r="D84" s="38" t="str">
        <f aca="false">IF($A84="","",COUNTIFS('Báo giá'!$I$4:$I$203,$A84))</f>
        <v/>
      </c>
      <c r="E84" s="38" t="str">
        <f aca="false">IF($A84="","",COUNTIFS('Báo giá'!$I$4:$I$203,$A84,'Báo giá'!$T$4:$T$203,"x"))</f>
        <v/>
      </c>
      <c r="F84" s="39" t="str">
        <f aca="false">IF($A84="","",IFERROR($E84/$D84,""))</f>
        <v/>
      </c>
      <c r="G84" s="38" t="str">
        <f aca="false">IF($A84="","",COUNTIFS(PO!$H$4:$H$203,$A84))</f>
        <v/>
      </c>
      <c r="H84" s="38" t="str">
        <f aca="false">IF($A84="","",SUMIFS(PO!$L$4:$L$203,PO!$H$4:$H$203,$A84))</f>
        <v/>
      </c>
      <c r="I84" s="38" t="str">
        <f aca="false">IF($A84="","",SUMIFS(PO!$N$4:$N$203,PO!$H$4:$H$203,$A84))</f>
        <v/>
      </c>
      <c r="J84" s="38" t="str">
        <f aca="false">IF($A84="","",COUNTIFS(PO!$H$4:$H$203,$A84,PO!$S$4:$S$203,"Đúng hạn")+COUNTIFS(PO!$H$4:$H$203,$A84,PO!$S$4:$S$203,"Giao trễ")+COUNTIFS(PO!$H$4:$H$203,$A84,PO!$S$4:$S$203,"Trễ hạn"))</f>
        <v/>
      </c>
      <c r="K84" s="38" t="str">
        <f aca="false">IF($A84="","",COUNTIFS(PO!$H$4:$H$203,$A84,PO!$S$4:$S$203,"Đúng hạn"))</f>
        <v/>
      </c>
      <c r="L84" s="39" t="str">
        <f aca="false">IF($A84="","",IFERROR($K84/$J84,""))</f>
        <v/>
      </c>
      <c r="M84" s="38" t="str">
        <f aca="false">IF($A84="","",SUMIFS(PO!$U$4:$U$203,PO!$H$4:$H$203,$A84))</f>
        <v/>
      </c>
      <c r="N84" s="38" t="str">
        <f aca="false">IF($A84="","",SUMIFS(PO!$V$4:$V$203,PO!$H$4:$H$203,$A84))</f>
        <v/>
      </c>
      <c r="O84" s="39" t="str">
        <f aca="false">IF($A84="","",IFERROR($N84/$M84,""))</f>
        <v/>
      </c>
      <c r="P84" s="38" t="str">
        <f aca="false">IF($A84="","",SUMIFS('Thanh toán'!$H$4:$H$203,'Thanh toán'!$E$4:$E$203,$A84))</f>
        <v/>
      </c>
      <c r="Q84" s="38" t="str">
        <f aca="false">IF($A84="","",SUMIFS('Công nợ'!$I$4:$I$203,'Công nợ'!$D$4:$D$203,$A84))</f>
        <v/>
      </c>
      <c r="R84" s="38" t="str">
        <f aca="false">IF($A84="","",SUMIFS('Công nợ'!$I$4:$I$203,'Công nợ'!$D$4:$D$203,$A84,'Công nợ'!$K$4:$K$203,"&gt;0"))</f>
        <v/>
      </c>
    </row>
    <row r="85" customFormat="false" ht="15" hidden="false" customHeight="false" outlineLevel="0" collapsed="false">
      <c r="A85" s="37" t="str">
        <f aca="false">IF('Nhà cung cấp'!$A85="","",'Nhà cung cấp'!$A85)</f>
        <v/>
      </c>
      <c r="B85" s="37" t="str">
        <f aca="false">IF($A85="","",'Nhà cung cấp'!$B85)</f>
        <v/>
      </c>
      <c r="C85" s="37" t="str">
        <f aca="false">IF($A85="","",'Nhà cung cấp'!$H85)</f>
        <v/>
      </c>
      <c r="D85" s="38" t="str">
        <f aca="false">IF($A85="","",COUNTIFS('Báo giá'!$I$4:$I$203,$A85))</f>
        <v/>
      </c>
      <c r="E85" s="38" t="str">
        <f aca="false">IF($A85="","",COUNTIFS('Báo giá'!$I$4:$I$203,$A85,'Báo giá'!$T$4:$T$203,"x"))</f>
        <v/>
      </c>
      <c r="F85" s="39" t="str">
        <f aca="false">IF($A85="","",IFERROR($E85/$D85,""))</f>
        <v/>
      </c>
      <c r="G85" s="38" t="str">
        <f aca="false">IF($A85="","",COUNTIFS(PO!$H$4:$H$203,$A85))</f>
        <v/>
      </c>
      <c r="H85" s="38" t="str">
        <f aca="false">IF($A85="","",SUMIFS(PO!$L$4:$L$203,PO!$H$4:$H$203,$A85))</f>
        <v/>
      </c>
      <c r="I85" s="38" t="str">
        <f aca="false">IF($A85="","",SUMIFS(PO!$N$4:$N$203,PO!$H$4:$H$203,$A85))</f>
        <v/>
      </c>
      <c r="J85" s="38" t="str">
        <f aca="false">IF($A85="","",COUNTIFS(PO!$H$4:$H$203,$A85,PO!$S$4:$S$203,"Đúng hạn")+COUNTIFS(PO!$H$4:$H$203,$A85,PO!$S$4:$S$203,"Giao trễ")+COUNTIFS(PO!$H$4:$H$203,$A85,PO!$S$4:$S$203,"Trễ hạn"))</f>
        <v/>
      </c>
      <c r="K85" s="38" t="str">
        <f aca="false">IF($A85="","",COUNTIFS(PO!$H$4:$H$203,$A85,PO!$S$4:$S$203,"Đúng hạn"))</f>
        <v/>
      </c>
      <c r="L85" s="39" t="str">
        <f aca="false">IF($A85="","",IFERROR($K85/$J85,""))</f>
        <v/>
      </c>
      <c r="M85" s="38" t="str">
        <f aca="false">IF($A85="","",SUMIFS(PO!$U$4:$U$203,PO!$H$4:$H$203,$A85))</f>
        <v/>
      </c>
      <c r="N85" s="38" t="str">
        <f aca="false">IF($A85="","",SUMIFS(PO!$V$4:$V$203,PO!$H$4:$H$203,$A85))</f>
        <v/>
      </c>
      <c r="O85" s="39" t="str">
        <f aca="false">IF($A85="","",IFERROR($N85/$M85,""))</f>
        <v/>
      </c>
      <c r="P85" s="38" t="str">
        <f aca="false">IF($A85="","",SUMIFS('Thanh toán'!$H$4:$H$203,'Thanh toán'!$E$4:$E$203,$A85))</f>
        <v/>
      </c>
      <c r="Q85" s="38" t="str">
        <f aca="false">IF($A85="","",SUMIFS('Công nợ'!$I$4:$I$203,'Công nợ'!$D$4:$D$203,$A85))</f>
        <v/>
      </c>
      <c r="R85" s="38" t="str">
        <f aca="false">IF($A85="","",SUMIFS('Công nợ'!$I$4:$I$203,'Công nợ'!$D$4:$D$203,$A85,'Công nợ'!$K$4:$K$203,"&gt;0"))</f>
        <v/>
      </c>
    </row>
    <row r="86" customFormat="false" ht="15" hidden="false" customHeight="false" outlineLevel="0" collapsed="false">
      <c r="A86" s="37" t="str">
        <f aca="false">IF('Nhà cung cấp'!$A86="","",'Nhà cung cấp'!$A86)</f>
        <v/>
      </c>
      <c r="B86" s="37" t="str">
        <f aca="false">IF($A86="","",'Nhà cung cấp'!$B86)</f>
        <v/>
      </c>
      <c r="C86" s="37" t="str">
        <f aca="false">IF($A86="","",'Nhà cung cấp'!$H86)</f>
        <v/>
      </c>
      <c r="D86" s="38" t="str">
        <f aca="false">IF($A86="","",COUNTIFS('Báo giá'!$I$4:$I$203,$A86))</f>
        <v/>
      </c>
      <c r="E86" s="38" t="str">
        <f aca="false">IF($A86="","",COUNTIFS('Báo giá'!$I$4:$I$203,$A86,'Báo giá'!$T$4:$T$203,"x"))</f>
        <v/>
      </c>
      <c r="F86" s="39" t="str">
        <f aca="false">IF($A86="","",IFERROR($E86/$D86,""))</f>
        <v/>
      </c>
      <c r="G86" s="38" t="str">
        <f aca="false">IF($A86="","",COUNTIFS(PO!$H$4:$H$203,$A86))</f>
        <v/>
      </c>
      <c r="H86" s="38" t="str">
        <f aca="false">IF($A86="","",SUMIFS(PO!$L$4:$L$203,PO!$H$4:$H$203,$A86))</f>
        <v/>
      </c>
      <c r="I86" s="38" t="str">
        <f aca="false">IF($A86="","",SUMIFS(PO!$N$4:$N$203,PO!$H$4:$H$203,$A86))</f>
        <v/>
      </c>
      <c r="J86" s="38" t="str">
        <f aca="false">IF($A86="","",COUNTIFS(PO!$H$4:$H$203,$A86,PO!$S$4:$S$203,"Đúng hạn")+COUNTIFS(PO!$H$4:$H$203,$A86,PO!$S$4:$S$203,"Giao trễ")+COUNTIFS(PO!$H$4:$H$203,$A86,PO!$S$4:$S$203,"Trễ hạn"))</f>
        <v/>
      </c>
      <c r="K86" s="38" t="str">
        <f aca="false">IF($A86="","",COUNTIFS(PO!$H$4:$H$203,$A86,PO!$S$4:$S$203,"Đúng hạn"))</f>
        <v/>
      </c>
      <c r="L86" s="39" t="str">
        <f aca="false">IF($A86="","",IFERROR($K86/$J86,""))</f>
        <v/>
      </c>
      <c r="M86" s="38" t="str">
        <f aca="false">IF($A86="","",SUMIFS(PO!$U$4:$U$203,PO!$H$4:$H$203,$A86))</f>
        <v/>
      </c>
      <c r="N86" s="38" t="str">
        <f aca="false">IF($A86="","",SUMIFS(PO!$V$4:$V$203,PO!$H$4:$H$203,$A86))</f>
        <v/>
      </c>
      <c r="O86" s="39" t="str">
        <f aca="false">IF($A86="","",IFERROR($N86/$M86,""))</f>
        <v/>
      </c>
      <c r="P86" s="38" t="str">
        <f aca="false">IF($A86="","",SUMIFS('Thanh toán'!$H$4:$H$203,'Thanh toán'!$E$4:$E$203,$A86))</f>
        <v/>
      </c>
      <c r="Q86" s="38" t="str">
        <f aca="false">IF($A86="","",SUMIFS('Công nợ'!$I$4:$I$203,'Công nợ'!$D$4:$D$203,$A86))</f>
        <v/>
      </c>
      <c r="R86" s="38" t="str">
        <f aca="false">IF($A86="","",SUMIFS('Công nợ'!$I$4:$I$203,'Công nợ'!$D$4:$D$203,$A86,'Công nợ'!$K$4:$K$203,"&gt;0"))</f>
        <v/>
      </c>
    </row>
    <row r="87" customFormat="false" ht="15" hidden="false" customHeight="false" outlineLevel="0" collapsed="false">
      <c r="A87" s="37" t="str">
        <f aca="false">IF('Nhà cung cấp'!$A87="","",'Nhà cung cấp'!$A87)</f>
        <v/>
      </c>
      <c r="B87" s="37" t="str">
        <f aca="false">IF($A87="","",'Nhà cung cấp'!$B87)</f>
        <v/>
      </c>
      <c r="C87" s="37" t="str">
        <f aca="false">IF($A87="","",'Nhà cung cấp'!$H87)</f>
        <v/>
      </c>
      <c r="D87" s="38" t="str">
        <f aca="false">IF($A87="","",COUNTIFS('Báo giá'!$I$4:$I$203,$A87))</f>
        <v/>
      </c>
      <c r="E87" s="38" t="str">
        <f aca="false">IF($A87="","",COUNTIFS('Báo giá'!$I$4:$I$203,$A87,'Báo giá'!$T$4:$T$203,"x"))</f>
        <v/>
      </c>
      <c r="F87" s="39" t="str">
        <f aca="false">IF($A87="","",IFERROR($E87/$D87,""))</f>
        <v/>
      </c>
      <c r="G87" s="38" t="str">
        <f aca="false">IF($A87="","",COUNTIFS(PO!$H$4:$H$203,$A87))</f>
        <v/>
      </c>
      <c r="H87" s="38" t="str">
        <f aca="false">IF($A87="","",SUMIFS(PO!$L$4:$L$203,PO!$H$4:$H$203,$A87))</f>
        <v/>
      </c>
      <c r="I87" s="38" t="str">
        <f aca="false">IF($A87="","",SUMIFS(PO!$N$4:$N$203,PO!$H$4:$H$203,$A87))</f>
        <v/>
      </c>
      <c r="J87" s="38" t="str">
        <f aca="false">IF($A87="","",COUNTIFS(PO!$H$4:$H$203,$A87,PO!$S$4:$S$203,"Đúng hạn")+COUNTIFS(PO!$H$4:$H$203,$A87,PO!$S$4:$S$203,"Giao trễ")+COUNTIFS(PO!$H$4:$H$203,$A87,PO!$S$4:$S$203,"Trễ hạn"))</f>
        <v/>
      </c>
      <c r="K87" s="38" t="str">
        <f aca="false">IF($A87="","",COUNTIFS(PO!$H$4:$H$203,$A87,PO!$S$4:$S$203,"Đúng hạn"))</f>
        <v/>
      </c>
      <c r="L87" s="39" t="str">
        <f aca="false">IF($A87="","",IFERROR($K87/$J87,""))</f>
        <v/>
      </c>
      <c r="M87" s="38" t="str">
        <f aca="false">IF($A87="","",SUMIFS(PO!$U$4:$U$203,PO!$H$4:$H$203,$A87))</f>
        <v/>
      </c>
      <c r="N87" s="38" t="str">
        <f aca="false">IF($A87="","",SUMIFS(PO!$V$4:$V$203,PO!$H$4:$H$203,$A87))</f>
        <v/>
      </c>
      <c r="O87" s="39" t="str">
        <f aca="false">IF($A87="","",IFERROR($N87/$M87,""))</f>
        <v/>
      </c>
      <c r="P87" s="38" t="str">
        <f aca="false">IF($A87="","",SUMIFS('Thanh toán'!$H$4:$H$203,'Thanh toán'!$E$4:$E$203,$A87))</f>
        <v/>
      </c>
      <c r="Q87" s="38" t="str">
        <f aca="false">IF($A87="","",SUMIFS('Công nợ'!$I$4:$I$203,'Công nợ'!$D$4:$D$203,$A87))</f>
        <v/>
      </c>
      <c r="R87" s="38" t="str">
        <f aca="false">IF($A87="","",SUMIFS('Công nợ'!$I$4:$I$203,'Công nợ'!$D$4:$D$203,$A87,'Công nợ'!$K$4:$K$203,"&gt;0"))</f>
        <v/>
      </c>
    </row>
    <row r="88" customFormat="false" ht="15" hidden="false" customHeight="false" outlineLevel="0" collapsed="false">
      <c r="A88" s="37" t="str">
        <f aca="false">IF('Nhà cung cấp'!$A88="","",'Nhà cung cấp'!$A88)</f>
        <v/>
      </c>
      <c r="B88" s="37" t="str">
        <f aca="false">IF($A88="","",'Nhà cung cấp'!$B88)</f>
        <v/>
      </c>
      <c r="C88" s="37" t="str">
        <f aca="false">IF($A88="","",'Nhà cung cấp'!$H88)</f>
        <v/>
      </c>
      <c r="D88" s="38" t="str">
        <f aca="false">IF($A88="","",COUNTIFS('Báo giá'!$I$4:$I$203,$A88))</f>
        <v/>
      </c>
      <c r="E88" s="38" t="str">
        <f aca="false">IF($A88="","",COUNTIFS('Báo giá'!$I$4:$I$203,$A88,'Báo giá'!$T$4:$T$203,"x"))</f>
        <v/>
      </c>
      <c r="F88" s="39" t="str">
        <f aca="false">IF($A88="","",IFERROR($E88/$D88,""))</f>
        <v/>
      </c>
      <c r="G88" s="38" t="str">
        <f aca="false">IF($A88="","",COUNTIFS(PO!$H$4:$H$203,$A88))</f>
        <v/>
      </c>
      <c r="H88" s="38" t="str">
        <f aca="false">IF($A88="","",SUMIFS(PO!$L$4:$L$203,PO!$H$4:$H$203,$A88))</f>
        <v/>
      </c>
      <c r="I88" s="38" t="str">
        <f aca="false">IF($A88="","",SUMIFS(PO!$N$4:$N$203,PO!$H$4:$H$203,$A88))</f>
        <v/>
      </c>
      <c r="J88" s="38" t="str">
        <f aca="false">IF($A88="","",COUNTIFS(PO!$H$4:$H$203,$A88,PO!$S$4:$S$203,"Đúng hạn")+COUNTIFS(PO!$H$4:$H$203,$A88,PO!$S$4:$S$203,"Giao trễ")+COUNTIFS(PO!$H$4:$H$203,$A88,PO!$S$4:$S$203,"Trễ hạn"))</f>
        <v/>
      </c>
      <c r="K88" s="38" t="str">
        <f aca="false">IF($A88="","",COUNTIFS(PO!$H$4:$H$203,$A88,PO!$S$4:$S$203,"Đúng hạn"))</f>
        <v/>
      </c>
      <c r="L88" s="39" t="str">
        <f aca="false">IF($A88="","",IFERROR($K88/$J88,""))</f>
        <v/>
      </c>
      <c r="M88" s="38" t="str">
        <f aca="false">IF($A88="","",SUMIFS(PO!$U$4:$U$203,PO!$H$4:$H$203,$A88))</f>
        <v/>
      </c>
      <c r="N88" s="38" t="str">
        <f aca="false">IF($A88="","",SUMIFS(PO!$V$4:$V$203,PO!$H$4:$H$203,$A88))</f>
        <v/>
      </c>
      <c r="O88" s="39" t="str">
        <f aca="false">IF($A88="","",IFERROR($N88/$M88,""))</f>
        <v/>
      </c>
      <c r="P88" s="38" t="str">
        <f aca="false">IF($A88="","",SUMIFS('Thanh toán'!$H$4:$H$203,'Thanh toán'!$E$4:$E$203,$A88))</f>
        <v/>
      </c>
      <c r="Q88" s="38" t="str">
        <f aca="false">IF($A88="","",SUMIFS('Công nợ'!$I$4:$I$203,'Công nợ'!$D$4:$D$203,$A88))</f>
        <v/>
      </c>
      <c r="R88" s="38" t="str">
        <f aca="false">IF($A88="","",SUMIFS('Công nợ'!$I$4:$I$203,'Công nợ'!$D$4:$D$203,$A88,'Công nợ'!$K$4:$K$203,"&gt;0"))</f>
        <v/>
      </c>
    </row>
    <row r="89" customFormat="false" ht="15" hidden="false" customHeight="false" outlineLevel="0" collapsed="false">
      <c r="A89" s="37" t="str">
        <f aca="false">IF('Nhà cung cấp'!$A89="","",'Nhà cung cấp'!$A89)</f>
        <v/>
      </c>
      <c r="B89" s="37" t="str">
        <f aca="false">IF($A89="","",'Nhà cung cấp'!$B89)</f>
        <v/>
      </c>
      <c r="C89" s="37" t="str">
        <f aca="false">IF($A89="","",'Nhà cung cấp'!$H89)</f>
        <v/>
      </c>
      <c r="D89" s="38" t="str">
        <f aca="false">IF($A89="","",COUNTIFS('Báo giá'!$I$4:$I$203,$A89))</f>
        <v/>
      </c>
      <c r="E89" s="38" t="str">
        <f aca="false">IF($A89="","",COUNTIFS('Báo giá'!$I$4:$I$203,$A89,'Báo giá'!$T$4:$T$203,"x"))</f>
        <v/>
      </c>
      <c r="F89" s="39" t="str">
        <f aca="false">IF($A89="","",IFERROR($E89/$D89,""))</f>
        <v/>
      </c>
      <c r="G89" s="38" t="str">
        <f aca="false">IF($A89="","",COUNTIFS(PO!$H$4:$H$203,$A89))</f>
        <v/>
      </c>
      <c r="H89" s="38" t="str">
        <f aca="false">IF($A89="","",SUMIFS(PO!$L$4:$L$203,PO!$H$4:$H$203,$A89))</f>
        <v/>
      </c>
      <c r="I89" s="38" t="str">
        <f aca="false">IF($A89="","",SUMIFS(PO!$N$4:$N$203,PO!$H$4:$H$203,$A89))</f>
        <v/>
      </c>
      <c r="J89" s="38" t="str">
        <f aca="false">IF($A89="","",COUNTIFS(PO!$H$4:$H$203,$A89,PO!$S$4:$S$203,"Đúng hạn")+COUNTIFS(PO!$H$4:$H$203,$A89,PO!$S$4:$S$203,"Giao trễ")+COUNTIFS(PO!$H$4:$H$203,$A89,PO!$S$4:$S$203,"Trễ hạn"))</f>
        <v/>
      </c>
      <c r="K89" s="38" t="str">
        <f aca="false">IF($A89="","",COUNTIFS(PO!$H$4:$H$203,$A89,PO!$S$4:$S$203,"Đúng hạn"))</f>
        <v/>
      </c>
      <c r="L89" s="39" t="str">
        <f aca="false">IF($A89="","",IFERROR($K89/$J89,""))</f>
        <v/>
      </c>
      <c r="M89" s="38" t="str">
        <f aca="false">IF($A89="","",SUMIFS(PO!$U$4:$U$203,PO!$H$4:$H$203,$A89))</f>
        <v/>
      </c>
      <c r="N89" s="38" t="str">
        <f aca="false">IF($A89="","",SUMIFS(PO!$V$4:$V$203,PO!$H$4:$H$203,$A89))</f>
        <v/>
      </c>
      <c r="O89" s="39" t="str">
        <f aca="false">IF($A89="","",IFERROR($N89/$M89,""))</f>
        <v/>
      </c>
      <c r="P89" s="38" t="str">
        <f aca="false">IF($A89="","",SUMIFS('Thanh toán'!$H$4:$H$203,'Thanh toán'!$E$4:$E$203,$A89))</f>
        <v/>
      </c>
      <c r="Q89" s="38" t="str">
        <f aca="false">IF($A89="","",SUMIFS('Công nợ'!$I$4:$I$203,'Công nợ'!$D$4:$D$203,$A89))</f>
        <v/>
      </c>
      <c r="R89" s="38" t="str">
        <f aca="false">IF($A89="","",SUMIFS('Công nợ'!$I$4:$I$203,'Công nợ'!$D$4:$D$203,$A89,'Công nợ'!$K$4:$K$203,"&gt;0"))</f>
        <v/>
      </c>
    </row>
    <row r="90" customFormat="false" ht="15" hidden="false" customHeight="false" outlineLevel="0" collapsed="false">
      <c r="A90" s="37" t="str">
        <f aca="false">IF('Nhà cung cấp'!$A90="","",'Nhà cung cấp'!$A90)</f>
        <v/>
      </c>
      <c r="B90" s="37" t="str">
        <f aca="false">IF($A90="","",'Nhà cung cấp'!$B90)</f>
        <v/>
      </c>
      <c r="C90" s="37" t="str">
        <f aca="false">IF($A90="","",'Nhà cung cấp'!$H90)</f>
        <v/>
      </c>
      <c r="D90" s="38" t="str">
        <f aca="false">IF($A90="","",COUNTIFS('Báo giá'!$I$4:$I$203,$A90))</f>
        <v/>
      </c>
      <c r="E90" s="38" t="str">
        <f aca="false">IF($A90="","",COUNTIFS('Báo giá'!$I$4:$I$203,$A90,'Báo giá'!$T$4:$T$203,"x"))</f>
        <v/>
      </c>
      <c r="F90" s="39" t="str">
        <f aca="false">IF($A90="","",IFERROR($E90/$D90,""))</f>
        <v/>
      </c>
      <c r="G90" s="38" t="str">
        <f aca="false">IF($A90="","",COUNTIFS(PO!$H$4:$H$203,$A90))</f>
        <v/>
      </c>
      <c r="H90" s="38" t="str">
        <f aca="false">IF($A90="","",SUMIFS(PO!$L$4:$L$203,PO!$H$4:$H$203,$A90))</f>
        <v/>
      </c>
      <c r="I90" s="38" t="str">
        <f aca="false">IF($A90="","",SUMIFS(PO!$N$4:$N$203,PO!$H$4:$H$203,$A90))</f>
        <v/>
      </c>
      <c r="J90" s="38" t="str">
        <f aca="false">IF($A90="","",COUNTIFS(PO!$H$4:$H$203,$A90,PO!$S$4:$S$203,"Đúng hạn")+COUNTIFS(PO!$H$4:$H$203,$A90,PO!$S$4:$S$203,"Giao trễ")+COUNTIFS(PO!$H$4:$H$203,$A90,PO!$S$4:$S$203,"Trễ hạn"))</f>
        <v/>
      </c>
      <c r="K90" s="38" t="str">
        <f aca="false">IF($A90="","",COUNTIFS(PO!$H$4:$H$203,$A90,PO!$S$4:$S$203,"Đúng hạn"))</f>
        <v/>
      </c>
      <c r="L90" s="39" t="str">
        <f aca="false">IF($A90="","",IFERROR($K90/$J90,""))</f>
        <v/>
      </c>
      <c r="M90" s="38" t="str">
        <f aca="false">IF($A90="","",SUMIFS(PO!$U$4:$U$203,PO!$H$4:$H$203,$A90))</f>
        <v/>
      </c>
      <c r="N90" s="38" t="str">
        <f aca="false">IF($A90="","",SUMIFS(PO!$V$4:$V$203,PO!$H$4:$H$203,$A90))</f>
        <v/>
      </c>
      <c r="O90" s="39" t="str">
        <f aca="false">IF($A90="","",IFERROR($N90/$M90,""))</f>
        <v/>
      </c>
      <c r="P90" s="38" t="str">
        <f aca="false">IF($A90="","",SUMIFS('Thanh toán'!$H$4:$H$203,'Thanh toán'!$E$4:$E$203,$A90))</f>
        <v/>
      </c>
      <c r="Q90" s="38" t="str">
        <f aca="false">IF($A90="","",SUMIFS('Công nợ'!$I$4:$I$203,'Công nợ'!$D$4:$D$203,$A90))</f>
        <v/>
      </c>
      <c r="R90" s="38" t="str">
        <f aca="false">IF($A90="","",SUMIFS('Công nợ'!$I$4:$I$203,'Công nợ'!$D$4:$D$203,$A90,'Công nợ'!$K$4:$K$203,"&gt;0"))</f>
        <v/>
      </c>
    </row>
    <row r="91" customFormat="false" ht="15" hidden="false" customHeight="false" outlineLevel="0" collapsed="false">
      <c r="A91" s="37" t="str">
        <f aca="false">IF('Nhà cung cấp'!$A91="","",'Nhà cung cấp'!$A91)</f>
        <v/>
      </c>
      <c r="B91" s="37" t="str">
        <f aca="false">IF($A91="","",'Nhà cung cấp'!$B91)</f>
        <v/>
      </c>
      <c r="C91" s="37" t="str">
        <f aca="false">IF($A91="","",'Nhà cung cấp'!$H91)</f>
        <v/>
      </c>
      <c r="D91" s="38" t="str">
        <f aca="false">IF($A91="","",COUNTIFS('Báo giá'!$I$4:$I$203,$A91))</f>
        <v/>
      </c>
      <c r="E91" s="38" t="str">
        <f aca="false">IF($A91="","",COUNTIFS('Báo giá'!$I$4:$I$203,$A91,'Báo giá'!$T$4:$T$203,"x"))</f>
        <v/>
      </c>
      <c r="F91" s="39" t="str">
        <f aca="false">IF($A91="","",IFERROR($E91/$D91,""))</f>
        <v/>
      </c>
      <c r="G91" s="38" t="str">
        <f aca="false">IF($A91="","",COUNTIFS(PO!$H$4:$H$203,$A91))</f>
        <v/>
      </c>
      <c r="H91" s="38" t="str">
        <f aca="false">IF($A91="","",SUMIFS(PO!$L$4:$L$203,PO!$H$4:$H$203,$A91))</f>
        <v/>
      </c>
      <c r="I91" s="38" t="str">
        <f aca="false">IF($A91="","",SUMIFS(PO!$N$4:$N$203,PO!$H$4:$H$203,$A91))</f>
        <v/>
      </c>
      <c r="J91" s="38" t="str">
        <f aca="false">IF($A91="","",COUNTIFS(PO!$H$4:$H$203,$A91,PO!$S$4:$S$203,"Đúng hạn")+COUNTIFS(PO!$H$4:$H$203,$A91,PO!$S$4:$S$203,"Giao trễ")+COUNTIFS(PO!$H$4:$H$203,$A91,PO!$S$4:$S$203,"Trễ hạn"))</f>
        <v/>
      </c>
      <c r="K91" s="38" t="str">
        <f aca="false">IF($A91="","",COUNTIFS(PO!$H$4:$H$203,$A91,PO!$S$4:$S$203,"Đúng hạn"))</f>
        <v/>
      </c>
      <c r="L91" s="39" t="str">
        <f aca="false">IF($A91="","",IFERROR($K91/$J91,""))</f>
        <v/>
      </c>
      <c r="M91" s="38" t="str">
        <f aca="false">IF($A91="","",SUMIFS(PO!$U$4:$U$203,PO!$H$4:$H$203,$A91))</f>
        <v/>
      </c>
      <c r="N91" s="38" t="str">
        <f aca="false">IF($A91="","",SUMIFS(PO!$V$4:$V$203,PO!$H$4:$H$203,$A91))</f>
        <v/>
      </c>
      <c r="O91" s="39" t="str">
        <f aca="false">IF($A91="","",IFERROR($N91/$M91,""))</f>
        <v/>
      </c>
      <c r="P91" s="38" t="str">
        <f aca="false">IF($A91="","",SUMIFS('Thanh toán'!$H$4:$H$203,'Thanh toán'!$E$4:$E$203,$A91))</f>
        <v/>
      </c>
      <c r="Q91" s="38" t="str">
        <f aca="false">IF($A91="","",SUMIFS('Công nợ'!$I$4:$I$203,'Công nợ'!$D$4:$D$203,$A91))</f>
        <v/>
      </c>
      <c r="R91" s="38" t="str">
        <f aca="false">IF($A91="","",SUMIFS('Công nợ'!$I$4:$I$203,'Công nợ'!$D$4:$D$203,$A91,'Công nợ'!$K$4:$K$203,"&gt;0"))</f>
        <v/>
      </c>
    </row>
    <row r="92" customFormat="false" ht="15" hidden="false" customHeight="false" outlineLevel="0" collapsed="false">
      <c r="A92" s="37" t="str">
        <f aca="false">IF('Nhà cung cấp'!$A92="","",'Nhà cung cấp'!$A92)</f>
        <v/>
      </c>
      <c r="B92" s="37" t="str">
        <f aca="false">IF($A92="","",'Nhà cung cấp'!$B92)</f>
        <v/>
      </c>
      <c r="C92" s="37" t="str">
        <f aca="false">IF($A92="","",'Nhà cung cấp'!$H92)</f>
        <v/>
      </c>
      <c r="D92" s="38" t="str">
        <f aca="false">IF($A92="","",COUNTIFS('Báo giá'!$I$4:$I$203,$A92))</f>
        <v/>
      </c>
      <c r="E92" s="38" t="str">
        <f aca="false">IF($A92="","",COUNTIFS('Báo giá'!$I$4:$I$203,$A92,'Báo giá'!$T$4:$T$203,"x"))</f>
        <v/>
      </c>
      <c r="F92" s="39" t="str">
        <f aca="false">IF($A92="","",IFERROR($E92/$D92,""))</f>
        <v/>
      </c>
      <c r="G92" s="38" t="str">
        <f aca="false">IF($A92="","",COUNTIFS(PO!$H$4:$H$203,$A92))</f>
        <v/>
      </c>
      <c r="H92" s="38" t="str">
        <f aca="false">IF($A92="","",SUMIFS(PO!$L$4:$L$203,PO!$H$4:$H$203,$A92))</f>
        <v/>
      </c>
      <c r="I92" s="38" t="str">
        <f aca="false">IF($A92="","",SUMIFS(PO!$N$4:$N$203,PO!$H$4:$H$203,$A92))</f>
        <v/>
      </c>
      <c r="J92" s="38" t="str">
        <f aca="false">IF($A92="","",COUNTIFS(PO!$H$4:$H$203,$A92,PO!$S$4:$S$203,"Đúng hạn")+COUNTIFS(PO!$H$4:$H$203,$A92,PO!$S$4:$S$203,"Giao trễ")+COUNTIFS(PO!$H$4:$H$203,$A92,PO!$S$4:$S$203,"Trễ hạn"))</f>
        <v/>
      </c>
      <c r="K92" s="38" t="str">
        <f aca="false">IF($A92="","",COUNTIFS(PO!$H$4:$H$203,$A92,PO!$S$4:$S$203,"Đúng hạn"))</f>
        <v/>
      </c>
      <c r="L92" s="39" t="str">
        <f aca="false">IF($A92="","",IFERROR($K92/$J92,""))</f>
        <v/>
      </c>
      <c r="M92" s="38" t="str">
        <f aca="false">IF($A92="","",SUMIFS(PO!$U$4:$U$203,PO!$H$4:$H$203,$A92))</f>
        <v/>
      </c>
      <c r="N92" s="38" t="str">
        <f aca="false">IF($A92="","",SUMIFS(PO!$V$4:$V$203,PO!$H$4:$H$203,$A92))</f>
        <v/>
      </c>
      <c r="O92" s="39" t="str">
        <f aca="false">IF($A92="","",IFERROR($N92/$M92,""))</f>
        <v/>
      </c>
      <c r="P92" s="38" t="str">
        <f aca="false">IF($A92="","",SUMIFS('Thanh toán'!$H$4:$H$203,'Thanh toán'!$E$4:$E$203,$A92))</f>
        <v/>
      </c>
      <c r="Q92" s="38" t="str">
        <f aca="false">IF($A92="","",SUMIFS('Công nợ'!$I$4:$I$203,'Công nợ'!$D$4:$D$203,$A92))</f>
        <v/>
      </c>
      <c r="R92" s="38" t="str">
        <f aca="false">IF($A92="","",SUMIFS('Công nợ'!$I$4:$I$203,'Công nợ'!$D$4:$D$203,$A92,'Công nợ'!$K$4:$K$203,"&gt;0"))</f>
        <v/>
      </c>
    </row>
    <row r="93" customFormat="false" ht="15" hidden="false" customHeight="false" outlineLevel="0" collapsed="false">
      <c r="A93" s="37" t="str">
        <f aca="false">IF('Nhà cung cấp'!$A93="","",'Nhà cung cấp'!$A93)</f>
        <v/>
      </c>
      <c r="B93" s="37" t="str">
        <f aca="false">IF($A93="","",'Nhà cung cấp'!$B93)</f>
        <v/>
      </c>
      <c r="C93" s="37" t="str">
        <f aca="false">IF($A93="","",'Nhà cung cấp'!$H93)</f>
        <v/>
      </c>
      <c r="D93" s="38" t="str">
        <f aca="false">IF($A93="","",COUNTIFS('Báo giá'!$I$4:$I$203,$A93))</f>
        <v/>
      </c>
      <c r="E93" s="38" t="str">
        <f aca="false">IF($A93="","",COUNTIFS('Báo giá'!$I$4:$I$203,$A93,'Báo giá'!$T$4:$T$203,"x"))</f>
        <v/>
      </c>
      <c r="F93" s="39" t="str">
        <f aca="false">IF($A93="","",IFERROR($E93/$D93,""))</f>
        <v/>
      </c>
      <c r="G93" s="38" t="str">
        <f aca="false">IF($A93="","",COUNTIFS(PO!$H$4:$H$203,$A93))</f>
        <v/>
      </c>
      <c r="H93" s="38" t="str">
        <f aca="false">IF($A93="","",SUMIFS(PO!$L$4:$L$203,PO!$H$4:$H$203,$A93))</f>
        <v/>
      </c>
      <c r="I93" s="38" t="str">
        <f aca="false">IF($A93="","",SUMIFS(PO!$N$4:$N$203,PO!$H$4:$H$203,$A93))</f>
        <v/>
      </c>
      <c r="J93" s="38" t="str">
        <f aca="false">IF($A93="","",COUNTIFS(PO!$H$4:$H$203,$A93,PO!$S$4:$S$203,"Đúng hạn")+COUNTIFS(PO!$H$4:$H$203,$A93,PO!$S$4:$S$203,"Giao trễ")+COUNTIFS(PO!$H$4:$H$203,$A93,PO!$S$4:$S$203,"Trễ hạn"))</f>
        <v/>
      </c>
      <c r="K93" s="38" t="str">
        <f aca="false">IF($A93="","",COUNTIFS(PO!$H$4:$H$203,$A93,PO!$S$4:$S$203,"Đúng hạn"))</f>
        <v/>
      </c>
      <c r="L93" s="39" t="str">
        <f aca="false">IF($A93="","",IFERROR($K93/$J93,""))</f>
        <v/>
      </c>
      <c r="M93" s="38" t="str">
        <f aca="false">IF($A93="","",SUMIFS(PO!$U$4:$U$203,PO!$H$4:$H$203,$A93))</f>
        <v/>
      </c>
      <c r="N93" s="38" t="str">
        <f aca="false">IF($A93="","",SUMIFS(PO!$V$4:$V$203,PO!$H$4:$H$203,$A93))</f>
        <v/>
      </c>
      <c r="O93" s="39" t="str">
        <f aca="false">IF($A93="","",IFERROR($N93/$M93,""))</f>
        <v/>
      </c>
      <c r="P93" s="38" t="str">
        <f aca="false">IF($A93="","",SUMIFS('Thanh toán'!$H$4:$H$203,'Thanh toán'!$E$4:$E$203,$A93))</f>
        <v/>
      </c>
      <c r="Q93" s="38" t="str">
        <f aca="false">IF($A93="","",SUMIFS('Công nợ'!$I$4:$I$203,'Công nợ'!$D$4:$D$203,$A93))</f>
        <v/>
      </c>
      <c r="R93" s="38" t="str">
        <f aca="false">IF($A93="","",SUMIFS('Công nợ'!$I$4:$I$203,'Công nợ'!$D$4:$D$203,$A93,'Công nợ'!$K$4:$K$203,"&gt;0"))</f>
        <v/>
      </c>
    </row>
    <row r="94" customFormat="false" ht="15" hidden="false" customHeight="false" outlineLevel="0" collapsed="false">
      <c r="A94" s="37" t="str">
        <f aca="false">IF('Nhà cung cấp'!$A94="","",'Nhà cung cấp'!$A94)</f>
        <v/>
      </c>
      <c r="B94" s="37" t="str">
        <f aca="false">IF($A94="","",'Nhà cung cấp'!$B94)</f>
        <v/>
      </c>
      <c r="C94" s="37" t="str">
        <f aca="false">IF($A94="","",'Nhà cung cấp'!$H94)</f>
        <v/>
      </c>
      <c r="D94" s="38" t="str">
        <f aca="false">IF($A94="","",COUNTIFS('Báo giá'!$I$4:$I$203,$A94))</f>
        <v/>
      </c>
      <c r="E94" s="38" t="str">
        <f aca="false">IF($A94="","",COUNTIFS('Báo giá'!$I$4:$I$203,$A94,'Báo giá'!$T$4:$T$203,"x"))</f>
        <v/>
      </c>
      <c r="F94" s="39" t="str">
        <f aca="false">IF($A94="","",IFERROR($E94/$D94,""))</f>
        <v/>
      </c>
      <c r="G94" s="38" t="str">
        <f aca="false">IF($A94="","",COUNTIFS(PO!$H$4:$H$203,$A94))</f>
        <v/>
      </c>
      <c r="H94" s="38" t="str">
        <f aca="false">IF($A94="","",SUMIFS(PO!$L$4:$L$203,PO!$H$4:$H$203,$A94))</f>
        <v/>
      </c>
      <c r="I94" s="38" t="str">
        <f aca="false">IF($A94="","",SUMIFS(PO!$N$4:$N$203,PO!$H$4:$H$203,$A94))</f>
        <v/>
      </c>
      <c r="J94" s="38" t="str">
        <f aca="false">IF($A94="","",COUNTIFS(PO!$H$4:$H$203,$A94,PO!$S$4:$S$203,"Đúng hạn")+COUNTIFS(PO!$H$4:$H$203,$A94,PO!$S$4:$S$203,"Giao trễ")+COUNTIFS(PO!$H$4:$H$203,$A94,PO!$S$4:$S$203,"Trễ hạn"))</f>
        <v/>
      </c>
      <c r="K94" s="38" t="str">
        <f aca="false">IF($A94="","",COUNTIFS(PO!$H$4:$H$203,$A94,PO!$S$4:$S$203,"Đúng hạn"))</f>
        <v/>
      </c>
      <c r="L94" s="39" t="str">
        <f aca="false">IF($A94="","",IFERROR($K94/$J94,""))</f>
        <v/>
      </c>
      <c r="M94" s="38" t="str">
        <f aca="false">IF($A94="","",SUMIFS(PO!$U$4:$U$203,PO!$H$4:$H$203,$A94))</f>
        <v/>
      </c>
      <c r="N94" s="38" t="str">
        <f aca="false">IF($A94="","",SUMIFS(PO!$V$4:$V$203,PO!$H$4:$H$203,$A94))</f>
        <v/>
      </c>
      <c r="O94" s="39" t="str">
        <f aca="false">IF($A94="","",IFERROR($N94/$M94,""))</f>
        <v/>
      </c>
      <c r="P94" s="38" t="str">
        <f aca="false">IF($A94="","",SUMIFS('Thanh toán'!$H$4:$H$203,'Thanh toán'!$E$4:$E$203,$A94))</f>
        <v/>
      </c>
      <c r="Q94" s="38" t="str">
        <f aca="false">IF($A94="","",SUMIFS('Công nợ'!$I$4:$I$203,'Công nợ'!$D$4:$D$203,$A94))</f>
        <v/>
      </c>
      <c r="R94" s="38" t="str">
        <f aca="false">IF($A94="","",SUMIFS('Công nợ'!$I$4:$I$203,'Công nợ'!$D$4:$D$203,$A94,'Công nợ'!$K$4:$K$203,"&gt;0"))</f>
        <v/>
      </c>
    </row>
    <row r="95" customFormat="false" ht="15" hidden="false" customHeight="false" outlineLevel="0" collapsed="false">
      <c r="A95" s="37" t="str">
        <f aca="false">IF('Nhà cung cấp'!$A95="","",'Nhà cung cấp'!$A95)</f>
        <v/>
      </c>
      <c r="B95" s="37" t="str">
        <f aca="false">IF($A95="","",'Nhà cung cấp'!$B95)</f>
        <v/>
      </c>
      <c r="C95" s="37" t="str">
        <f aca="false">IF($A95="","",'Nhà cung cấp'!$H95)</f>
        <v/>
      </c>
      <c r="D95" s="38" t="str">
        <f aca="false">IF($A95="","",COUNTIFS('Báo giá'!$I$4:$I$203,$A95))</f>
        <v/>
      </c>
      <c r="E95" s="38" t="str">
        <f aca="false">IF($A95="","",COUNTIFS('Báo giá'!$I$4:$I$203,$A95,'Báo giá'!$T$4:$T$203,"x"))</f>
        <v/>
      </c>
      <c r="F95" s="39" t="str">
        <f aca="false">IF($A95="","",IFERROR($E95/$D95,""))</f>
        <v/>
      </c>
      <c r="G95" s="38" t="str">
        <f aca="false">IF($A95="","",COUNTIFS(PO!$H$4:$H$203,$A95))</f>
        <v/>
      </c>
      <c r="H95" s="38" t="str">
        <f aca="false">IF($A95="","",SUMIFS(PO!$L$4:$L$203,PO!$H$4:$H$203,$A95))</f>
        <v/>
      </c>
      <c r="I95" s="38" t="str">
        <f aca="false">IF($A95="","",SUMIFS(PO!$N$4:$N$203,PO!$H$4:$H$203,$A95))</f>
        <v/>
      </c>
      <c r="J95" s="38" t="str">
        <f aca="false">IF($A95="","",COUNTIFS(PO!$H$4:$H$203,$A95,PO!$S$4:$S$203,"Đúng hạn")+COUNTIFS(PO!$H$4:$H$203,$A95,PO!$S$4:$S$203,"Giao trễ")+COUNTIFS(PO!$H$4:$H$203,$A95,PO!$S$4:$S$203,"Trễ hạn"))</f>
        <v/>
      </c>
      <c r="K95" s="38" t="str">
        <f aca="false">IF($A95="","",COUNTIFS(PO!$H$4:$H$203,$A95,PO!$S$4:$S$203,"Đúng hạn"))</f>
        <v/>
      </c>
      <c r="L95" s="39" t="str">
        <f aca="false">IF($A95="","",IFERROR($K95/$J95,""))</f>
        <v/>
      </c>
      <c r="M95" s="38" t="str">
        <f aca="false">IF($A95="","",SUMIFS(PO!$U$4:$U$203,PO!$H$4:$H$203,$A95))</f>
        <v/>
      </c>
      <c r="N95" s="38" t="str">
        <f aca="false">IF($A95="","",SUMIFS(PO!$V$4:$V$203,PO!$H$4:$H$203,$A95))</f>
        <v/>
      </c>
      <c r="O95" s="39" t="str">
        <f aca="false">IF($A95="","",IFERROR($N95/$M95,""))</f>
        <v/>
      </c>
      <c r="P95" s="38" t="str">
        <f aca="false">IF($A95="","",SUMIFS('Thanh toán'!$H$4:$H$203,'Thanh toán'!$E$4:$E$203,$A95))</f>
        <v/>
      </c>
      <c r="Q95" s="38" t="str">
        <f aca="false">IF($A95="","",SUMIFS('Công nợ'!$I$4:$I$203,'Công nợ'!$D$4:$D$203,$A95))</f>
        <v/>
      </c>
      <c r="R95" s="38" t="str">
        <f aca="false">IF($A95="","",SUMIFS('Công nợ'!$I$4:$I$203,'Công nợ'!$D$4:$D$203,$A95,'Công nợ'!$K$4:$K$203,"&gt;0"))</f>
        <v/>
      </c>
    </row>
    <row r="96" customFormat="false" ht="15" hidden="false" customHeight="false" outlineLevel="0" collapsed="false">
      <c r="A96" s="37" t="str">
        <f aca="false">IF('Nhà cung cấp'!$A96="","",'Nhà cung cấp'!$A96)</f>
        <v/>
      </c>
      <c r="B96" s="37" t="str">
        <f aca="false">IF($A96="","",'Nhà cung cấp'!$B96)</f>
        <v/>
      </c>
      <c r="C96" s="37" t="str">
        <f aca="false">IF($A96="","",'Nhà cung cấp'!$H96)</f>
        <v/>
      </c>
      <c r="D96" s="38" t="str">
        <f aca="false">IF($A96="","",COUNTIFS('Báo giá'!$I$4:$I$203,$A96))</f>
        <v/>
      </c>
      <c r="E96" s="38" t="str">
        <f aca="false">IF($A96="","",COUNTIFS('Báo giá'!$I$4:$I$203,$A96,'Báo giá'!$T$4:$T$203,"x"))</f>
        <v/>
      </c>
      <c r="F96" s="39" t="str">
        <f aca="false">IF($A96="","",IFERROR($E96/$D96,""))</f>
        <v/>
      </c>
      <c r="G96" s="38" t="str">
        <f aca="false">IF($A96="","",COUNTIFS(PO!$H$4:$H$203,$A96))</f>
        <v/>
      </c>
      <c r="H96" s="38" t="str">
        <f aca="false">IF($A96="","",SUMIFS(PO!$L$4:$L$203,PO!$H$4:$H$203,$A96))</f>
        <v/>
      </c>
      <c r="I96" s="38" t="str">
        <f aca="false">IF($A96="","",SUMIFS(PO!$N$4:$N$203,PO!$H$4:$H$203,$A96))</f>
        <v/>
      </c>
      <c r="J96" s="38" t="str">
        <f aca="false">IF($A96="","",COUNTIFS(PO!$H$4:$H$203,$A96,PO!$S$4:$S$203,"Đúng hạn")+COUNTIFS(PO!$H$4:$H$203,$A96,PO!$S$4:$S$203,"Giao trễ")+COUNTIFS(PO!$H$4:$H$203,$A96,PO!$S$4:$S$203,"Trễ hạn"))</f>
        <v/>
      </c>
      <c r="K96" s="38" t="str">
        <f aca="false">IF($A96="","",COUNTIFS(PO!$H$4:$H$203,$A96,PO!$S$4:$S$203,"Đúng hạn"))</f>
        <v/>
      </c>
      <c r="L96" s="39" t="str">
        <f aca="false">IF($A96="","",IFERROR($K96/$J96,""))</f>
        <v/>
      </c>
      <c r="M96" s="38" t="str">
        <f aca="false">IF($A96="","",SUMIFS(PO!$U$4:$U$203,PO!$H$4:$H$203,$A96))</f>
        <v/>
      </c>
      <c r="N96" s="38" t="str">
        <f aca="false">IF($A96="","",SUMIFS(PO!$V$4:$V$203,PO!$H$4:$H$203,$A96))</f>
        <v/>
      </c>
      <c r="O96" s="39" t="str">
        <f aca="false">IF($A96="","",IFERROR($N96/$M96,""))</f>
        <v/>
      </c>
      <c r="P96" s="38" t="str">
        <f aca="false">IF($A96="","",SUMIFS('Thanh toán'!$H$4:$H$203,'Thanh toán'!$E$4:$E$203,$A96))</f>
        <v/>
      </c>
      <c r="Q96" s="38" t="str">
        <f aca="false">IF($A96="","",SUMIFS('Công nợ'!$I$4:$I$203,'Công nợ'!$D$4:$D$203,$A96))</f>
        <v/>
      </c>
      <c r="R96" s="38" t="str">
        <f aca="false">IF($A96="","",SUMIFS('Công nợ'!$I$4:$I$203,'Công nợ'!$D$4:$D$203,$A96,'Công nợ'!$K$4:$K$203,"&gt;0"))</f>
        <v/>
      </c>
    </row>
    <row r="97" customFormat="false" ht="15" hidden="false" customHeight="false" outlineLevel="0" collapsed="false">
      <c r="A97" s="37" t="str">
        <f aca="false">IF('Nhà cung cấp'!$A97="","",'Nhà cung cấp'!$A97)</f>
        <v/>
      </c>
      <c r="B97" s="37" t="str">
        <f aca="false">IF($A97="","",'Nhà cung cấp'!$B97)</f>
        <v/>
      </c>
      <c r="C97" s="37" t="str">
        <f aca="false">IF($A97="","",'Nhà cung cấp'!$H97)</f>
        <v/>
      </c>
      <c r="D97" s="38" t="str">
        <f aca="false">IF($A97="","",COUNTIFS('Báo giá'!$I$4:$I$203,$A97))</f>
        <v/>
      </c>
      <c r="E97" s="38" t="str">
        <f aca="false">IF($A97="","",COUNTIFS('Báo giá'!$I$4:$I$203,$A97,'Báo giá'!$T$4:$T$203,"x"))</f>
        <v/>
      </c>
      <c r="F97" s="39" t="str">
        <f aca="false">IF($A97="","",IFERROR($E97/$D97,""))</f>
        <v/>
      </c>
      <c r="G97" s="38" t="str">
        <f aca="false">IF($A97="","",COUNTIFS(PO!$H$4:$H$203,$A97))</f>
        <v/>
      </c>
      <c r="H97" s="38" t="str">
        <f aca="false">IF($A97="","",SUMIFS(PO!$L$4:$L$203,PO!$H$4:$H$203,$A97))</f>
        <v/>
      </c>
      <c r="I97" s="38" t="str">
        <f aca="false">IF($A97="","",SUMIFS(PO!$N$4:$N$203,PO!$H$4:$H$203,$A97))</f>
        <v/>
      </c>
      <c r="J97" s="38" t="str">
        <f aca="false">IF($A97="","",COUNTIFS(PO!$H$4:$H$203,$A97,PO!$S$4:$S$203,"Đúng hạn")+COUNTIFS(PO!$H$4:$H$203,$A97,PO!$S$4:$S$203,"Giao trễ")+COUNTIFS(PO!$H$4:$H$203,$A97,PO!$S$4:$S$203,"Trễ hạn"))</f>
        <v/>
      </c>
      <c r="K97" s="38" t="str">
        <f aca="false">IF($A97="","",COUNTIFS(PO!$H$4:$H$203,$A97,PO!$S$4:$S$203,"Đúng hạn"))</f>
        <v/>
      </c>
      <c r="L97" s="39" t="str">
        <f aca="false">IF($A97="","",IFERROR($K97/$J97,""))</f>
        <v/>
      </c>
      <c r="M97" s="38" t="str">
        <f aca="false">IF($A97="","",SUMIFS(PO!$U$4:$U$203,PO!$H$4:$H$203,$A97))</f>
        <v/>
      </c>
      <c r="N97" s="38" t="str">
        <f aca="false">IF($A97="","",SUMIFS(PO!$V$4:$V$203,PO!$H$4:$H$203,$A97))</f>
        <v/>
      </c>
      <c r="O97" s="39" t="str">
        <f aca="false">IF($A97="","",IFERROR($N97/$M97,""))</f>
        <v/>
      </c>
      <c r="P97" s="38" t="str">
        <f aca="false">IF($A97="","",SUMIFS('Thanh toán'!$H$4:$H$203,'Thanh toán'!$E$4:$E$203,$A97))</f>
        <v/>
      </c>
      <c r="Q97" s="38" t="str">
        <f aca="false">IF($A97="","",SUMIFS('Công nợ'!$I$4:$I$203,'Công nợ'!$D$4:$D$203,$A97))</f>
        <v/>
      </c>
      <c r="R97" s="38" t="str">
        <f aca="false">IF($A97="","",SUMIFS('Công nợ'!$I$4:$I$203,'Công nợ'!$D$4:$D$203,$A97,'Công nợ'!$K$4:$K$203,"&gt;0"))</f>
        <v/>
      </c>
    </row>
    <row r="98" customFormat="false" ht="15" hidden="false" customHeight="false" outlineLevel="0" collapsed="false">
      <c r="A98" s="37" t="str">
        <f aca="false">IF('Nhà cung cấp'!$A98="","",'Nhà cung cấp'!$A98)</f>
        <v/>
      </c>
      <c r="B98" s="37" t="str">
        <f aca="false">IF($A98="","",'Nhà cung cấp'!$B98)</f>
        <v/>
      </c>
      <c r="C98" s="37" t="str">
        <f aca="false">IF($A98="","",'Nhà cung cấp'!$H98)</f>
        <v/>
      </c>
      <c r="D98" s="38" t="str">
        <f aca="false">IF($A98="","",COUNTIFS('Báo giá'!$I$4:$I$203,$A98))</f>
        <v/>
      </c>
      <c r="E98" s="38" t="str">
        <f aca="false">IF($A98="","",COUNTIFS('Báo giá'!$I$4:$I$203,$A98,'Báo giá'!$T$4:$T$203,"x"))</f>
        <v/>
      </c>
      <c r="F98" s="39" t="str">
        <f aca="false">IF($A98="","",IFERROR($E98/$D98,""))</f>
        <v/>
      </c>
      <c r="G98" s="38" t="str">
        <f aca="false">IF($A98="","",COUNTIFS(PO!$H$4:$H$203,$A98))</f>
        <v/>
      </c>
      <c r="H98" s="38" t="str">
        <f aca="false">IF($A98="","",SUMIFS(PO!$L$4:$L$203,PO!$H$4:$H$203,$A98))</f>
        <v/>
      </c>
      <c r="I98" s="38" t="str">
        <f aca="false">IF($A98="","",SUMIFS(PO!$N$4:$N$203,PO!$H$4:$H$203,$A98))</f>
        <v/>
      </c>
      <c r="J98" s="38" t="str">
        <f aca="false">IF($A98="","",COUNTIFS(PO!$H$4:$H$203,$A98,PO!$S$4:$S$203,"Đúng hạn")+COUNTIFS(PO!$H$4:$H$203,$A98,PO!$S$4:$S$203,"Giao trễ")+COUNTIFS(PO!$H$4:$H$203,$A98,PO!$S$4:$S$203,"Trễ hạn"))</f>
        <v/>
      </c>
      <c r="K98" s="38" t="str">
        <f aca="false">IF($A98="","",COUNTIFS(PO!$H$4:$H$203,$A98,PO!$S$4:$S$203,"Đúng hạn"))</f>
        <v/>
      </c>
      <c r="L98" s="39" t="str">
        <f aca="false">IF($A98="","",IFERROR($K98/$J98,""))</f>
        <v/>
      </c>
      <c r="M98" s="38" t="str">
        <f aca="false">IF($A98="","",SUMIFS(PO!$U$4:$U$203,PO!$H$4:$H$203,$A98))</f>
        <v/>
      </c>
      <c r="N98" s="38" t="str">
        <f aca="false">IF($A98="","",SUMIFS(PO!$V$4:$V$203,PO!$H$4:$H$203,$A98))</f>
        <v/>
      </c>
      <c r="O98" s="39" t="str">
        <f aca="false">IF($A98="","",IFERROR($N98/$M98,""))</f>
        <v/>
      </c>
      <c r="P98" s="38" t="str">
        <f aca="false">IF($A98="","",SUMIFS('Thanh toán'!$H$4:$H$203,'Thanh toán'!$E$4:$E$203,$A98))</f>
        <v/>
      </c>
      <c r="Q98" s="38" t="str">
        <f aca="false">IF($A98="","",SUMIFS('Công nợ'!$I$4:$I$203,'Công nợ'!$D$4:$D$203,$A98))</f>
        <v/>
      </c>
      <c r="R98" s="38" t="str">
        <f aca="false">IF($A98="","",SUMIFS('Công nợ'!$I$4:$I$203,'Công nợ'!$D$4:$D$203,$A98,'Công nợ'!$K$4:$K$203,"&gt;0"))</f>
        <v/>
      </c>
    </row>
    <row r="99" customFormat="false" ht="15" hidden="false" customHeight="false" outlineLevel="0" collapsed="false">
      <c r="A99" s="37" t="str">
        <f aca="false">IF('Nhà cung cấp'!$A99="","",'Nhà cung cấp'!$A99)</f>
        <v/>
      </c>
      <c r="B99" s="37" t="str">
        <f aca="false">IF($A99="","",'Nhà cung cấp'!$B99)</f>
        <v/>
      </c>
      <c r="C99" s="37" t="str">
        <f aca="false">IF($A99="","",'Nhà cung cấp'!$H99)</f>
        <v/>
      </c>
      <c r="D99" s="38" t="str">
        <f aca="false">IF($A99="","",COUNTIFS('Báo giá'!$I$4:$I$203,$A99))</f>
        <v/>
      </c>
      <c r="E99" s="38" t="str">
        <f aca="false">IF($A99="","",COUNTIFS('Báo giá'!$I$4:$I$203,$A99,'Báo giá'!$T$4:$T$203,"x"))</f>
        <v/>
      </c>
      <c r="F99" s="39" t="str">
        <f aca="false">IF($A99="","",IFERROR($E99/$D99,""))</f>
        <v/>
      </c>
      <c r="G99" s="38" t="str">
        <f aca="false">IF($A99="","",COUNTIFS(PO!$H$4:$H$203,$A99))</f>
        <v/>
      </c>
      <c r="H99" s="38" t="str">
        <f aca="false">IF($A99="","",SUMIFS(PO!$L$4:$L$203,PO!$H$4:$H$203,$A99))</f>
        <v/>
      </c>
      <c r="I99" s="38" t="str">
        <f aca="false">IF($A99="","",SUMIFS(PO!$N$4:$N$203,PO!$H$4:$H$203,$A99))</f>
        <v/>
      </c>
      <c r="J99" s="38" t="str">
        <f aca="false">IF($A99="","",COUNTIFS(PO!$H$4:$H$203,$A99,PO!$S$4:$S$203,"Đúng hạn")+COUNTIFS(PO!$H$4:$H$203,$A99,PO!$S$4:$S$203,"Giao trễ")+COUNTIFS(PO!$H$4:$H$203,$A99,PO!$S$4:$S$203,"Trễ hạn"))</f>
        <v/>
      </c>
      <c r="K99" s="38" t="str">
        <f aca="false">IF($A99="","",COUNTIFS(PO!$H$4:$H$203,$A99,PO!$S$4:$S$203,"Đúng hạn"))</f>
        <v/>
      </c>
      <c r="L99" s="39" t="str">
        <f aca="false">IF($A99="","",IFERROR($K99/$J99,""))</f>
        <v/>
      </c>
      <c r="M99" s="38" t="str">
        <f aca="false">IF($A99="","",SUMIFS(PO!$U$4:$U$203,PO!$H$4:$H$203,$A99))</f>
        <v/>
      </c>
      <c r="N99" s="38" t="str">
        <f aca="false">IF($A99="","",SUMIFS(PO!$V$4:$V$203,PO!$H$4:$H$203,$A99))</f>
        <v/>
      </c>
      <c r="O99" s="39" t="str">
        <f aca="false">IF($A99="","",IFERROR($N99/$M99,""))</f>
        <v/>
      </c>
      <c r="P99" s="38" t="str">
        <f aca="false">IF($A99="","",SUMIFS('Thanh toán'!$H$4:$H$203,'Thanh toán'!$E$4:$E$203,$A99))</f>
        <v/>
      </c>
      <c r="Q99" s="38" t="str">
        <f aca="false">IF($A99="","",SUMIFS('Công nợ'!$I$4:$I$203,'Công nợ'!$D$4:$D$203,$A99))</f>
        <v/>
      </c>
      <c r="R99" s="38" t="str">
        <f aca="false">IF($A99="","",SUMIFS('Công nợ'!$I$4:$I$203,'Công nợ'!$D$4:$D$203,$A99,'Công nợ'!$K$4:$K$203,"&gt;0"))</f>
        <v/>
      </c>
    </row>
    <row r="100" customFormat="false" ht="15" hidden="false" customHeight="false" outlineLevel="0" collapsed="false">
      <c r="A100" s="37" t="str">
        <f aca="false">IF('Nhà cung cấp'!$A100="","",'Nhà cung cấp'!$A100)</f>
        <v/>
      </c>
      <c r="B100" s="37" t="str">
        <f aca="false">IF($A100="","",'Nhà cung cấp'!$B100)</f>
        <v/>
      </c>
      <c r="C100" s="37" t="str">
        <f aca="false">IF($A100="","",'Nhà cung cấp'!$H100)</f>
        <v/>
      </c>
      <c r="D100" s="38" t="str">
        <f aca="false">IF($A100="","",COUNTIFS('Báo giá'!$I$4:$I$203,$A100))</f>
        <v/>
      </c>
      <c r="E100" s="38" t="str">
        <f aca="false">IF($A100="","",COUNTIFS('Báo giá'!$I$4:$I$203,$A100,'Báo giá'!$T$4:$T$203,"x"))</f>
        <v/>
      </c>
      <c r="F100" s="39" t="str">
        <f aca="false">IF($A100="","",IFERROR($E100/$D100,""))</f>
        <v/>
      </c>
      <c r="G100" s="38" t="str">
        <f aca="false">IF($A100="","",COUNTIFS(PO!$H$4:$H$203,$A100))</f>
        <v/>
      </c>
      <c r="H100" s="38" t="str">
        <f aca="false">IF($A100="","",SUMIFS(PO!$L$4:$L$203,PO!$H$4:$H$203,$A100))</f>
        <v/>
      </c>
      <c r="I100" s="38" t="str">
        <f aca="false">IF($A100="","",SUMIFS(PO!$N$4:$N$203,PO!$H$4:$H$203,$A100))</f>
        <v/>
      </c>
      <c r="J100" s="38" t="str">
        <f aca="false">IF($A100="","",COUNTIFS(PO!$H$4:$H$203,$A100,PO!$S$4:$S$203,"Đúng hạn")+COUNTIFS(PO!$H$4:$H$203,$A100,PO!$S$4:$S$203,"Giao trễ")+COUNTIFS(PO!$H$4:$H$203,$A100,PO!$S$4:$S$203,"Trễ hạn"))</f>
        <v/>
      </c>
      <c r="K100" s="38" t="str">
        <f aca="false">IF($A100="","",COUNTIFS(PO!$H$4:$H$203,$A100,PO!$S$4:$S$203,"Đúng hạn"))</f>
        <v/>
      </c>
      <c r="L100" s="39" t="str">
        <f aca="false">IF($A100="","",IFERROR($K100/$J100,""))</f>
        <v/>
      </c>
      <c r="M100" s="38" t="str">
        <f aca="false">IF($A100="","",SUMIFS(PO!$U$4:$U$203,PO!$H$4:$H$203,$A100))</f>
        <v/>
      </c>
      <c r="N100" s="38" t="str">
        <f aca="false">IF($A100="","",SUMIFS(PO!$V$4:$V$203,PO!$H$4:$H$203,$A100))</f>
        <v/>
      </c>
      <c r="O100" s="39" t="str">
        <f aca="false">IF($A100="","",IFERROR($N100/$M100,""))</f>
        <v/>
      </c>
      <c r="P100" s="38" t="str">
        <f aca="false">IF($A100="","",SUMIFS('Thanh toán'!$H$4:$H$203,'Thanh toán'!$E$4:$E$203,$A100))</f>
        <v/>
      </c>
      <c r="Q100" s="38" t="str">
        <f aca="false">IF($A100="","",SUMIFS('Công nợ'!$I$4:$I$203,'Công nợ'!$D$4:$D$203,$A100))</f>
        <v/>
      </c>
      <c r="R100" s="38" t="str">
        <f aca="false">IF($A100="","",SUMIFS('Công nợ'!$I$4:$I$203,'Công nợ'!$D$4:$D$203,$A100,'Công nợ'!$K$4:$K$203,"&gt;0"))</f>
        <v/>
      </c>
    </row>
    <row r="101" customFormat="false" ht="15" hidden="false" customHeight="false" outlineLevel="0" collapsed="false">
      <c r="A101" s="37" t="str">
        <f aca="false">IF('Nhà cung cấp'!$A101="","",'Nhà cung cấp'!$A101)</f>
        <v/>
      </c>
      <c r="B101" s="37" t="str">
        <f aca="false">IF($A101="","",'Nhà cung cấp'!$B101)</f>
        <v/>
      </c>
      <c r="C101" s="37" t="str">
        <f aca="false">IF($A101="","",'Nhà cung cấp'!$H101)</f>
        <v/>
      </c>
      <c r="D101" s="38" t="str">
        <f aca="false">IF($A101="","",COUNTIFS('Báo giá'!$I$4:$I$203,$A101))</f>
        <v/>
      </c>
      <c r="E101" s="38" t="str">
        <f aca="false">IF($A101="","",COUNTIFS('Báo giá'!$I$4:$I$203,$A101,'Báo giá'!$T$4:$T$203,"x"))</f>
        <v/>
      </c>
      <c r="F101" s="39" t="str">
        <f aca="false">IF($A101="","",IFERROR($E101/$D101,""))</f>
        <v/>
      </c>
      <c r="G101" s="38" t="str">
        <f aca="false">IF($A101="","",COUNTIFS(PO!$H$4:$H$203,$A101))</f>
        <v/>
      </c>
      <c r="H101" s="38" t="str">
        <f aca="false">IF($A101="","",SUMIFS(PO!$L$4:$L$203,PO!$H$4:$H$203,$A101))</f>
        <v/>
      </c>
      <c r="I101" s="38" t="str">
        <f aca="false">IF($A101="","",SUMIFS(PO!$N$4:$N$203,PO!$H$4:$H$203,$A101))</f>
        <v/>
      </c>
      <c r="J101" s="38" t="str">
        <f aca="false">IF($A101="","",COUNTIFS(PO!$H$4:$H$203,$A101,PO!$S$4:$S$203,"Đúng hạn")+COUNTIFS(PO!$H$4:$H$203,$A101,PO!$S$4:$S$203,"Giao trễ")+COUNTIFS(PO!$H$4:$H$203,$A101,PO!$S$4:$S$203,"Trễ hạn"))</f>
        <v/>
      </c>
      <c r="K101" s="38" t="str">
        <f aca="false">IF($A101="","",COUNTIFS(PO!$H$4:$H$203,$A101,PO!$S$4:$S$203,"Đúng hạn"))</f>
        <v/>
      </c>
      <c r="L101" s="39" t="str">
        <f aca="false">IF($A101="","",IFERROR($K101/$J101,""))</f>
        <v/>
      </c>
      <c r="M101" s="38" t="str">
        <f aca="false">IF($A101="","",SUMIFS(PO!$U$4:$U$203,PO!$H$4:$H$203,$A101))</f>
        <v/>
      </c>
      <c r="N101" s="38" t="str">
        <f aca="false">IF($A101="","",SUMIFS(PO!$V$4:$V$203,PO!$H$4:$H$203,$A101))</f>
        <v/>
      </c>
      <c r="O101" s="39" t="str">
        <f aca="false">IF($A101="","",IFERROR($N101/$M101,""))</f>
        <v/>
      </c>
      <c r="P101" s="38" t="str">
        <f aca="false">IF($A101="","",SUMIFS('Thanh toán'!$H$4:$H$203,'Thanh toán'!$E$4:$E$203,$A101))</f>
        <v/>
      </c>
      <c r="Q101" s="38" t="str">
        <f aca="false">IF($A101="","",SUMIFS('Công nợ'!$I$4:$I$203,'Công nợ'!$D$4:$D$203,$A101))</f>
        <v/>
      </c>
      <c r="R101" s="38" t="str">
        <f aca="false">IF($A101="","",SUMIFS('Công nợ'!$I$4:$I$203,'Công nợ'!$D$4:$D$203,$A101,'Công nợ'!$K$4:$K$203,"&gt;0"))</f>
        <v/>
      </c>
    </row>
    <row r="102" customFormat="false" ht="15" hidden="false" customHeight="false" outlineLevel="0" collapsed="false">
      <c r="A102" s="37" t="str">
        <f aca="false">IF('Nhà cung cấp'!$A102="","",'Nhà cung cấp'!$A102)</f>
        <v/>
      </c>
      <c r="B102" s="37" t="str">
        <f aca="false">IF($A102="","",'Nhà cung cấp'!$B102)</f>
        <v/>
      </c>
      <c r="C102" s="37" t="str">
        <f aca="false">IF($A102="","",'Nhà cung cấp'!$H102)</f>
        <v/>
      </c>
      <c r="D102" s="38" t="str">
        <f aca="false">IF($A102="","",COUNTIFS('Báo giá'!$I$4:$I$203,$A102))</f>
        <v/>
      </c>
      <c r="E102" s="38" t="str">
        <f aca="false">IF($A102="","",COUNTIFS('Báo giá'!$I$4:$I$203,$A102,'Báo giá'!$T$4:$T$203,"x"))</f>
        <v/>
      </c>
      <c r="F102" s="39" t="str">
        <f aca="false">IF($A102="","",IFERROR($E102/$D102,""))</f>
        <v/>
      </c>
      <c r="G102" s="38" t="str">
        <f aca="false">IF($A102="","",COUNTIFS(PO!$H$4:$H$203,$A102))</f>
        <v/>
      </c>
      <c r="H102" s="38" t="str">
        <f aca="false">IF($A102="","",SUMIFS(PO!$L$4:$L$203,PO!$H$4:$H$203,$A102))</f>
        <v/>
      </c>
      <c r="I102" s="38" t="str">
        <f aca="false">IF($A102="","",SUMIFS(PO!$N$4:$N$203,PO!$H$4:$H$203,$A102))</f>
        <v/>
      </c>
      <c r="J102" s="38" t="str">
        <f aca="false">IF($A102="","",COUNTIFS(PO!$H$4:$H$203,$A102,PO!$S$4:$S$203,"Đúng hạn")+COUNTIFS(PO!$H$4:$H$203,$A102,PO!$S$4:$S$203,"Giao trễ")+COUNTIFS(PO!$H$4:$H$203,$A102,PO!$S$4:$S$203,"Trễ hạn"))</f>
        <v/>
      </c>
      <c r="K102" s="38" t="str">
        <f aca="false">IF($A102="","",COUNTIFS(PO!$H$4:$H$203,$A102,PO!$S$4:$S$203,"Đúng hạn"))</f>
        <v/>
      </c>
      <c r="L102" s="39" t="str">
        <f aca="false">IF($A102="","",IFERROR($K102/$J102,""))</f>
        <v/>
      </c>
      <c r="M102" s="38" t="str">
        <f aca="false">IF($A102="","",SUMIFS(PO!$U$4:$U$203,PO!$H$4:$H$203,$A102))</f>
        <v/>
      </c>
      <c r="N102" s="38" t="str">
        <f aca="false">IF($A102="","",SUMIFS(PO!$V$4:$V$203,PO!$H$4:$H$203,$A102))</f>
        <v/>
      </c>
      <c r="O102" s="39" t="str">
        <f aca="false">IF($A102="","",IFERROR($N102/$M102,""))</f>
        <v/>
      </c>
      <c r="P102" s="38" t="str">
        <f aca="false">IF($A102="","",SUMIFS('Thanh toán'!$H$4:$H$203,'Thanh toán'!$E$4:$E$203,$A102))</f>
        <v/>
      </c>
      <c r="Q102" s="38" t="str">
        <f aca="false">IF($A102="","",SUMIFS('Công nợ'!$I$4:$I$203,'Công nợ'!$D$4:$D$203,$A102))</f>
        <v/>
      </c>
      <c r="R102" s="38" t="str">
        <f aca="false">IF($A102="","",SUMIFS('Công nợ'!$I$4:$I$203,'Công nợ'!$D$4:$D$203,$A102,'Công nợ'!$K$4:$K$203,"&gt;0"))</f>
        <v/>
      </c>
    </row>
    <row r="103" customFormat="false" ht="15" hidden="false" customHeight="false" outlineLevel="0" collapsed="false">
      <c r="A103" s="37" t="str">
        <f aca="false">IF('Nhà cung cấp'!$A103="","",'Nhà cung cấp'!$A103)</f>
        <v/>
      </c>
      <c r="B103" s="37" t="str">
        <f aca="false">IF($A103="","",'Nhà cung cấp'!$B103)</f>
        <v/>
      </c>
      <c r="C103" s="37" t="str">
        <f aca="false">IF($A103="","",'Nhà cung cấp'!$H103)</f>
        <v/>
      </c>
      <c r="D103" s="38" t="str">
        <f aca="false">IF($A103="","",COUNTIFS('Báo giá'!$I$4:$I$203,$A103))</f>
        <v/>
      </c>
      <c r="E103" s="38" t="str">
        <f aca="false">IF($A103="","",COUNTIFS('Báo giá'!$I$4:$I$203,$A103,'Báo giá'!$T$4:$T$203,"x"))</f>
        <v/>
      </c>
      <c r="F103" s="39" t="str">
        <f aca="false">IF($A103="","",IFERROR($E103/$D103,""))</f>
        <v/>
      </c>
      <c r="G103" s="38" t="str">
        <f aca="false">IF($A103="","",COUNTIFS(PO!$H$4:$H$203,$A103))</f>
        <v/>
      </c>
      <c r="H103" s="38" t="str">
        <f aca="false">IF($A103="","",SUMIFS(PO!$L$4:$L$203,PO!$H$4:$H$203,$A103))</f>
        <v/>
      </c>
      <c r="I103" s="38" t="str">
        <f aca="false">IF($A103="","",SUMIFS(PO!$N$4:$N$203,PO!$H$4:$H$203,$A103))</f>
        <v/>
      </c>
      <c r="J103" s="38" t="str">
        <f aca="false">IF($A103="","",COUNTIFS(PO!$H$4:$H$203,$A103,PO!$S$4:$S$203,"Đúng hạn")+COUNTIFS(PO!$H$4:$H$203,$A103,PO!$S$4:$S$203,"Giao trễ")+COUNTIFS(PO!$H$4:$H$203,$A103,PO!$S$4:$S$203,"Trễ hạn"))</f>
        <v/>
      </c>
      <c r="K103" s="38" t="str">
        <f aca="false">IF($A103="","",COUNTIFS(PO!$H$4:$H$203,$A103,PO!$S$4:$S$203,"Đúng hạn"))</f>
        <v/>
      </c>
      <c r="L103" s="39" t="str">
        <f aca="false">IF($A103="","",IFERROR($K103/$J103,""))</f>
        <v/>
      </c>
      <c r="M103" s="38" t="str">
        <f aca="false">IF($A103="","",SUMIFS(PO!$U$4:$U$203,PO!$H$4:$H$203,$A103))</f>
        <v/>
      </c>
      <c r="N103" s="38" t="str">
        <f aca="false">IF($A103="","",SUMIFS(PO!$V$4:$V$203,PO!$H$4:$H$203,$A103))</f>
        <v/>
      </c>
      <c r="O103" s="39" t="str">
        <f aca="false">IF($A103="","",IFERROR($N103/$M103,""))</f>
        <v/>
      </c>
      <c r="P103" s="38" t="str">
        <f aca="false">IF($A103="","",SUMIFS('Thanh toán'!$H$4:$H$203,'Thanh toán'!$E$4:$E$203,$A103))</f>
        <v/>
      </c>
      <c r="Q103" s="38" t="str">
        <f aca="false">IF($A103="","",SUMIFS('Công nợ'!$I$4:$I$203,'Công nợ'!$D$4:$D$203,$A103))</f>
        <v/>
      </c>
      <c r="R103" s="38" t="str">
        <f aca="false">IF($A103="","",SUMIFS('Công nợ'!$I$4:$I$203,'Công nợ'!$D$4:$D$203,$A103,'Công nợ'!$K$4:$K$203,"&gt;0"))</f>
        <v/>
      </c>
    </row>
    <row r="104" customFormat="false" ht="15" hidden="false" customHeight="false" outlineLevel="0" collapsed="false">
      <c r="A104" s="37" t="str">
        <f aca="false">IF('Nhà cung cấp'!$A104="","",'Nhà cung cấp'!$A104)</f>
        <v/>
      </c>
      <c r="B104" s="37" t="str">
        <f aca="false">IF($A104="","",'Nhà cung cấp'!$B104)</f>
        <v/>
      </c>
      <c r="C104" s="37" t="str">
        <f aca="false">IF($A104="","",'Nhà cung cấp'!$H104)</f>
        <v/>
      </c>
      <c r="D104" s="38" t="str">
        <f aca="false">IF($A104="","",COUNTIFS('Báo giá'!$I$4:$I$203,$A104))</f>
        <v/>
      </c>
      <c r="E104" s="38" t="str">
        <f aca="false">IF($A104="","",COUNTIFS('Báo giá'!$I$4:$I$203,$A104,'Báo giá'!$T$4:$T$203,"x"))</f>
        <v/>
      </c>
      <c r="F104" s="39" t="str">
        <f aca="false">IF($A104="","",IFERROR($E104/$D104,""))</f>
        <v/>
      </c>
      <c r="G104" s="38" t="str">
        <f aca="false">IF($A104="","",COUNTIFS(PO!$H$4:$H$203,$A104))</f>
        <v/>
      </c>
      <c r="H104" s="38" t="str">
        <f aca="false">IF($A104="","",SUMIFS(PO!$L$4:$L$203,PO!$H$4:$H$203,$A104))</f>
        <v/>
      </c>
      <c r="I104" s="38" t="str">
        <f aca="false">IF($A104="","",SUMIFS(PO!$N$4:$N$203,PO!$H$4:$H$203,$A104))</f>
        <v/>
      </c>
      <c r="J104" s="38" t="str">
        <f aca="false">IF($A104="","",COUNTIFS(PO!$H$4:$H$203,$A104,PO!$S$4:$S$203,"Đúng hạn")+COUNTIFS(PO!$H$4:$H$203,$A104,PO!$S$4:$S$203,"Giao trễ")+COUNTIFS(PO!$H$4:$H$203,$A104,PO!$S$4:$S$203,"Trễ hạn"))</f>
        <v/>
      </c>
      <c r="K104" s="38" t="str">
        <f aca="false">IF($A104="","",COUNTIFS(PO!$H$4:$H$203,$A104,PO!$S$4:$S$203,"Đúng hạn"))</f>
        <v/>
      </c>
      <c r="L104" s="39" t="str">
        <f aca="false">IF($A104="","",IFERROR($K104/$J104,""))</f>
        <v/>
      </c>
      <c r="M104" s="38" t="str">
        <f aca="false">IF($A104="","",SUMIFS(PO!$U$4:$U$203,PO!$H$4:$H$203,$A104))</f>
        <v/>
      </c>
      <c r="N104" s="38" t="str">
        <f aca="false">IF($A104="","",SUMIFS(PO!$V$4:$V$203,PO!$H$4:$H$203,$A104))</f>
        <v/>
      </c>
      <c r="O104" s="39" t="str">
        <f aca="false">IF($A104="","",IFERROR($N104/$M104,""))</f>
        <v/>
      </c>
      <c r="P104" s="38" t="str">
        <f aca="false">IF($A104="","",SUMIFS('Thanh toán'!$H$4:$H$203,'Thanh toán'!$E$4:$E$203,$A104))</f>
        <v/>
      </c>
      <c r="Q104" s="38" t="str">
        <f aca="false">IF($A104="","",SUMIFS('Công nợ'!$I$4:$I$203,'Công nợ'!$D$4:$D$203,$A104))</f>
        <v/>
      </c>
      <c r="R104" s="38" t="str">
        <f aca="false">IF($A104="","",SUMIFS('Công nợ'!$I$4:$I$203,'Công nợ'!$D$4:$D$203,$A104,'Công nợ'!$K$4:$K$203,"&gt;0"))</f>
        <v/>
      </c>
    </row>
    <row r="105" customFormat="false" ht="15" hidden="false" customHeight="false" outlineLevel="0" collapsed="false">
      <c r="A105" s="37" t="str">
        <f aca="false">IF('Nhà cung cấp'!$A105="","",'Nhà cung cấp'!$A105)</f>
        <v/>
      </c>
      <c r="B105" s="37" t="str">
        <f aca="false">IF($A105="","",'Nhà cung cấp'!$B105)</f>
        <v/>
      </c>
      <c r="C105" s="37" t="str">
        <f aca="false">IF($A105="","",'Nhà cung cấp'!$H105)</f>
        <v/>
      </c>
      <c r="D105" s="38" t="str">
        <f aca="false">IF($A105="","",COUNTIFS('Báo giá'!$I$4:$I$203,$A105))</f>
        <v/>
      </c>
      <c r="E105" s="38" t="str">
        <f aca="false">IF($A105="","",COUNTIFS('Báo giá'!$I$4:$I$203,$A105,'Báo giá'!$T$4:$T$203,"x"))</f>
        <v/>
      </c>
      <c r="F105" s="39" t="str">
        <f aca="false">IF($A105="","",IFERROR($E105/$D105,""))</f>
        <v/>
      </c>
      <c r="G105" s="38" t="str">
        <f aca="false">IF($A105="","",COUNTIFS(PO!$H$4:$H$203,$A105))</f>
        <v/>
      </c>
      <c r="H105" s="38" t="str">
        <f aca="false">IF($A105="","",SUMIFS(PO!$L$4:$L$203,PO!$H$4:$H$203,$A105))</f>
        <v/>
      </c>
      <c r="I105" s="38" t="str">
        <f aca="false">IF($A105="","",SUMIFS(PO!$N$4:$N$203,PO!$H$4:$H$203,$A105))</f>
        <v/>
      </c>
      <c r="J105" s="38" t="str">
        <f aca="false">IF($A105="","",COUNTIFS(PO!$H$4:$H$203,$A105,PO!$S$4:$S$203,"Đúng hạn")+COUNTIFS(PO!$H$4:$H$203,$A105,PO!$S$4:$S$203,"Giao trễ")+COUNTIFS(PO!$H$4:$H$203,$A105,PO!$S$4:$S$203,"Trễ hạn"))</f>
        <v/>
      </c>
      <c r="K105" s="38" t="str">
        <f aca="false">IF($A105="","",COUNTIFS(PO!$H$4:$H$203,$A105,PO!$S$4:$S$203,"Đúng hạn"))</f>
        <v/>
      </c>
      <c r="L105" s="39" t="str">
        <f aca="false">IF($A105="","",IFERROR($K105/$J105,""))</f>
        <v/>
      </c>
      <c r="M105" s="38" t="str">
        <f aca="false">IF($A105="","",SUMIFS(PO!$U$4:$U$203,PO!$H$4:$H$203,$A105))</f>
        <v/>
      </c>
      <c r="N105" s="38" t="str">
        <f aca="false">IF($A105="","",SUMIFS(PO!$V$4:$V$203,PO!$H$4:$H$203,$A105))</f>
        <v/>
      </c>
      <c r="O105" s="39" t="str">
        <f aca="false">IF($A105="","",IFERROR($N105/$M105,""))</f>
        <v/>
      </c>
      <c r="P105" s="38" t="str">
        <f aca="false">IF($A105="","",SUMIFS('Thanh toán'!$H$4:$H$203,'Thanh toán'!$E$4:$E$203,$A105))</f>
        <v/>
      </c>
      <c r="Q105" s="38" t="str">
        <f aca="false">IF($A105="","",SUMIFS('Công nợ'!$I$4:$I$203,'Công nợ'!$D$4:$D$203,$A105))</f>
        <v/>
      </c>
      <c r="R105" s="38" t="str">
        <f aca="false">IF($A105="","",SUMIFS('Công nợ'!$I$4:$I$203,'Công nợ'!$D$4:$D$203,$A105,'Công nợ'!$K$4:$K$203,"&gt;0"))</f>
        <v/>
      </c>
    </row>
    <row r="106" customFormat="false" ht="15" hidden="false" customHeight="false" outlineLevel="0" collapsed="false">
      <c r="A106" s="37" t="str">
        <f aca="false">IF('Nhà cung cấp'!$A106="","",'Nhà cung cấp'!$A106)</f>
        <v/>
      </c>
      <c r="B106" s="37" t="str">
        <f aca="false">IF($A106="","",'Nhà cung cấp'!$B106)</f>
        <v/>
      </c>
      <c r="C106" s="37" t="str">
        <f aca="false">IF($A106="","",'Nhà cung cấp'!$H106)</f>
        <v/>
      </c>
      <c r="D106" s="38" t="str">
        <f aca="false">IF($A106="","",COUNTIFS('Báo giá'!$I$4:$I$203,$A106))</f>
        <v/>
      </c>
      <c r="E106" s="38" t="str">
        <f aca="false">IF($A106="","",COUNTIFS('Báo giá'!$I$4:$I$203,$A106,'Báo giá'!$T$4:$T$203,"x"))</f>
        <v/>
      </c>
      <c r="F106" s="39" t="str">
        <f aca="false">IF($A106="","",IFERROR($E106/$D106,""))</f>
        <v/>
      </c>
      <c r="G106" s="38" t="str">
        <f aca="false">IF($A106="","",COUNTIFS(PO!$H$4:$H$203,$A106))</f>
        <v/>
      </c>
      <c r="H106" s="38" t="str">
        <f aca="false">IF($A106="","",SUMIFS(PO!$L$4:$L$203,PO!$H$4:$H$203,$A106))</f>
        <v/>
      </c>
      <c r="I106" s="38" t="str">
        <f aca="false">IF($A106="","",SUMIFS(PO!$N$4:$N$203,PO!$H$4:$H$203,$A106))</f>
        <v/>
      </c>
      <c r="J106" s="38" t="str">
        <f aca="false">IF($A106="","",COUNTIFS(PO!$H$4:$H$203,$A106,PO!$S$4:$S$203,"Đúng hạn")+COUNTIFS(PO!$H$4:$H$203,$A106,PO!$S$4:$S$203,"Giao trễ")+COUNTIFS(PO!$H$4:$H$203,$A106,PO!$S$4:$S$203,"Trễ hạn"))</f>
        <v/>
      </c>
      <c r="K106" s="38" t="str">
        <f aca="false">IF($A106="","",COUNTIFS(PO!$H$4:$H$203,$A106,PO!$S$4:$S$203,"Đúng hạn"))</f>
        <v/>
      </c>
      <c r="L106" s="39" t="str">
        <f aca="false">IF($A106="","",IFERROR($K106/$J106,""))</f>
        <v/>
      </c>
      <c r="M106" s="38" t="str">
        <f aca="false">IF($A106="","",SUMIFS(PO!$U$4:$U$203,PO!$H$4:$H$203,$A106))</f>
        <v/>
      </c>
      <c r="N106" s="38" t="str">
        <f aca="false">IF($A106="","",SUMIFS(PO!$V$4:$V$203,PO!$H$4:$H$203,$A106))</f>
        <v/>
      </c>
      <c r="O106" s="39" t="str">
        <f aca="false">IF($A106="","",IFERROR($N106/$M106,""))</f>
        <v/>
      </c>
      <c r="P106" s="38" t="str">
        <f aca="false">IF($A106="","",SUMIFS('Thanh toán'!$H$4:$H$203,'Thanh toán'!$E$4:$E$203,$A106))</f>
        <v/>
      </c>
      <c r="Q106" s="38" t="str">
        <f aca="false">IF($A106="","",SUMIFS('Công nợ'!$I$4:$I$203,'Công nợ'!$D$4:$D$203,$A106))</f>
        <v/>
      </c>
      <c r="R106" s="38" t="str">
        <f aca="false">IF($A106="","",SUMIFS('Công nợ'!$I$4:$I$203,'Công nợ'!$D$4:$D$203,$A106,'Công nợ'!$K$4:$K$203,"&gt;0"))</f>
        <v/>
      </c>
    </row>
    <row r="107" customFormat="false" ht="15" hidden="false" customHeight="false" outlineLevel="0" collapsed="false">
      <c r="A107" s="37" t="str">
        <f aca="false">IF('Nhà cung cấp'!$A107="","",'Nhà cung cấp'!$A107)</f>
        <v/>
      </c>
      <c r="B107" s="37" t="str">
        <f aca="false">IF($A107="","",'Nhà cung cấp'!$B107)</f>
        <v/>
      </c>
      <c r="C107" s="37" t="str">
        <f aca="false">IF($A107="","",'Nhà cung cấp'!$H107)</f>
        <v/>
      </c>
      <c r="D107" s="38" t="str">
        <f aca="false">IF($A107="","",COUNTIFS('Báo giá'!$I$4:$I$203,$A107))</f>
        <v/>
      </c>
      <c r="E107" s="38" t="str">
        <f aca="false">IF($A107="","",COUNTIFS('Báo giá'!$I$4:$I$203,$A107,'Báo giá'!$T$4:$T$203,"x"))</f>
        <v/>
      </c>
      <c r="F107" s="39" t="str">
        <f aca="false">IF($A107="","",IFERROR($E107/$D107,""))</f>
        <v/>
      </c>
      <c r="G107" s="38" t="str">
        <f aca="false">IF($A107="","",COUNTIFS(PO!$H$4:$H$203,$A107))</f>
        <v/>
      </c>
      <c r="H107" s="38" t="str">
        <f aca="false">IF($A107="","",SUMIFS(PO!$L$4:$L$203,PO!$H$4:$H$203,$A107))</f>
        <v/>
      </c>
      <c r="I107" s="38" t="str">
        <f aca="false">IF($A107="","",SUMIFS(PO!$N$4:$N$203,PO!$H$4:$H$203,$A107))</f>
        <v/>
      </c>
      <c r="J107" s="38" t="str">
        <f aca="false">IF($A107="","",COUNTIFS(PO!$H$4:$H$203,$A107,PO!$S$4:$S$203,"Đúng hạn")+COUNTIFS(PO!$H$4:$H$203,$A107,PO!$S$4:$S$203,"Giao trễ")+COUNTIFS(PO!$H$4:$H$203,$A107,PO!$S$4:$S$203,"Trễ hạn"))</f>
        <v/>
      </c>
      <c r="K107" s="38" t="str">
        <f aca="false">IF($A107="","",COUNTIFS(PO!$H$4:$H$203,$A107,PO!$S$4:$S$203,"Đúng hạn"))</f>
        <v/>
      </c>
      <c r="L107" s="39" t="str">
        <f aca="false">IF($A107="","",IFERROR($K107/$J107,""))</f>
        <v/>
      </c>
      <c r="M107" s="38" t="str">
        <f aca="false">IF($A107="","",SUMIFS(PO!$U$4:$U$203,PO!$H$4:$H$203,$A107))</f>
        <v/>
      </c>
      <c r="N107" s="38" t="str">
        <f aca="false">IF($A107="","",SUMIFS(PO!$V$4:$V$203,PO!$H$4:$H$203,$A107))</f>
        <v/>
      </c>
      <c r="O107" s="39" t="str">
        <f aca="false">IF($A107="","",IFERROR($N107/$M107,""))</f>
        <v/>
      </c>
      <c r="P107" s="38" t="str">
        <f aca="false">IF($A107="","",SUMIFS('Thanh toán'!$H$4:$H$203,'Thanh toán'!$E$4:$E$203,$A107))</f>
        <v/>
      </c>
      <c r="Q107" s="38" t="str">
        <f aca="false">IF($A107="","",SUMIFS('Công nợ'!$I$4:$I$203,'Công nợ'!$D$4:$D$203,$A107))</f>
        <v/>
      </c>
      <c r="R107" s="38" t="str">
        <f aca="false">IF($A107="","",SUMIFS('Công nợ'!$I$4:$I$203,'Công nợ'!$D$4:$D$203,$A107,'Công nợ'!$K$4:$K$203,"&gt;0"))</f>
        <v/>
      </c>
    </row>
    <row r="108" customFormat="false" ht="15" hidden="false" customHeight="false" outlineLevel="0" collapsed="false">
      <c r="A108" s="37" t="str">
        <f aca="false">IF('Nhà cung cấp'!$A108="","",'Nhà cung cấp'!$A108)</f>
        <v/>
      </c>
      <c r="B108" s="37" t="str">
        <f aca="false">IF($A108="","",'Nhà cung cấp'!$B108)</f>
        <v/>
      </c>
      <c r="C108" s="37" t="str">
        <f aca="false">IF($A108="","",'Nhà cung cấp'!$H108)</f>
        <v/>
      </c>
      <c r="D108" s="38" t="str">
        <f aca="false">IF($A108="","",COUNTIFS('Báo giá'!$I$4:$I$203,$A108))</f>
        <v/>
      </c>
      <c r="E108" s="38" t="str">
        <f aca="false">IF($A108="","",COUNTIFS('Báo giá'!$I$4:$I$203,$A108,'Báo giá'!$T$4:$T$203,"x"))</f>
        <v/>
      </c>
      <c r="F108" s="39" t="str">
        <f aca="false">IF($A108="","",IFERROR($E108/$D108,""))</f>
        <v/>
      </c>
      <c r="G108" s="38" t="str">
        <f aca="false">IF($A108="","",COUNTIFS(PO!$H$4:$H$203,$A108))</f>
        <v/>
      </c>
      <c r="H108" s="38" t="str">
        <f aca="false">IF($A108="","",SUMIFS(PO!$L$4:$L$203,PO!$H$4:$H$203,$A108))</f>
        <v/>
      </c>
      <c r="I108" s="38" t="str">
        <f aca="false">IF($A108="","",SUMIFS(PO!$N$4:$N$203,PO!$H$4:$H$203,$A108))</f>
        <v/>
      </c>
      <c r="J108" s="38" t="str">
        <f aca="false">IF($A108="","",COUNTIFS(PO!$H$4:$H$203,$A108,PO!$S$4:$S$203,"Đúng hạn")+COUNTIFS(PO!$H$4:$H$203,$A108,PO!$S$4:$S$203,"Giao trễ")+COUNTIFS(PO!$H$4:$H$203,$A108,PO!$S$4:$S$203,"Trễ hạn"))</f>
        <v/>
      </c>
      <c r="K108" s="38" t="str">
        <f aca="false">IF($A108="","",COUNTIFS(PO!$H$4:$H$203,$A108,PO!$S$4:$S$203,"Đúng hạn"))</f>
        <v/>
      </c>
      <c r="L108" s="39" t="str">
        <f aca="false">IF($A108="","",IFERROR($K108/$J108,""))</f>
        <v/>
      </c>
      <c r="M108" s="38" t="str">
        <f aca="false">IF($A108="","",SUMIFS(PO!$U$4:$U$203,PO!$H$4:$H$203,$A108))</f>
        <v/>
      </c>
      <c r="N108" s="38" t="str">
        <f aca="false">IF($A108="","",SUMIFS(PO!$V$4:$V$203,PO!$H$4:$H$203,$A108))</f>
        <v/>
      </c>
      <c r="O108" s="39" t="str">
        <f aca="false">IF($A108="","",IFERROR($N108/$M108,""))</f>
        <v/>
      </c>
      <c r="P108" s="38" t="str">
        <f aca="false">IF($A108="","",SUMIFS('Thanh toán'!$H$4:$H$203,'Thanh toán'!$E$4:$E$203,$A108))</f>
        <v/>
      </c>
      <c r="Q108" s="38" t="str">
        <f aca="false">IF($A108="","",SUMIFS('Công nợ'!$I$4:$I$203,'Công nợ'!$D$4:$D$203,$A108))</f>
        <v/>
      </c>
      <c r="R108" s="38" t="str">
        <f aca="false">IF($A108="","",SUMIFS('Công nợ'!$I$4:$I$203,'Công nợ'!$D$4:$D$203,$A108,'Công nợ'!$K$4:$K$203,"&gt;0"))</f>
        <v/>
      </c>
    </row>
    <row r="109" customFormat="false" ht="15" hidden="false" customHeight="false" outlineLevel="0" collapsed="false">
      <c r="A109" s="37" t="str">
        <f aca="false">IF('Nhà cung cấp'!$A109="","",'Nhà cung cấp'!$A109)</f>
        <v/>
      </c>
      <c r="B109" s="37" t="str">
        <f aca="false">IF($A109="","",'Nhà cung cấp'!$B109)</f>
        <v/>
      </c>
      <c r="C109" s="37" t="str">
        <f aca="false">IF($A109="","",'Nhà cung cấp'!$H109)</f>
        <v/>
      </c>
      <c r="D109" s="38" t="str">
        <f aca="false">IF($A109="","",COUNTIFS('Báo giá'!$I$4:$I$203,$A109))</f>
        <v/>
      </c>
      <c r="E109" s="38" t="str">
        <f aca="false">IF($A109="","",COUNTIFS('Báo giá'!$I$4:$I$203,$A109,'Báo giá'!$T$4:$T$203,"x"))</f>
        <v/>
      </c>
      <c r="F109" s="39" t="str">
        <f aca="false">IF($A109="","",IFERROR($E109/$D109,""))</f>
        <v/>
      </c>
      <c r="G109" s="38" t="str">
        <f aca="false">IF($A109="","",COUNTIFS(PO!$H$4:$H$203,$A109))</f>
        <v/>
      </c>
      <c r="H109" s="38" t="str">
        <f aca="false">IF($A109="","",SUMIFS(PO!$L$4:$L$203,PO!$H$4:$H$203,$A109))</f>
        <v/>
      </c>
      <c r="I109" s="38" t="str">
        <f aca="false">IF($A109="","",SUMIFS(PO!$N$4:$N$203,PO!$H$4:$H$203,$A109))</f>
        <v/>
      </c>
      <c r="J109" s="38" t="str">
        <f aca="false">IF($A109="","",COUNTIFS(PO!$H$4:$H$203,$A109,PO!$S$4:$S$203,"Đúng hạn")+COUNTIFS(PO!$H$4:$H$203,$A109,PO!$S$4:$S$203,"Giao trễ")+COUNTIFS(PO!$H$4:$H$203,$A109,PO!$S$4:$S$203,"Trễ hạn"))</f>
        <v/>
      </c>
      <c r="K109" s="38" t="str">
        <f aca="false">IF($A109="","",COUNTIFS(PO!$H$4:$H$203,$A109,PO!$S$4:$S$203,"Đúng hạn"))</f>
        <v/>
      </c>
      <c r="L109" s="39" t="str">
        <f aca="false">IF($A109="","",IFERROR($K109/$J109,""))</f>
        <v/>
      </c>
      <c r="M109" s="38" t="str">
        <f aca="false">IF($A109="","",SUMIFS(PO!$U$4:$U$203,PO!$H$4:$H$203,$A109))</f>
        <v/>
      </c>
      <c r="N109" s="38" t="str">
        <f aca="false">IF($A109="","",SUMIFS(PO!$V$4:$V$203,PO!$H$4:$H$203,$A109))</f>
        <v/>
      </c>
      <c r="O109" s="39" t="str">
        <f aca="false">IF($A109="","",IFERROR($N109/$M109,""))</f>
        <v/>
      </c>
      <c r="P109" s="38" t="str">
        <f aca="false">IF($A109="","",SUMIFS('Thanh toán'!$H$4:$H$203,'Thanh toán'!$E$4:$E$203,$A109))</f>
        <v/>
      </c>
      <c r="Q109" s="38" t="str">
        <f aca="false">IF($A109="","",SUMIFS('Công nợ'!$I$4:$I$203,'Công nợ'!$D$4:$D$203,$A109))</f>
        <v/>
      </c>
      <c r="R109" s="38" t="str">
        <f aca="false">IF($A109="","",SUMIFS('Công nợ'!$I$4:$I$203,'Công nợ'!$D$4:$D$203,$A109,'Công nợ'!$K$4:$K$203,"&gt;0"))</f>
        <v/>
      </c>
    </row>
    <row r="110" customFormat="false" ht="15" hidden="false" customHeight="false" outlineLevel="0" collapsed="false">
      <c r="A110" s="37" t="str">
        <f aca="false">IF('Nhà cung cấp'!$A110="","",'Nhà cung cấp'!$A110)</f>
        <v/>
      </c>
      <c r="B110" s="37" t="str">
        <f aca="false">IF($A110="","",'Nhà cung cấp'!$B110)</f>
        <v/>
      </c>
      <c r="C110" s="37" t="str">
        <f aca="false">IF($A110="","",'Nhà cung cấp'!$H110)</f>
        <v/>
      </c>
      <c r="D110" s="38" t="str">
        <f aca="false">IF($A110="","",COUNTIFS('Báo giá'!$I$4:$I$203,$A110))</f>
        <v/>
      </c>
      <c r="E110" s="38" t="str">
        <f aca="false">IF($A110="","",COUNTIFS('Báo giá'!$I$4:$I$203,$A110,'Báo giá'!$T$4:$T$203,"x"))</f>
        <v/>
      </c>
      <c r="F110" s="39" t="str">
        <f aca="false">IF($A110="","",IFERROR($E110/$D110,""))</f>
        <v/>
      </c>
      <c r="G110" s="38" t="str">
        <f aca="false">IF($A110="","",COUNTIFS(PO!$H$4:$H$203,$A110))</f>
        <v/>
      </c>
      <c r="H110" s="38" t="str">
        <f aca="false">IF($A110="","",SUMIFS(PO!$L$4:$L$203,PO!$H$4:$H$203,$A110))</f>
        <v/>
      </c>
      <c r="I110" s="38" t="str">
        <f aca="false">IF($A110="","",SUMIFS(PO!$N$4:$N$203,PO!$H$4:$H$203,$A110))</f>
        <v/>
      </c>
      <c r="J110" s="38" t="str">
        <f aca="false">IF($A110="","",COUNTIFS(PO!$H$4:$H$203,$A110,PO!$S$4:$S$203,"Đúng hạn")+COUNTIFS(PO!$H$4:$H$203,$A110,PO!$S$4:$S$203,"Giao trễ")+COUNTIFS(PO!$H$4:$H$203,$A110,PO!$S$4:$S$203,"Trễ hạn"))</f>
        <v/>
      </c>
      <c r="K110" s="38" t="str">
        <f aca="false">IF($A110="","",COUNTIFS(PO!$H$4:$H$203,$A110,PO!$S$4:$S$203,"Đúng hạn"))</f>
        <v/>
      </c>
      <c r="L110" s="39" t="str">
        <f aca="false">IF($A110="","",IFERROR($K110/$J110,""))</f>
        <v/>
      </c>
      <c r="M110" s="38" t="str">
        <f aca="false">IF($A110="","",SUMIFS(PO!$U$4:$U$203,PO!$H$4:$H$203,$A110))</f>
        <v/>
      </c>
      <c r="N110" s="38" t="str">
        <f aca="false">IF($A110="","",SUMIFS(PO!$V$4:$V$203,PO!$H$4:$H$203,$A110))</f>
        <v/>
      </c>
      <c r="O110" s="39" t="str">
        <f aca="false">IF($A110="","",IFERROR($N110/$M110,""))</f>
        <v/>
      </c>
      <c r="P110" s="38" t="str">
        <f aca="false">IF($A110="","",SUMIFS('Thanh toán'!$H$4:$H$203,'Thanh toán'!$E$4:$E$203,$A110))</f>
        <v/>
      </c>
      <c r="Q110" s="38" t="str">
        <f aca="false">IF($A110="","",SUMIFS('Công nợ'!$I$4:$I$203,'Công nợ'!$D$4:$D$203,$A110))</f>
        <v/>
      </c>
      <c r="R110" s="38" t="str">
        <f aca="false">IF($A110="","",SUMIFS('Công nợ'!$I$4:$I$203,'Công nợ'!$D$4:$D$203,$A110,'Công nợ'!$K$4:$K$203,"&gt;0"))</f>
        <v/>
      </c>
    </row>
    <row r="111" customFormat="false" ht="15" hidden="false" customHeight="false" outlineLevel="0" collapsed="false">
      <c r="A111" s="37" t="str">
        <f aca="false">IF('Nhà cung cấp'!$A111="","",'Nhà cung cấp'!$A111)</f>
        <v/>
      </c>
      <c r="B111" s="37" t="str">
        <f aca="false">IF($A111="","",'Nhà cung cấp'!$B111)</f>
        <v/>
      </c>
      <c r="C111" s="37" t="str">
        <f aca="false">IF($A111="","",'Nhà cung cấp'!$H111)</f>
        <v/>
      </c>
      <c r="D111" s="38" t="str">
        <f aca="false">IF($A111="","",COUNTIFS('Báo giá'!$I$4:$I$203,$A111))</f>
        <v/>
      </c>
      <c r="E111" s="38" t="str">
        <f aca="false">IF($A111="","",COUNTIFS('Báo giá'!$I$4:$I$203,$A111,'Báo giá'!$T$4:$T$203,"x"))</f>
        <v/>
      </c>
      <c r="F111" s="39" t="str">
        <f aca="false">IF($A111="","",IFERROR($E111/$D111,""))</f>
        <v/>
      </c>
      <c r="G111" s="38" t="str">
        <f aca="false">IF($A111="","",COUNTIFS(PO!$H$4:$H$203,$A111))</f>
        <v/>
      </c>
      <c r="H111" s="38" t="str">
        <f aca="false">IF($A111="","",SUMIFS(PO!$L$4:$L$203,PO!$H$4:$H$203,$A111))</f>
        <v/>
      </c>
      <c r="I111" s="38" t="str">
        <f aca="false">IF($A111="","",SUMIFS(PO!$N$4:$N$203,PO!$H$4:$H$203,$A111))</f>
        <v/>
      </c>
      <c r="J111" s="38" t="str">
        <f aca="false">IF($A111="","",COUNTIFS(PO!$H$4:$H$203,$A111,PO!$S$4:$S$203,"Đúng hạn")+COUNTIFS(PO!$H$4:$H$203,$A111,PO!$S$4:$S$203,"Giao trễ")+COUNTIFS(PO!$H$4:$H$203,$A111,PO!$S$4:$S$203,"Trễ hạn"))</f>
        <v/>
      </c>
      <c r="K111" s="38" t="str">
        <f aca="false">IF($A111="","",COUNTIFS(PO!$H$4:$H$203,$A111,PO!$S$4:$S$203,"Đúng hạn"))</f>
        <v/>
      </c>
      <c r="L111" s="39" t="str">
        <f aca="false">IF($A111="","",IFERROR($K111/$J111,""))</f>
        <v/>
      </c>
      <c r="M111" s="38" t="str">
        <f aca="false">IF($A111="","",SUMIFS(PO!$U$4:$U$203,PO!$H$4:$H$203,$A111))</f>
        <v/>
      </c>
      <c r="N111" s="38" t="str">
        <f aca="false">IF($A111="","",SUMIFS(PO!$V$4:$V$203,PO!$H$4:$H$203,$A111))</f>
        <v/>
      </c>
      <c r="O111" s="39" t="str">
        <f aca="false">IF($A111="","",IFERROR($N111/$M111,""))</f>
        <v/>
      </c>
      <c r="P111" s="38" t="str">
        <f aca="false">IF($A111="","",SUMIFS('Thanh toán'!$H$4:$H$203,'Thanh toán'!$E$4:$E$203,$A111))</f>
        <v/>
      </c>
      <c r="Q111" s="38" t="str">
        <f aca="false">IF($A111="","",SUMIFS('Công nợ'!$I$4:$I$203,'Công nợ'!$D$4:$D$203,$A111))</f>
        <v/>
      </c>
      <c r="R111" s="38" t="str">
        <f aca="false">IF($A111="","",SUMIFS('Công nợ'!$I$4:$I$203,'Công nợ'!$D$4:$D$203,$A111,'Công nợ'!$K$4:$K$203,"&gt;0"))</f>
        <v/>
      </c>
    </row>
    <row r="112" customFormat="false" ht="15" hidden="false" customHeight="false" outlineLevel="0" collapsed="false">
      <c r="A112" s="37" t="str">
        <f aca="false">IF('Nhà cung cấp'!$A112="","",'Nhà cung cấp'!$A112)</f>
        <v/>
      </c>
      <c r="B112" s="37" t="str">
        <f aca="false">IF($A112="","",'Nhà cung cấp'!$B112)</f>
        <v/>
      </c>
      <c r="C112" s="37" t="str">
        <f aca="false">IF($A112="","",'Nhà cung cấp'!$H112)</f>
        <v/>
      </c>
      <c r="D112" s="38" t="str">
        <f aca="false">IF($A112="","",COUNTIFS('Báo giá'!$I$4:$I$203,$A112))</f>
        <v/>
      </c>
      <c r="E112" s="38" t="str">
        <f aca="false">IF($A112="","",COUNTIFS('Báo giá'!$I$4:$I$203,$A112,'Báo giá'!$T$4:$T$203,"x"))</f>
        <v/>
      </c>
      <c r="F112" s="39" t="str">
        <f aca="false">IF($A112="","",IFERROR($E112/$D112,""))</f>
        <v/>
      </c>
      <c r="G112" s="38" t="str">
        <f aca="false">IF($A112="","",COUNTIFS(PO!$H$4:$H$203,$A112))</f>
        <v/>
      </c>
      <c r="H112" s="38" t="str">
        <f aca="false">IF($A112="","",SUMIFS(PO!$L$4:$L$203,PO!$H$4:$H$203,$A112))</f>
        <v/>
      </c>
      <c r="I112" s="38" t="str">
        <f aca="false">IF($A112="","",SUMIFS(PO!$N$4:$N$203,PO!$H$4:$H$203,$A112))</f>
        <v/>
      </c>
      <c r="J112" s="38" t="str">
        <f aca="false">IF($A112="","",COUNTIFS(PO!$H$4:$H$203,$A112,PO!$S$4:$S$203,"Đúng hạn")+COUNTIFS(PO!$H$4:$H$203,$A112,PO!$S$4:$S$203,"Giao trễ")+COUNTIFS(PO!$H$4:$H$203,$A112,PO!$S$4:$S$203,"Trễ hạn"))</f>
        <v/>
      </c>
      <c r="K112" s="38" t="str">
        <f aca="false">IF($A112="","",COUNTIFS(PO!$H$4:$H$203,$A112,PO!$S$4:$S$203,"Đúng hạn"))</f>
        <v/>
      </c>
      <c r="L112" s="39" t="str">
        <f aca="false">IF($A112="","",IFERROR($K112/$J112,""))</f>
        <v/>
      </c>
      <c r="M112" s="38" t="str">
        <f aca="false">IF($A112="","",SUMIFS(PO!$U$4:$U$203,PO!$H$4:$H$203,$A112))</f>
        <v/>
      </c>
      <c r="N112" s="38" t="str">
        <f aca="false">IF($A112="","",SUMIFS(PO!$V$4:$V$203,PO!$H$4:$H$203,$A112))</f>
        <v/>
      </c>
      <c r="O112" s="39" t="str">
        <f aca="false">IF($A112="","",IFERROR($N112/$M112,""))</f>
        <v/>
      </c>
      <c r="P112" s="38" t="str">
        <f aca="false">IF($A112="","",SUMIFS('Thanh toán'!$H$4:$H$203,'Thanh toán'!$E$4:$E$203,$A112))</f>
        <v/>
      </c>
      <c r="Q112" s="38" t="str">
        <f aca="false">IF($A112="","",SUMIFS('Công nợ'!$I$4:$I$203,'Công nợ'!$D$4:$D$203,$A112))</f>
        <v/>
      </c>
      <c r="R112" s="38" t="str">
        <f aca="false">IF($A112="","",SUMIFS('Công nợ'!$I$4:$I$203,'Công nợ'!$D$4:$D$203,$A112,'Công nợ'!$K$4:$K$203,"&gt;0"))</f>
        <v/>
      </c>
    </row>
    <row r="113" customFormat="false" ht="15" hidden="false" customHeight="false" outlineLevel="0" collapsed="false">
      <c r="A113" s="37" t="str">
        <f aca="false">IF('Nhà cung cấp'!$A113="","",'Nhà cung cấp'!$A113)</f>
        <v/>
      </c>
      <c r="B113" s="37" t="str">
        <f aca="false">IF($A113="","",'Nhà cung cấp'!$B113)</f>
        <v/>
      </c>
      <c r="C113" s="37" t="str">
        <f aca="false">IF($A113="","",'Nhà cung cấp'!$H113)</f>
        <v/>
      </c>
      <c r="D113" s="38" t="str">
        <f aca="false">IF($A113="","",COUNTIFS('Báo giá'!$I$4:$I$203,$A113))</f>
        <v/>
      </c>
      <c r="E113" s="38" t="str">
        <f aca="false">IF($A113="","",COUNTIFS('Báo giá'!$I$4:$I$203,$A113,'Báo giá'!$T$4:$T$203,"x"))</f>
        <v/>
      </c>
      <c r="F113" s="39" t="str">
        <f aca="false">IF($A113="","",IFERROR($E113/$D113,""))</f>
        <v/>
      </c>
      <c r="G113" s="38" t="str">
        <f aca="false">IF($A113="","",COUNTIFS(PO!$H$4:$H$203,$A113))</f>
        <v/>
      </c>
      <c r="H113" s="38" t="str">
        <f aca="false">IF($A113="","",SUMIFS(PO!$L$4:$L$203,PO!$H$4:$H$203,$A113))</f>
        <v/>
      </c>
      <c r="I113" s="38" t="str">
        <f aca="false">IF($A113="","",SUMIFS(PO!$N$4:$N$203,PO!$H$4:$H$203,$A113))</f>
        <v/>
      </c>
      <c r="J113" s="38" t="str">
        <f aca="false">IF($A113="","",COUNTIFS(PO!$H$4:$H$203,$A113,PO!$S$4:$S$203,"Đúng hạn")+COUNTIFS(PO!$H$4:$H$203,$A113,PO!$S$4:$S$203,"Giao trễ")+COUNTIFS(PO!$H$4:$H$203,$A113,PO!$S$4:$S$203,"Trễ hạn"))</f>
        <v/>
      </c>
      <c r="K113" s="38" t="str">
        <f aca="false">IF($A113="","",COUNTIFS(PO!$H$4:$H$203,$A113,PO!$S$4:$S$203,"Đúng hạn"))</f>
        <v/>
      </c>
      <c r="L113" s="39" t="str">
        <f aca="false">IF($A113="","",IFERROR($K113/$J113,""))</f>
        <v/>
      </c>
      <c r="M113" s="38" t="str">
        <f aca="false">IF($A113="","",SUMIFS(PO!$U$4:$U$203,PO!$H$4:$H$203,$A113))</f>
        <v/>
      </c>
      <c r="N113" s="38" t="str">
        <f aca="false">IF($A113="","",SUMIFS(PO!$V$4:$V$203,PO!$H$4:$H$203,$A113))</f>
        <v/>
      </c>
      <c r="O113" s="39" t="str">
        <f aca="false">IF($A113="","",IFERROR($N113/$M113,""))</f>
        <v/>
      </c>
      <c r="P113" s="38" t="str">
        <f aca="false">IF($A113="","",SUMIFS('Thanh toán'!$H$4:$H$203,'Thanh toán'!$E$4:$E$203,$A113))</f>
        <v/>
      </c>
      <c r="Q113" s="38" t="str">
        <f aca="false">IF($A113="","",SUMIFS('Công nợ'!$I$4:$I$203,'Công nợ'!$D$4:$D$203,$A113))</f>
        <v/>
      </c>
      <c r="R113" s="38" t="str">
        <f aca="false">IF($A113="","",SUMIFS('Công nợ'!$I$4:$I$203,'Công nợ'!$D$4:$D$203,$A113,'Công nợ'!$K$4:$K$203,"&gt;0"))</f>
        <v/>
      </c>
    </row>
    <row r="114" customFormat="false" ht="15" hidden="false" customHeight="false" outlineLevel="0" collapsed="false">
      <c r="A114" s="37" t="str">
        <f aca="false">IF('Nhà cung cấp'!$A114="","",'Nhà cung cấp'!$A114)</f>
        <v/>
      </c>
      <c r="B114" s="37" t="str">
        <f aca="false">IF($A114="","",'Nhà cung cấp'!$B114)</f>
        <v/>
      </c>
      <c r="C114" s="37" t="str">
        <f aca="false">IF($A114="","",'Nhà cung cấp'!$H114)</f>
        <v/>
      </c>
      <c r="D114" s="38" t="str">
        <f aca="false">IF($A114="","",COUNTIFS('Báo giá'!$I$4:$I$203,$A114))</f>
        <v/>
      </c>
      <c r="E114" s="38" t="str">
        <f aca="false">IF($A114="","",COUNTIFS('Báo giá'!$I$4:$I$203,$A114,'Báo giá'!$T$4:$T$203,"x"))</f>
        <v/>
      </c>
      <c r="F114" s="39" t="str">
        <f aca="false">IF($A114="","",IFERROR($E114/$D114,""))</f>
        <v/>
      </c>
      <c r="G114" s="38" t="str">
        <f aca="false">IF($A114="","",COUNTIFS(PO!$H$4:$H$203,$A114))</f>
        <v/>
      </c>
      <c r="H114" s="38" t="str">
        <f aca="false">IF($A114="","",SUMIFS(PO!$L$4:$L$203,PO!$H$4:$H$203,$A114))</f>
        <v/>
      </c>
      <c r="I114" s="38" t="str">
        <f aca="false">IF($A114="","",SUMIFS(PO!$N$4:$N$203,PO!$H$4:$H$203,$A114))</f>
        <v/>
      </c>
      <c r="J114" s="38" t="str">
        <f aca="false">IF($A114="","",COUNTIFS(PO!$H$4:$H$203,$A114,PO!$S$4:$S$203,"Đúng hạn")+COUNTIFS(PO!$H$4:$H$203,$A114,PO!$S$4:$S$203,"Giao trễ")+COUNTIFS(PO!$H$4:$H$203,$A114,PO!$S$4:$S$203,"Trễ hạn"))</f>
        <v/>
      </c>
      <c r="K114" s="38" t="str">
        <f aca="false">IF($A114="","",COUNTIFS(PO!$H$4:$H$203,$A114,PO!$S$4:$S$203,"Đúng hạn"))</f>
        <v/>
      </c>
      <c r="L114" s="39" t="str">
        <f aca="false">IF($A114="","",IFERROR($K114/$J114,""))</f>
        <v/>
      </c>
      <c r="M114" s="38" t="str">
        <f aca="false">IF($A114="","",SUMIFS(PO!$U$4:$U$203,PO!$H$4:$H$203,$A114))</f>
        <v/>
      </c>
      <c r="N114" s="38" t="str">
        <f aca="false">IF($A114="","",SUMIFS(PO!$V$4:$V$203,PO!$H$4:$H$203,$A114))</f>
        <v/>
      </c>
      <c r="O114" s="39" t="str">
        <f aca="false">IF($A114="","",IFERROR($N114/$M114,""))</f>
        <v/>
      </c>
      <c r="P114" s="38" t="str">
        <f aca="false">IF($A114="","",SUMIFS('Thanh toán'!$H$4:$H$203,'Thanh toán'!$E$4:$E$203,$A114))</f>
        <v/>
      </c>
      <c r="Q114" s="38" t="str">
        <f aca="false">IF($A114="","",SUMIFS('Công nợ'!$I$4:$I$203,'Công nợ'!$D$4:$D$203,$A114))</f>
        <v/>
      </c>
      <c r="R114" s="38" t="str">
        <f aca="false">IF($A114="","",SUMIFS('Công nợ'!$I$4:$I$203,'Công nợ'!$D$4:$D$203,$A114,'Công nợ'!$K$4:$K$203,"&gt;0"))</f>
        <v/>
      </c>
    </row>
    <row r="115" customFormat="false" ht="15" hidden="false" customHeight="false" outlineLevel="0" collapsed="false">
      <c r="A115" s="37" t="str">
        <f aca="false">IF('Nhà cung cấp'!$A115="","",'Nhà cung cấp'!$A115)</f>
        <v/>
      </c>
      <c r="B115" s="37" t="str">
        <f aca="false">IF($A115="","",'Nhà cung cấp'!$B115)</f>
        <v/>
      </c>
      <c r="C115" s="37" t="str">
        <f aca="false">IF($A115="","",'Nhà cung cấp'!$H115)</f>
        <v/>
      </c>
      <c r="D115" s="38" t="str">
        <f aca="false">IF($A115="","",COUNTIFS('Báo giá'!$I$4:$I$203,$A115))</f>
        <v/>
      </c>
      <c r="E115" s="38" t="str">
        <f aca="false">IF($A115="","",COUNTIFS('Báo giá'!$I$4:$I$203,$A115,'Báo giá'!$T$4:$T$203,"x"))</f>
        <v/>
      </c>
      <c r="F115" s="39" t="str">
        <f aca="false">IF($A115="","",IFERROR($E115/$D115,""))</f>
        <v/>
      </c>
      <c r="G115" s="38" t="str">
        <f aca="false">IF($A115="","",COUNTIFS(PO!$H$4:$H$203,$A115))</f>
        <v/>
      </c>
      <c r="H115" s="38" t="str">
        <f aca="false">IF($A115="","",SUMIFS(PO!$L$4:$L$203,PO!$H$4:$H$203,$A115))</f>
        <v/>
      </c>
      <c r="I115" s="38" t="str">
        <f aca="false">IF($A115="","",SUMIFS(PO!$N$4:$N$203,PO!$H$4:$H$203,$A115))</f>
        <v/>
      </c>
      <c r="J115" s="38" t="str">
        <f aca="false">IF($A115="","",COUNTIFS(PO!$H$4:$H$203,$A115,PO!$S$4:$S$203,"Đúng hạn")+COUNTIFS(PO!$H$4:$H$203,$A115,PO!$S$4:$S$203,"Giao trễ")+COUNTIFS(PO!$H$4:$H$203,$A115,PO!$S$4:$S$203,"Trễ hạn"))</f>
        <v/>
      </c>
      <c r="K115" s="38" t="str">
        <f aca="false">IF($A115="","",COUNTIFS(PO!$H$4:$H$203,$A115,PO!$S$4:$S$203,"Đúng hạn"))</f>
        <v/>
      </c>
      <c r="L115" s="39" t="str">
        <f aca="false">IF($A115="","",IFERROR($K115/$J115,""))</f>
        <v/>
      </c>
      <c r="M115" s="38" t="str">
        <f aca="false">IF($A115="","",SUMIFS(PO!$U$4:$U$203,PO!$H$4:$H$203,$A115))</f>
        <v/>
      </c>
      <c r="N115" s="38" t="str">
        <f aca="false">IF($A115="","",SUMIFS(PO!$V$4:$V$203,PO!$H$4:$H$203,$A115))</f>
        <v/>
      </c>
      <c r="O115" s="39" t="str">
        <f aca="false">IF($A115="","",IFERROR($N115/$M115,""))</f>
        <v/>
      </c>
      <c r="P115" s="38" t="str">
        <f aca="false">IF($A115="","",SUMIFS('Thanh toán'!$H$4:$H$203,'Thanh toán'!$E$4:$E$203,$A115))</f>
        <v/>
      </c>
      <c r="Q115" s="38" t="str">
        <f aca="false">IF($A115="","",SUMIFS('Công nợ'!$I$4:$I$203,'Công nợ'!$D$4:$D$203,$A115))</f>
        <v/>
      </c>
      <c r="R115" s="38" t="str">
        <f aca="false">IF($A115="","",SUMIFS('Công nợ'!$I$4:$I$203,'Công nợ'!$D$4:$D$203,$A115,'Công nợ'!$K$4:$K$203,"&gt;0"))</f>
        <v/>
      </c>
    </row>
    <row r="116" customFormat="false" ht="15" hidden="false" customHeight="false" outlineLevel="0" collapsed="false">
      <c r="A116" s="37" t="str">
        <f aca="false">IF('Nhà cung cấp'!$A116="","",'Nhà cung cấp'!$A116)</f>
        <v/>
      </c>
      <c r="B116" s="37" t="str">
        <f aca="false">IF($A116="","",'Nhà cung cấp'!$B116)</f>
        <v/>
      </c>
      <c r="C116" s="37" t="str">
        <f aca="false">IF($A116="","",'Nhà cung cấp'!$H116)</f>
        <v/>
      </c>
      <c r="D116" s="38" t="str">
        <f aca="false">IF($A116="","",COUNTIFS('Báo giá'!$I$4:$I$203,$A116))</f>
        <v/>
      </c>
      <c r="E116" s="38" t="str">
        <f aca="false">IF($A116="","",COUNTIFS('Báo giá'!$I$4:$I$203,$A116,'Báo giá'!$T$4:$T$203,"x"))</f>
        <v/>
      </c>
      <c r="F116" s="39" t="str">
        <f aca="false">IF($A116="","",IFERROR($E116/$D116,""))</f>
        <v/>
      </c>
      <c r="G116" s="38" t="str">
        <f aca="false">IF($A116="","",COUNTIFS(PO!$H$4:$H$203,$A116))</f>
        <v/>
      </c>
      <c r="H116" s="38" t="str">
        <f aca="false">IF($A116="","",SUMIFS(PO!$L$4:$L$203,PO!$H$4:$H$203,$A116))</f>
        <v/>
      </c>
      <c r="I116" s="38" t="str">
        <f aca="false">IF($A116="","",SUMIFS(PO!$N$4:$N$203,PO!$H$4:$H$203,$A116))</f>
        <v/>
      </c>
      <c r="J116" s="38" t="str">
        <f aca="false">IF($A116="","",COUNTIFS(PO!$H$4:$H$203,$A116,PO!$S$4:$S$203,"Đúng hạn")+COUNTIFS(PO!$H$4:$H$203,$A116,PO!$S$4:$S$203,"Giao trễ")+COUNTIFS(PO!$H$4:$H$203,$A116,PO!$S$4:$S$203,"Trễ hạn"))</f>
        <v/>
      </c>
      <c r="K116" s="38" t="str">
        <f aca="false">IF($A116="","",COUNTIFS(PO!$H$4:$H$203,$A116,PO!$S$4:$S$203,"Đúng hạn"))</f>
        <v/>
      </c>
      <c r="L116" s="39" t="str">
        <f aca="false">IF($A116="","",IFERROR($K116/$J116,""))</f>
        <v/>
      </c>
      <c r="M116" s="38" t="str">
        <f aca="false">IF($A116="","",SUMIFS(PO!$U$4:$U$203,PO!$H$4:$H$203,$A116))</f>
        <v/>
      </c>
      <c r="N116" s="38" t="str">
        <f aca="false">IF($A116="","",SUMIFS(PO!$V$4:$V$203,PO!$H$4:$H$203,$A116))</f>
        <v/>
      </c>
      <c r="O116" s="39" t="str">
        <f aca="false">IF($A116="","",IFERROR($N116/$M116,""))</f>
        <v/>
      </c>
      <c r="P116" s="38" t="str">
        <f aca="false">IF($A116="","",SUMIFS('Thanh toán'!$H$4:$H$203,'Thanh toán'!$E$4:$E$203,$A116))</f>
        <v/>
      </c>
      <c r="Q116" s="38" t="str">
        <f aca="false">IF($A116="","",SUMIFS('Công nợ'!$I$4:$I$203,'Công nợ'!$D$4:$D$203,$A116))</f>
        <v/>
      </c>
      <c r="R116" s="38" t="str">
        <f aca="false">IF($A116="","",SUMIFS('Công nợ'!$I$4:$I$203,'Công nợ'!$D$4:$D$203,$A116,'Công nợ'!$K$4:$K$203,"&gt;0"))</f>
        <v/>
      </c>
    </row>
    <row r="117" customFormat="false" ht="15" hidden="false" customHeight="false" outlineLevel="0" collapsed="false">
      <c r="A117" s="37" t="str">
        <f aca="false">IF('Nhà cung cấp'!$A117="","",'Nhà cung cấp'!$A117)</f>
        <v/>
      </c>
      <c r="B117" s="37" t="str">
        <f aca="false">IF($A117="","",'Nhà cung cấp'!$B117)</f>
        <v/>
      </c>
      <c r="C117" s="37" t="str">
        <f aca="false">IF($A117="","",'Nhà cung cấp'!$H117)</f>
        <v/>
      </c>
      <c r="D117" s="38" t="str">
        <f aca="false">IF($A117="","",COUNTIFS('Báo giá'!$I$4:$I$203,$A117))</f>
        <v/>
      </c>
      <c r="E117" s="38" t="str">
        <f aca="false">IF($A117="","",COUNTIFS('Báo giá'!$I$4:$I$203,$A117,'Báo giá'!$T$4:$T$203,"x"))</f>
        <v/>
      </c>
      <c r="F117" s="39" t="str">
        <f aca="false">IF($A117="","",IFERROR($E117/$D117,""))</f>
        <v/>
      </c>
      <c r="G117" s="38" t="str">
        <f aca="false">IF($A117="","",COUNTIFS(PO!$H$4:$H$203,$A117))</f>
        <v/>
      </c>
      <c r="H117" s="38" t="str">
        <f aca="false">IF($A117="","",SUMIFS(PO!$L$4:$L$203,PO!$H$4:$H$203,$A117))</f>
        <v/>
      </c>
      <c r="I117" s="38" t="str">
        <f aca="false">IF($A117="","",SUMIFS(PO!$N$4:$N$203,PO!$H$4:$H$203,$A117))</f>
        <v/>
      </c>
      <c r="J117" s="38" t="str">
        <f aca="false">IF($A117="","",COUNTIFS(PO!$H$4:$H$203,$A117,PO!$S$4:$S$203,"Đúng hạn")+COUNTIFS(PO!$H$4:$H$203,$A117,PO!$S$4:$S$203,"Giao trễ")+COUNTIFS(PO!$H$4:$H$203,$A117,PO!$S$4:$S$203,"Trễ hạn"))</f>
        <v/>
      </c>
      <c r="K117" s="38" t="str">
        <f aca="false">IF($A117="","",COUNTIFS(PO!$H$4:$H$203,$A117,PO!$S$4:$S$203,"Đúng hạn"))</f>
        <v/>
      </c>
      <c r="L117" s="39" t="str">
        <f aca="false">IF($A117="","",IFERROR($K117/$J117,""))</f>
        <v/>
      </c>
      <c r="M117" s="38" t="str">
        <f aca="false">IF($A117="","",SUMIFS(PO!$U$4:$U$203,PO!$H$4:$H$203,$A117))</f>
        <v/>
      </c>
      <c r="N117" s="38" t="str">
        <f aca="false">IF($A117="","",SUMIFS(PO!$V$4:$V$203,PO!$H$4:$H$203,$A117))</f>
        <v/>
      </c>
      <c r="O117" s="39" t="str">
        <f aca="false">IF($A117="","",IFERROR($N117/$M117,""))</f>
        <v/>
      </c>
      <c r="P117" s="38" t="str">
        <f aca="false">IF($A117="","",SUMIFS('Thanh toán'!$H$4:$H$203,'Thanh toán'!$E$4:$E$203,$A117))</f>
        <v/>
      </c>
      <c r="Q117" s="38" t="str">
        <f aca="false">IF($A117="","",SUMIFS('Công nợ'!$I$4:$I$203,'Công nợ'!$D$4:$D$203,$A117))</f>
        <v/>
      </c>
      <c r="R117" s="38" t="str">
        <f aca="false">IF($A117="","",SUMIFS('Công nợ'!$I$4:$I$203,'Công nợ'!$D$4:$D$203,$A117,'Công nợ'!$K$4:$K$203,"&gt;0"))</f>
        <v/>
      </c>
    </row>
    <row r="118" customFormat="false" ht="15" hidden="false" customHeight="false" outlineLevel="0" collapsed="false">
      <c r="A118" s="37" t="str">
        <f aca="false">IF('Nhà cung cấp'!$A118="","",'Nhà cung cấp'!$A118)</f>
        <v/>
      </c>
      <c r="B118" s="37" t="str">
        <f aca="false">IF($A118="","",'Nhà cung cấp'!$B118)</f>
        <v/>
      </c>
      <c r="C118" s="37" t="str">
        <f aca="false">IF($A118="","",'Nhà cung cấp'!$H118)</f>
        <v/>
      </c>
      <c r="D118" s="38" t="str">
        <f aca="false">IF($A118="","",COUNTIFS('Báo giá'!$I$4:$I$203,$A118))</f>
        <v/>
      </c>
      <c r="E118" s="38" t="str">
        <f aca="false">IF($A118="","",COUNTIFS('Báo giá'!$I$4:$I$203,$A118,'Báo giá'!$T$4:$T$203,"x"))</f>
        <v/>
      </c>
      <c r="F118" s="39" t="str">
        <f aca="false">IF($A118="","",IFERROR($E118/$D118,""))</f>
        <v/>
      </c>
      <c r="G118" s="38" t="str">
        <f aca="false">IF($A118="","",COUNTIFS(PO!$H$4:$H$203,$A118))</f>
        <v/>
      </c>
      <c r="H118" s="38" t="str">
        <f aca="false">IF($A118="","",SUMIFS(PO!$L$4:$L$203,PO!$H$4:$H$203,$A118))</f>
        <v/>
      </c>
      <c r="I118" s="38" t="str">
        <f aca="false">IF($A118="","",SUMIFS(PO!$N$4:$N$203,PO!$H$4:$H$203,$A118))</f>
        <v/>
      </c>
      <c r="J118" s="38" t="str">
        <f aca="false">IF($A118="","",COUNTIFS(PO!$H$4:$H$203,$A118,PO!$S$4:$S$203,"Đúng hạn")+COUNTIFS(PO!$H$4:$H$203,$A118,PO!$S$4:$S$203,"Giao trễ")+COUNTIFS(PO!$H$4:$H$203,$A118,PO!$S$4:$S$203,"Trễ hạn"))</f>
        <v/>
      </c>
      <c r="K118" s="38" t="str">
        <f aca="false">IF($A118="","",COUNTIFS(PO!$H$4:$H$203,$A118,PO!$S$4:$S$203,"Đúng hạn"))</f>
        <v/>
      </c>
      <c r="L118" s="39" t="str">
        <f aca="false">IF($A118="","",IFERROR($K118/$J118,""))</f>
        <v/>
      </c>
      <c r="M118" s="38" t="str">
        <f aca="false">IF($A118="","",SUMIFS(PO!$U$4:$U$203,PO!$H$4:$H$203,$A118))</f>
        <v/>
      </c>
      <c r="N118" s="38" t="str">
        <f aca="false">IF($A118="","",SUMIFS(PO!$V$4:$V$203,PO!$H$4:$H$203,$A118))</f>
        <v/>
      </c>
      <c r="O118" s="39" t="str">
        <f aca="false">IF($A118="","",IFERROR($N118/$M118,""))</f>
        <v/>
      </c>
      <c r="P118" s="38" t="str">
        <f aca="false">IF($A118="","",SUMIFS('Thanh toán'!$H$4:$H$203,'Thanh toán'!$E$4:$E$203,$A118))</f>
        <v/>
      </c>
      <c r="Q118" s="38" t="str">
        <f aca="false">IF($A118="","",SUMIFS('Công nợ'!$I$4:$I$203,'Công nợ'!$D$4:$D$203,$A118))</f>
        <v/>
      </c>
      <c r="R118" s="38" t="str">
        <f aca="false">IF($A118="","",SUMIFS('Công nợ'!$I$4:$I$203,'Công nợ'!$D$4:$D$203,$A118,'Công nợ'!$K$4:$K$203,"&gt;0"))</f>
        <v/>
      </c>
    </row>
    <row r="119" customFormat="false" ht="15" hidden="false" customHeight="false" outlineLevel="0" collapsed="false">
      <c r="A119" s="37" t="str">
        <f aca="false">IF('Nhà cung cấp'!$A119="","",'Nhà cung cấp'!$A119)</f>
        <v/>
      </c>
      <c r="B119" s="37" t="str">
        <f aca="false">IF($A119="","",'Nhà cung cấp'!$B119)</f>
        <v/>
      </c>
      <c r="C119" s="37" t="str">
        <f aca="false">IF($A119="","",'Nhà cung cấp'!$H119)</f>
        <v/>
      </c>
      <c r="D119" s="38" t="str">
        <f aca="false">IF($A119="","",COUNTIFS('Báo giá'!$I$4:$I$203,$A119))</f>
        <v/>
      </c>
      <c r="E119" s="38" t="str">
        <f aca="false">IF($A119="","",COUNTIFS('Báo giá'!$I$4:$I$203,$A119,'Báo giá'!$T$4:$T$203,"x"))</f>
        <v/>
      </c>
      <c r="F119" s="39" t="str">
        <f aca="false">IF($A119="","",IFERROR($E119/$D119,""))</f>
        <v/>
      </c>
      <c r="G119" s="38" t="str">
        <f aca="false">IF($A119="","",COUNTIFS(PO!$H$4:$H$203,$A119))</f>
        <v/>
      </c>
      <c r="H119" s="38" t="str">
        <f aca="false">IF($A119="","",SUMIFS(PO!$L$4:$L$203,PO!$H$4:$H$203,$A119))</f>
        <v/>
      </c>
      <c r="I119" s="38" t="str">
        <f aca="false">IF($A119="","",SUMIFS(PO!$N$4:$N$203,PO!$H$4:$H$203,$A119))</f>
        <v/>
      </c>
      <c r="J119" s="38" t="str">
        <f aca="false">IF($A119="","",COUNTIFS(PO!$H$4:$H$203,$A119,PO!$S$4:$S$203,"Đúng hạn")+COUNTIFS(PO!$H$4:$H$203,$A119,PO!$S$4:$S$203,"Giao trễ")+COUNTIFS(PO!$H$4:$H$203,$A119,PO!$S$4:$S$203,"Trễ hạn"))</f>
        <v/>
      </c>
      <c r="K119" s="38" t="str">
        <f aca="false">IF($A119="","",COUNTIFS(PO!$H$4:$H$203,$A119,PO!$S$4:$S$203,"Đúng hạn"))</f>
        <v/>
      </c>
      <c r="L119" s="39" t="str">
        <f aca="false">IF($A119="","",IFERROR($K119/$J119,""))</f>
        <v/>
      </c>
      <c r="M119" s="38" t="str">
        <f aca="false">IF($A119="","",SUMIFS(PO!$U$4:$U$203,PO!$H$4:$H$203,$A119))</f>
        <v/>
      </c>
      <c r="N119" s="38" t="str">
        <f aca="false">IF($A119="","",SUMIFS(PO!$V$4:$V$203,PO!$H$4:$H$203,$A119))</f>
        <v/>
      </c>
      <c r="O119" s="39" t="str">
        <f aca="false">IF($A119="","",IFERROR($N119/$M119,""))</f>
        <v/>
      </c>
      <c r="P119" s="38" t="str">
        <f aca="false">IF($A119="","",SUMIFS('Thanh toán'!$H$4:$H$203,'Thanh toán'!$E$4:$E$203,$A119))</f>
        <v/>
      </c>
      <c r="Q119" s="38" t="str">
        <f aca="false">IF($A119="","",SUMIFS('Công nợ'!$I$4:$I$203,'Công nợ'!$D$4:$D$203,$A119))</f>
        <v/>
      </c>
      <c r="R119" s="38" t="str">
        <f aca="false">IF($A119="","",SUMIFS('Công nợ'!$I$4:$I$203,'Công nợ'!$D$4:$D$203,$A119,'Công nợ'!$K$4:$K$203,"&gt;0"))</f>
        <v/>
      </c>
    </row>
    <row r="120" customFormat="false" ht="15" hidden="false" customHeight="false" outlineLevel="0" collapsed="false">
      <c r="A120" s="37" t="str">
        <f aca="false">IF('Nhà cung cấp'!$A120="","",'Nhà cung cấp'!$A120)</f>
        <v/>
      </c>
      <c r="B120" s="37" t="str">
        <f aca="false">IF($A120="","",'Nhà cung cấp'!$B120)</f>
        <v/>
      </c>
      <c r="C120" s="37" t="str">
        <f aca="false">IF($A120="","",'Nhà cung cấp'!$H120)</f>
        <v/>
      </c>
      <c r="D120" s="38" t="str">
        <f aca="false">IF($A120="","",COUNTIFS('Báo giá'!$I$4:$I$203,$A120))</f>
        <v/>
      </c>
      <c r="E120" s="38" t="str">
        <f aca="false">IF($A120="","",COUNTIFS('Báo giá'!$I$4:$I$203,$A120,'Báo giá'!$T$4:$T$203,"x"))</f>
        <v/>
      </c>
      <c r="F120" s="39" t="str">
        <f aca="false">IF($A120="","",IFERROR($E120/$D120,""))</f>
        <v/>
      </c>
      <c r="G120" s="38" t="str">
        <f aca="false">IF($A120="","",COUNTIFS(PO!$H$4:$H$203,$A120))</f>
        <v/>
      </c>
      <c r="H120" s="38" t="str">
        <f aca="false">IF($A120="","",SUMIFS(PO!$L$4:$L$203,PO!$H$4:$H$203,$A120))</f>
        <v/>
      </c>
      <c r="I120" s="38" t="str">
        <f aca="false">IF($A120="","",SUMIFS(PO!$N$4:$N$203,PO!$H$4:$H$203,$A120))</f>
        <v/>
      </c>
      <c r="J120" s="38" t="str">
        <f aca="false">IF($A120="","",COUNTIFS(PO!$H$4:$H$203,$A120,PO!$S$4:$S$203,"Đúng hạn")+COUNTIFS(PO!$H$4:$H$203,$A120,PO!$S$4:$S$203,"Giao trễ")+COUNTIFS(PO!$H$4:$H$203,$A120,PO!$S$4:$S$203,"Trễ hạn"))</f>
        <v/>
      </c>
      <c r="K120" s="38" t="str">
        <f aca="false">IF($A120="","",COUNTIFS(PO!$H$4:$H$203,$A120,PO!$S$4:$S$203,"Đúng hạn"))</f>
        <v/>
      </c>
      <c r="L120" s="39" t="str">
        <f aca="false">IF($A120="","",IFERROR($K120/$J120,""))</f>
        <v/>
      </c>
      <c r="M120" s="38" t="str">
        <f aca="false">IF($A120="","",SUMIFS(PO!$U$4:$U$203,PO!$H$4:$H$203,$A120))</f>
        <v/>
      </c>
      <c r="N120" s="38" t="str">
        <f aca="false">IF($A120="","",SUMIFS(PO!$V$4:$V$203,PO!$H$4:$H$203,$A120))</f>
        <v/>
      </c>
      <c r="O120" s="39" t="str">
        <f aca="false">IF($A120="","",IFERROR($N120/$M120,""))</f>
        <v/>
      </c>
      <c r="P120" s="38" t="str">
        <f aca="false">IF($A120="","",SUMIFS('Thanh toán'!$H$4:$H$203,'Thanh toán'!$E$4:$E$203,$A120))</f>
        <v/>
      </c>
      <c r="Q120" s="38" t="str">
        <f aca="false">IF($A120="","",SUMIFS('Công nợ'!$I$4:$I$203,'Công nợ'!$D$4:$D$203,$A120))</f>
        <v/>
      </c>
      <c r="R120" s="38" t="str">
        <f aca="false">IF($A120="","",SUMIFS('Công nợ'!$I$4:$I$203,'Công nợ'!$D$4:$D$203,$A120,'Công nợ'!$K$4:$K$203,"&gt;0"))</f>
        <v/>
      </c>
    </row>
    <row r="121" customFormat="false" ht="15" hidden="false" customHeight="false" outlineLevel="0" collapsed="false">
      <c r="A121" s="37" t="str">
        <f aca="false">IF('Nhà cung cấp'!$A121="","",'Nhà cung cấp'!$A121)</f>
        <v/>
      </c>
      <c r="B121" s="37" t="str">
        <f aca="false">IF($A121="","",'Nhà cung cấp'!$B121)</f>
        <v/>
      </c>
      <c r="C121" s="37" t="str">
        <f aca="false">IF($A121="","",'Nhà cung cấp'!$H121)</f>
        <v/>
      </c>
      <c r="D121" s="38" t="str">
        <f aca="false">IF($A121="","",COUNTIFS('Báo giá'!$I$4:$I$203,$A121))</f>
        <v/>
      </c>
      <c r="E121" s="38" t="str">
        <f aca="false">IF($A121="","",COUNTIFS('Báo giá'!$I$4:$I$203,$A121,'Báo giá'!$T$4:$T$203,"x"))</f>
        <v/>
      </c>
      <c r="F121" s="39" t="str">
        <f aca="false">IF($A121="","",IFERROR($E121/$D121,""))</f>
        <v/>
      </c>
      <c r="G121" s="38" t="str">
        <f aca="false">IF($A121="","",COUNTIFS(PO!$H$4:$H$203,$A121))</f>
        <v/>
      </c>
      <c r="H121" s="38" t="str">
        <f aca="false">IF($A121="","",SUMIFS(PO!$L$4:$L$203,PO!$H$4:$H$203,$A121))</f>
        <v/>
      </c>
      <c r="I121" s="38" t="str">
        <f aca="false">IF($A121="","",SUMIFS(PO!$N$4:$N$203,PO!$H$4:$H$203,$A121))</f>
        <v/>
      </c>
      <c r="J121" s="38" t="str">
        <f aca="false">IF($A121="","",COUNTIFS(PO!$H$4:$H$203,$A121,PO!$S$4:$S$203,"Đúng hạn")+COUNTIFS(PO!$H$4:$H$203,$A121,PO!$S$4:$S$203,"Giao trễ")+COUNTIFS(PO!$H$4:$H$203,$A121,PO!$S$4:$S$203,"Trễ hạn"))</f>
        <v/>
      </c>
      <c r="K121" s="38" t="str">
        <f aca="false">IF($A121="","",COUNTIFS(PO!$H$4:$H$203,$A121,PO!$S$4:$S$203,"Đúng hạn"))</f>
        <v/>
      </c>
      <c r="L121" s="39" t="str">
        <f aca="false">IF($A121="","",IFERROR($K121/$J121,""))</f>
        <v/>
      </c>
      <c r="M121" s="38" t="str">
        <f aca="false">IF($A121="","",SUMIFS(PO!$U$4:$U$203,PO!$H$4:$H$203,$A121))</f>
        <v/>
      </c>
      <c r="N121" s="38" t="str">
        <f aca="false">IF($A121="","",SUMIFS(PO!$V$4:$V$203,PO!$H$4:$H$203,$A121))</f>
        <v/>
      </c>
      <c r="O121" s="39" t="str">
        <f aca="false">IF($A121="","",IFERROR($N121/$M121,""))</f>
        <v/>
      </c>
      <c r="P121" s="38" t="str">
        <f aca="false">IF($A121="","",SUMIFS('Thanh toán'!$H$4:$H$203,'Thanh toán'!$E$4:$E$203,$A121))</f>
        <v/>
      </c>
      <c r="Q121" s="38" t="str">
        <f aca="false">IF($A121="","",SUMIFS('Công nợ'!$I$4:$I$203,'Công nợ'!$D$4:$D$203,$A121))</f>
        <v/>
      </c>
      <c r="R121" s="38" t="str">
        <f aca="false">IF($A121="","",SUMIFS('Công nợ'!$I$4:$I$203,'Công nợ'!$D$4:$D$203,$A121,'Công nợ'!$K$4:$K$203,"&gt;0"))</f>
        <v/>
      </c>
    </row>
    <row r="122" customFormat="false" ht="15" hidden="false" customHeight="false" outlineLevel="0" collapsed="false">
      <c r="A122" s="37" t="str">
        <f aca="false">IF('Nhà cung cấp'!$A122="","",'Nhà cung cấp'!$A122)</f>
        <v/>
      </c>
      <c r="B122" s="37" t="str">
        <f aca="false">IF($A122="","",'Nhà cung cấp'!$B122)</f>
        <v/>
      </c>
      <c r="C122" s="37" t="str">
        <f aca="false">IF($A122="","",'Nhà cung cấp'!$H122)</f>
        <v/>
      </c>
      <c r="D122" s="38" t="str">
        <f aca="false">IF($A122="","",COUNTIFS('Báo giá'!$I$4:$I$203,$A122))</f>
        <v/>
      </c>
      <c r="E122" s="38" t="str">
        <f aca="false">IF($A122="","",COUNTIFS('Báo giá'!$I$4:$I$203,$A122,'Báo giá'!$T$4:$T$203,"x"))</f>
        <v/>
      </c>
      <c r="F122" s="39" t="str">
        <f aca="false">IF($A122="","",IFERROR($E122/$D122,""))</f>
        <v/>
      </c>
      <c r="G122" s="38" t="str">
        <f aca="false">IF($A122="","",COUNTIFS(PO!$H$4:$H$203,$A122))</f>
        <v/>
      </c>
      <c r="H122" s="38" t="str">
        <f aca="false">IF($A122="","",SUMIFS(PO!$L$4:$L$203,PO!$H$4:$H$203,$A122))</f>
        <v/>
      </c>
      <c r="I122" s="38" t="str">
        <f aca="false">IF($A122="","",SUMIFS(PO!$N$4:$N$203,PO!$H$4:$H$203,$A122))</f>
        <v/>
      </c>
      <c r="J122" s="38" t="str">
        <f aca="false">IF($A122="","",COUNTIFS(PO!$H$4:$H$203,$A122,PO!$S$4:$S$203,"Đúng hạn")+COUNTIFS(PO!$H$4:$H$203,$A122,PO!$S$4:$S$203,"Giao trễ")+COUNTIFS(PO!$H$4:$H$203,$A122,PO!$S$4:$S$203,"Trễ hạn"))</f>
        <v/>
      </c>
      <c r="K122" s="38" t="str">
        <f aca="false">IF($A122="","",COUNTIFS(PO!$H$4:$H$203,$A122,PO!$S$4:$S$203,"Đúng hạn"))</f>
        <v/>
      </c>
      <c r="L122" s="39" t="str">
        <f aca="false">IF($A122="","",IFERROR($K122/$J122,""))</f>
        <v/>
      </c>
      <c r="M122" s="38" t="str">
        <f aca="false">IF($A122="","",SUMIFS(PO!$U$4:$U$203,PO!$H$4:$H$203,$A122))</f>
        <v/>
      </c>
      <c r="N122" s="38" t="str">
        <f aca="false">IF($A122="","",SUMIFS(PO!$V$4:$V$203,PO!$H$4:$H$203,$A122))</f>
        <v/>
      </c>
      <c r="O122" s="39" t="str">
        <f aca="false">IF($A122="","",IFERROR($N122/$M122,""))</f>
        <v/>
      </c>
      <c r="P122" s="38" t="str">
        <f aca="false">IF($A122="","",SUMIFS('Thanh toán'!$H$4:$H$203,'Thanh toán'!$E$4:$E$203,$A122))</f>
        <v/>
      </c>
      <c r="Q122" s="38" t="str">
        <f aca="false">IF($A122="","",SUMIFS('Công nợ'!$I$4:$I$203,'Công nợ'!$D$4:$D$203,$A122))</f>
        <v/>
      </c>
      <c r="R122" s="38" t="str">
        <f aca="false">IF($A122="","",SUMIFS('Công nợ'!$I$4:$I$203,'Công nợ'!$D$4:$D$203,$A122,'Công nợ'!$K$4:$K$203,"&gt;0"))</f>
        <v/>
      </c>
    </row>
    <row r="123" customFormat="false" ht="15" hidden="false" customHeight="false" outlineLevel="0" collapsed="false">
      <c r="A123" s="37" t="str">
        <f aca="false">IF('Nhà cung cấp'!$A123="","",'Nhà cung cấp'!$A123)</f>
        <v/>
      </c>
      <c r="B123" s="37" t="str">
        <f aca="false">IF($A123="","",'Nhà cung cấp'!$B123)</f>
        <v/>
      </c>
      <c r="C123" s="37" t="str">
        <f aca="false">IF($A123="","",'Nhà cung cấp'!$H123)</f>
        <v/>
      </c>
      <c r="D123" s="38" t="str">
        <f aca="false">IF($A123="","",COUNTIFS('Báo giá'!$I$4:$I$203,$A123))</f>
        <v/>
      </c>
      <c r="E123" s="38" t="str">
        <f aca="false">IF($A123="","",COUNTIFS('Báo giá'!$I$4:$I$203,$A123,'Báo giá'!$T$4:$T$203,"x"))</f>
        <v/>
      </c>
      <c r="F123" s="39" t="str">
        <f aca="false">IF($A123="","",IFERROR($E123/$D123,""))</f>
        <v/>
      </c>
      <c r="G123" s="38" t="str">
        <f aca="false">IF($A123="","",COUNTIFS(PO!$H$4:$H$203,$A123))</f>
        <v/>
      </c>
      <c r="H123" s="38" t="str">
        <f aca="false">IF($A123="","",SUMIFS(PO!$L$4:$L$203,PO!$H$4:$H$203,$A123))</f>
        <v/>
      </c>
      <c r="I123" s="38" t="str">
        <f aca="false">IF($A123="","",SUMIFS(PO!$N$4:$N$203,PO!$H$4:$H$203,$A123))</f>
        <v/>
      </c>
      <c r="J123" s="38" t="str">
        <f aca="false">IF($A123="","",COUNTIFS(PO!$H$4:$H$203,$A123,PO!$S$4:$S$203,"Đúng hạn")+COUNTIFS(PO!$H$4:$H$203,$A123,PO!$S$4:$S$203,"Giao trễ")+COUNTIFS(PO!$H$4:$H$203,$A123,PO!$S$4:$S$203,"Trễ hạn"))</f>
        <v/>
      </c>
      <c r="K123" s="38" t="str">
        <f aca="false">IF($A123="","",COUNTIFS(PO!$H$4:$H$203,$A123,PO!$S$4:$S$203,"Đúng hạn"))</f>
        <v/>
      </c>
      <c r="L123" s="39" t="str">
        <f aca="false">IF($A123="","",IFERROR($K123/$J123,""))</f>
        <v/>
      </c>
      <c r="M123" s="38" t="str">
        <f aca="false">IF($A123="","",SUMIFS(PO!$U$4:$U$203,PO!$H$4:$H$203,$A123))</f>
        <v/>
      </c>
      <c r="N123" s="38" t="str">
        <f aca="false">IF($A123="","",SUMIFS(PO!$V$4:$V$203,PO!$H$4:$H$203,$A123))</f>
        <v/>
      </c>
      <c r="O123" s="39" t="str">
        <f aca="false">IF($A123="","",IFERROR($N123/$M123,""))</f>
        <v/>
      </c>
      <c r="P123" s="38" t="str">
        <f aca="false">IF($A123="","",SUMIFS('Thanh toán'!$H$4:$H$203,'Thanh toán'!$E$4:$E$203,$A123))</f>
        <v/>
      </c>
      <c r="Q123" s="38" t="str">
        <f aca="false">IF($A123="","",SUMIFS('Công nợ'!$I$4:$I$203,'Công nợ'!$D$4:$D$203,$A123))</f>
        <v/>
      </c>
      <c r="R123" s="38" t="str">
        <f aca="false">IF($A123="","",SUMIFS('Công nợ'!$I$4:$I$203,'Công nợ'!$D$4:$D$203,$A123,'Công nợ'!$K$4:$K$203,"&gt;0"))</f>
        <v/>
      </c>
    </row>
    <row r="124" customFormat="false" ht="15" hidden="false" customHeight="false" outlineLevel="0" collapsed="false">
      <c r="A124" s="37" t="str">
        <f aca="false">IF('Nhà cung cấp'!$A124="","",'Nhà cung cấp'!$A124)</f>
        <v/>
      </c>
      <c r="B124" s="37" t="str">
        <f aca="false">IF($A124="","",'Nhà cung cấp'!$B124)</f>
        <v/>
      </c>
      <c r="C124" s="37" t="str">
        <f aca="false">IF($A124="","",'Nhà cung cấp'!$H124)</f>
        <v/>
      </c>
      <c r="D124" s="38" t="str">
        <f aca="false">IF($A124="","",COUNTIFS('Báo giá'!$I$4:$I$203,$A124))</f>
        <v/>
      </c>
      <c r="E124" s="38" t="str">
        <f aca="false">IF($A124="","",COUNTIFS('Báo giá'!$I$4:$I$203,$A124,'Báo giá'!$T$4:$T$203,"x"))</f>
        <v/>
      </c>
      <c r="F124" s="39" t="str">
        <f aca="false">IF($A124="","",IFERROR($E124/$D124,""))</f>
        <v/>
      </c>
      <c r="G124" s="38" t="str">
        <f aca="false">IF($A124="","",COUNTIFS(PO!$H$4:$H$203,$A124))</f>
        <v/>
      </c>
      <c r="H124" s="38" t="str">
        <f aca="false">IF($A124="","",SUMIFS(PO!$L$4:$L$203,PO!$H$4:$H$203,$A124))</f>
        <v/>
      </c>
      <c r="I124" s="38" t="str">
        <f aca="false">IF($A124="","",SUMIFS(PO!$N$4:$N$203,PO!$H$4:$H$203,$A124))</f>
        <v/>
      </c>
      <c r="J124" s="38" t="str">
        <f aca="false">IF($A124="","",COUNTIFS(PO!$H$4:$H$203,$A124,PO!$S$4:$S$203,"Đúng hạn")+COUNTIFS(PO!$H$4:$H$203,$A124,PO!$S$4:$S$203,"Giao trễ")+COUNTIFS(PO!$H$4:$H$203,$A124,PO!$S$4:$S$203,"Trễ hạn"))</f>
        <v/>
      </c>
      <c r="K124" s="38" t="str">
        <f aca="false">IF($A124="","",COUNTIFS(PO!$H$4:$H$203,$A124,PO!$S$4:$S$203,"Đúng hạn"))</f>
        <v/>
      </c>
      <c r="L124" s="39" t="str">
        <f aca="false">IF($A124="","",IFERROR($K124/$J124,""))</f>
        <v/>
      </c>
      <c r="M124" s="38" t="str">
        <f aca="false">IF($A124="","",SUMIFS(PO!$U$4:$U$203,PO!$H$4:$H$203,$A124))</f>
        <v/>
      </c>
      <c r="N124" s="38" t="str">
        <f aca="false">IF($A124="","",SUMIFS(PO!$V$4:$V$203,PO!$H$4:$H$203,$A124))</f>
        <v/>
      </c>
      <c r="O124" s="39" t="str">
        <f aca="false">IF($A124="","",IFERROR($N124/$M124,""))</f>
        <v/>
      </c>
      <c r="P124" s="38" t="str">
        <f aca="false">IF($A124="","",SUMIFS('Thanh toán'!$H$4:$H$203,'Thanh toán'!$E$4:$E$203,$A124))</f>
        <v/>
      </c>
      <c r="Q124" s="38" t="str">
        <f aca="false">IF($A124="","",SUMIFS('Công nợ'!$I$4:$I$203,'Công nợ'!$D$4:$D$203,$A124))</f>
        <v/>
      </c>
      <c r="R124" s="38" t="str">
        <f aca="false">IF($A124="","",SUMIFS('Công nợ'!$I$4:$I$203,'Công nợ'!$D$4:$D$203,$A124,'Công nợ'!$K$4:$K$203,"&gt;0"))</f>
        <v/>
      </c>
    </row>
    <row r="125" customFormat="false" ht="15" hidden="false" customHeight="false" outlineLevel="0" collapsed="false">
      <c r="A125" s="37" t="str">
        <f aca="false">IF('Nhà cung cấp'!$A125="","",'Nhà cung cấp'!$A125)</f>
        <v/>
      </c>
      <c r="B125" s="37" t="str">
        <f aca="false">IF($A125="","",'Nhà cung cấp'!$B125)</f>
        <v/>
      </c>
      <c r="C125" s="37" t="str">
        <f aca="false">IF($A125="","",'Nhà cung cấp'!$H125)</f>
        <v/>
      </c>
      <c r="D125" s="38" t="str">
        <f aca="false">IF($A125="","",COUNTIFS('Báo giá'!$I$4:$I$203,$A125))</f>
        <v/>
      </c>
      <c r="E125" s="38" t="str">
        <f aca="false">IF($A125="","",COUNTIFS('Báo giá'!$I$4:$I$203,$A125,'Báo giá'!$T$4:$T$203,"x"))</f>
        <v/>
      </c>
      <c r="F125" s="39" t="str">
        <f aca="false">IF($A125="","",IFERROR($E125/$D125,""))</f>
        <v/>
      </c>
      <c r="G125" s="38" t="str">
        <f aca="false">IF($A125="","",COUNTIFS(PO!$H$4:$H$203,$A125))</f>
        <v/>
      </c>
      <c r="H125" s="38" t="str">
        <f aca="false">IF($A125="","",SUMIFS(PO!$L$4:$L$203,PO!$H$4:$H$203,$A125))</f>
        <v/>
      </c>
      <c r="I125" s="38" t="str">
        <f aca="false">IF($A125="","",SUMIFS(PO!$N$4:$N$203,PO!$H$4:$H$203,$A125))</f>
        <v/>
      </c>
      <c r="J125" s="38" t="str">
        <f aca="false">IF($A125="","",COUNTIFS(PO!$H$4:$H$203,$A125,PO!$S$4:$S$203,"Đúng hạn")+COUNTIFS(PO!$H$4:$H$203,$A125,PO!$S$4:$S$203,"Giao trễ")+COUNTIFS(PO!$H$4:$H$203,$A125,PO!$S$4:$S$203,"Trễ hạn"))</f>
        <v/>
      </c>
      <c r="K125" s="38" t="str">
        <f aca="false">IF($A125="","",COUNTIFS(PO!$H$4:$H$203,$A125,PO!$S$4:$S$203,"Đúng hạn"))</f>
        <v/>
      </c>
      <c r="L125" s="39" t="str">
        <f aca="false">IF($A125="","",IFERROR($K125/$J125,""))</f>
        <v/>
      </c>
      <c r="M125" s="38" t="str">
        <f aca="false">IF($A125="","",SUMIFS(PO!$U$4:$U$203,PO!$H$4:$H$203,$A125))</f>
        <v/>
      </c>
      <c r="N125" s="38" t="str">
        <f aca="false">IF($A125="","",SUMIFS(PO!$V$4:$V$203,PO!$H$4:$H$203,$A125))</f>
        <v/>
      </c>
      <c r="O125" s="39" t="str">
        <f aca="false">IF($A125="","",IFERROR($N125/$M125,""))</f>
        <v/>
      </c>
      <c r="P125" s="38" t="str">
        <f aca="false">IF($A125="","",SUMIFS('Thanh toán'!$H$4:$H$203,'Thanh toán'!$E$4:$E$203,$A125))</f>
        <v/>
      </c>
      <c r="Q125" s="38" t="str">
        <f aca="false">IF($A125="","",SUMIFS('Công nợ'!$I$4:$I$203,'Công nợ'!$D$4:$D$203,$A125))</f>
        <v/>
      </c>
      <c r="R125" s="38" t="str">
        <f aca="false">IF($A125="","",SUMIFS('Công nợ'!$I$4:$I$203,'Công nợ'!$D$4:$D$203,$A125,'Công nợ'!$K$4:$K$203,"&gt;0"))</f>
        <v/>
      </c>
    </row>
    <row r="126" customFormat="false" ht="15" hidden="false" customHeight="false" outlineLevel="0" collapsed="false">
      <c r="A126" s="37" t="str">
        <f aca="false">IF('Nhà cung cấp'!$A126="","",'Nhà cung cấp'!$A126)</f>
        <v/>
      </c>
      <c r="B126" s="37" t="str">
        <f aca="false">IF($A126="","",'Nhà cung cấp'!$B126)</f>
        <v/>
      </c>
      <c r="C126" s="37" t="str">
        <f aca="false">IF($A126="","",'Nhà cung cấp'!$H126)</f>
        <v/>
      </c>
      <c r="D126" s="38" t="str">
        <f aca="false">IF($A126="","",COUNTIFS('Báo giá'!$I$4:$I$203,$A126))</f>
        <v/>
      </c>
      <c r="E126" s="38" t="str">
        <f aca="false">IF($A126="","",COUNTIFS('Báo giá'!$I$4:$I$203,$A126,'Báo giá'!$T$4:$T$203,"x"))</f>
        <v/>
      </c>
      <c r="F126" s="39" t="str">
        <f aca="false">IF($A126="","",IFERROR($E126/$D126,""))</f>
        <v/>
      </c>
      <c r="G126" s="38" t="str">
        <f aca="false">IF($A126="","",COUNTIFS(PO!$H$4:$H$203,$A126))</f>
        <v/>
      </c>
      <c r="H126" s="38" t="str">
        <f aca="false">IF($A126="","",SUMIFS(PO!$L$4:$L$203,PO!$H$4:$H$203,$A126))</f>
        <v/>
      </c>
      <c r="I126" s="38" t="str">
        <f aca="false">IF($A126="","",SUMIFS(PO!$N$4:$N$203,PO!$H$4:$H$203,$A126))</f>
        <v/>
      </c>
      <c r="J126" s="38" t="str">
        <f aca="false">IF($A126="","",COUNTIFS(PO!$H$4:$H$203,$A126,PO!$S$4:$S$203,"Đúng hạn")+COUNTIFS(PO!$H$4:$H$203,$A126,PO!$S$4:$S$203,"Giao trễ")+COUNTIFS(PO!$H$4:$H$203,$A126,PO!$S$4:$S$203,"Trễ hạn"))</f>
        <v/>
      </c>
      <c r="K126" s="38" t="str">
        <f aca="false">IF($A126="","",COUNTIFS(PO!$H$4:$H$203,$A126,PO!$S$4:$S$203,"Đúng hạn"))</f>
        <v/>
      </c>
      <c r="L126" s="39" t="str">
        <f aca="false">IF($A126="","",IFERROR($K126/$J126,""))</f>
        <v/>
      </c>
      <c r="M126" s="38" t="str">
        <f aca="false">IF($A126="","",SUMIFS(PO!$U$4:$U$203,PO!$H$4:$H$203,$A126))</f>
        <v/>
      </c>
      <c r="N126" s="38" t="str">
        <f aca="false">IF($A126="","",SUMIFS(PO!$V$4:$V$203,PO!$H$4:$H$203,$A126))</f>
        <v/>
      </c>
      <c r="O126" s="39" t="str">
        <f aca="false">IF($A126="","",IFERROR($N126/$M126,""))</f>
        <v/>
      </c>
      <c r="P126" s="38" t="str">
        <f aca="false">IF($A126="","",SUMIFS('Thanh toán'!$H$4:$H$203,'Thanh toán'!$E$4:$E$203,$A126))</f>
        <v/>
      </c>
      <c r="Q126" s="38" t="str">
        <f aca="false">IF($A126="","",SUMIFS('Công nợ'!$I$4:$I$203,'Công nợ'!$D$4:$D$203,$A126))</f>
        <v/>
      </c>
      <c r="R126" s="38" t="str">
        <f aca="false">IF($A126="","",SUMIFS('Công nợ'!$I$4:$I$203,'Công nợ'!$D$4:$D$203,$A126,'Công nợ'!$K$4:$K$203,"&gt;0"))</f>
        <v/>
      </c>
    </row>
    <row r="127" customFormat="false" ht="15" hidden="false" customHeight="false" outlineLevel="0" collapsed="false">
      <c r="A127" s="37" t="str">
        <f aca="false">IF('Nhà cung cấp'!$A127="","",'Nhà cung cấp'!$A127)</f>
        <v/>
      </c>
      <c r="B127" s="37" t="str">
        <f aca="false">IF($A127="","",'Nhà cung cấp'!$B127)</f>
        <v/>
      </c>
      <c r="C127" s="37" t="str">
        <f aca="false">IF($A127="","",'Nhà cung cấp'!$H127)</f>
        <v/>
      </c>
      <c r="D127" s="38" t="str">
        <f aca="false">IF($A127="","",COUNTIFS('Báo giá'!$I$4:$I$203,$A127))</f>
        <v/>
      </c>
      <c r="E127" s="38" t="str">
        <f aca="false">IF($A127="","",COUNTIFS('Báo giá'!$I$4:$I$203,$A127,'Báo giá'!$T$4:$T$203,"x"))</f>
        <v/>
      </c>
      <c r="F127" s="39" t="str">
        <f aca="false">IF($A127="","",IFERROR($E127/$D127,""))</f>
        <v/>
      </c>
      <c r="G127" s="38" t="str">
        <f aca="false">IF($A127="","",COUNTIFS(PO!$H$4:$H$203,$A127))</f>
        <v/>
      </c>
      <c r="H127" s="38" t="str">
        <f aca="false">IF($A127="","",SUMIFS(PO!$L$4:$L$203,PO!$H$4:$H$203,$A127))</f>
        <v/>
      </c>
      <c r="I127" s="38" t="str">
        <f aca="false">IF($A127="","",SUMIFS(PO!$N$4:$N$203,PO!$H$4:$H$203,$A127))</f>
        <v/>
      </c>
      <c r="J127" s="38" t="str">
        <f aca="false">IF($A127="","",COUNTIFS(PO!$H$4:$H$203,$A127,PO!$S$4:$S$203,"Đúng hạn")+COUNTIFS(PO!$H$4:$H$203,$A127,PO!$S$4:$S$203,"Giao trễ")+COUNTIFS(PO!$H$4:$H$203,$A127,PO!$S$4:$S$203,"Trễ hạn"))</f>
        <v/>
      </c>
      <c r="K127" s="38" t="str">
        <f aca="false">IF($A127="","",COUNTIFS(PO!$H$4:$H$203,$A127,PO!$S$4:$S$203,"Đúng hạn"))</f>
        <v/>
      </c>
      <c r="L127" s="39" t="str">
        <f aca="false">IF($A127="","",IFERROR($K127/$J127,""))</f>
        <v/>
      </c>
      <c r="M127" s="38" t="str">
        <f aca="false">IF($A127="","",SUMIFS(PO!$U$4:$U$203,PO!$H$4:$H$203,$A127))</f>
        <v/>
      </c>
      <c r="N127" s="38" t="str">
        <f aca="false">IF($A127="","",SUMIFS(PO!$V$4:$V$203,PO!$H$4:$H$203,$A127))</f>
        <v/>
      </c>
      <c r="O127" s="39" t="str">
        <f aca="false">IF($A127="","",IFERROR($N127/$M127,""))</f>
        <v/>
      </c>
      <c r="P127" s="38" t="str">
        <f aca="false">IF($A127="","",SUMIFS('Thanh toán'!$H$4:$H$203,'Thanh toán'!$E$4:$E$203,$A127))</f>
        <v/>
      </c>
      <c r="Q127" s="38" t="str">
        <f aca="false">IF($A127="","",SUMIFS('Công nợ'!$I$4:$I$203,'Công nợ'!$D$4:$D$203,$A127))</f>
        <v/>
      </c>
      <c r="R127" s="38" t="str">
        <f aca="false">IF($A127="","",SUMIFS('Công nợ'!$I$4:$I$203,'Công nợ'!$D$4:$D$203,$A127,'Công nợ'!$K$4:$K$203,"&gt;0"))</f>
        <v/>
      </c>
    </row>
    <row r="128" customFormat="false" ht="15" hidden="false" customHeight="false" outlineLevel="0" collapsed="false">
      <c r="A128" s="37" t="str">
        <f aca="false">IF('Nhà cung cấp'!$A128="","",'Nhà cung cấp'!$A128)</f>
        <v/>
      </c>
      <c r="B128" s="37" t="str">
        <f aca="false">IF($A128="","",'Nhà cung cấp'!$B128)</f>
        <v/>
      </c>
      <c r="C128" s="37" t="str">
        <f aca="false">IF($A128="","",'Nhà cung cấp'!$H128)</f>
        <v/>
      </c>
      <c r="D128" s="38" t="str">
        <f aca="false">IF($A128="","",COUNTIFS('Báo giá'!$I$4:$I$203,$A128))</f>
        <v/>
      </c>
      <c r="E128" s="38" t="str">
        <f aca="false">IF($A128="","",COUNTIFS('Báo giá'!$I$4:$I$203,$A128,'Báo giá'!$T$4:$T$203,"x"))</f>
        <v/>
      </c>
      <c r="F128" s="39" t="str">
        <f aca="false">IF($A128="","",IFERROR($E128/$D128,""))</f>
        <v/>
      </c>
      <c r="G128" s="38" t="str">
        <f aca="false">IF($A128="","",COUNTIFS(PO!$H$4:$H$203,$A128))</f>
        <v/>
      </c>
      <c r="H128" s="38" t="str">
        <f aca="false">IF($A128="","",SUMIFS(PO!$L$4:$L$203,PO!$H$4:$H$203,$A128))</f>
        <v/>
      </c>
      <c r="I128" s="38" t="str">
        <f aca="false">IF($A128="","",SUMIFS(PO!$N$4:$N$203,PO!$H$4:$H$203,$A128))</f>
        <v/>
      </c>
      <c r="J128" s="38" t="str">
        <f aca="false">IF($A128="","",COUNTIFS(PO!$H$4:$H$203,$A128,PO!$S$4:$S$203,"Đúng hạn")+COUNTIFS(PO!$H$4:$H$203,$A128,PO!$S$4:$S$203,"Giao trễ")+COUNTIFS(PO!$H$4:$H$203,$A128,PO!$S$4:$S$203,"Trễ hạn"))</f>
        <v/>
      </c>
      <c r="K128" s="38" t="str">
        <f aca="false">IF($A128="","",COUNTIFS(PO!$H$4:$H$203,$A128,PO!$S$4:$S$203,"Đúng hạn"))</f>
        <v/>
      </c>
      <c r="L128" s="39" t="str">
        <f aca="false">IF($A128="","",IFERROR($K128/$J128,""))</f>
        <v/>
      </c>
      <c r="M128" s="38" t="str">
        <f aca="false">IF($A128="","",SUMIFS(PO!$U$4:$U$203,PO!$H$4:$H$203,$A128))</f>
        <v/>
      </c>
      <c r="N128" s="38" t="str">
        <f aca="false">IF($A128="","",SUMIFS(PO!$V$4:$V$203,PO!$H$4:$H$203,$A128))</f>
        <v/>
      </c>
      <c r="O128" s="39" t="str">
        <f aca="false">IF($A128="","",IFERROR($N128/$M128,""))</f>
        <v/>
      </c>
      <c r="P128" s="38" t="str">
        <f aca="false">IF($A128="","",SUMIFS('Thanh toán'!$H$4:$H$203,'Thanh toán'!$E$4:$E$203,$A128))</f>
        <v/>
      </c>
      <c r="Q128" s="38" t="str">
        <f aca="false">IF($A128="","",SUMIFS('Công nợ'!$I$4:$I$203,'Công nợ'!$D$4:$D$203,$A128))</f>
        <v/>
      </c>
      <c r="R128" s="38" t="str">
        <f aca="false">IF($A128="","",SUMIFS('Công nợ'!$I$4:$I$203,'Công nợ'!$D$4:$D$203,$A128,'Công nợ'!$K$4:$K$203,"&gt;0"))</f>
        <v/>
      </c>
    </row>
    <row r="129" customFormat="false" ht="15" hidden="false" customHeight="false" outlineLevel="0" collapsed="false">
      <c r="A129" s="37" t="str">
        <f aca="false">IF('Nhà cung cấp'!$A129="","",'Nhà cung cấp'!$A129)</f>
        <v/>
      </c>
      <c r="B129" s="37" t="str">
        <f aca="false">IF($A129="","",'Nhà cung cấp'!$B129)</f>
        <v/>
      </c>
      <c r="C129" s="37" t="str">
        <f aca="false">IF($A129="","",'Nhà cung cấp'!$H129)</f>
        <v/>
      </c>
      <c r="D129" s="38" t="str">
        <f aca="false">IF($A129="","",COUNTIFS('Báo giá'!$I$4:$I$203,$A129))</f>
        <v/>
      </c>
      <c r="E129" s="38" t="str">
        <f aca="false">IF($A129="","",COUNTIFS('Báo giá'!$I$4:$I$203,$A129,'Báo giá'!$T$4:$T$203,"x"))</f>
        <v/>
      </c>
      <c r="F129" s="39" t="str">
        <f aca="false">IF($A129="","",IFERROR($E129/$D129,""))</f>
        <v/>
      </c>
      <c r="G129" s="38" t="str">
        <f aca="false">IF($A129="","",COUNTIFS(PO!$H$4:$H$203,$A129))</f>
        <v/>
      </c>
      <c r="H129" s="38" t="str">
        <f aca="false">IF($A129="","",SUMIFS(PO!$L$4:$L$203,PO!$H$4:$H$203,$A129))</f>
        <v/>
      </c>
      <c r="I129" s="38" t="str">
        <f aca="false">IF($A129="","",SUMIFS(PO!$N$4:$N$203,PO!$H$4:$H$203,$A129))</f>
        <v/>
      </c>
      <c r="J129" s="38" t="str">
        <f aca="false">IF($A129="","",COUNTIFS(PO!$H$4:$H$203,$A129,PO!$S$4:$S$203,"Đúng hạn")+COUNTIFS(PO!$H$4:$H$203,$A129,PO!$S$4:$S$203,"Giao trễ")+COUNTIFS(PO!$H$4:$H$203,$A129,PO!$S$4:$S$203,"Trễ hạn"))</f>
        <v/>
      </c>
      <c r="K129" s="38" t="str">
        <f aca="false">IF($A129="","",COUNTIFS(PO!$H$4:$H$203,$A129,PO!$S$4:$S$203,"Đúng hạn"))</f>
        <v/>
      </c>
      <c r="L129" s="39" t="str">
        <f aca="false">IF($A129="","",IFERROR($K129/$J129,""))</f>
        <v/>
      </c>
      <c r="M129" s="38" t="str">
        <f aca="false">IF($A129="","",SUMIFS(PO!$U$4:$U$203,PO!$H$4:$H$203,$A129))</f>
        <v/>
      </c>
      <c r="N129" s="38" t="str">
        <f aca="false">IF($A129="","",SUMIFS(PO!$V$4:$V$203,PO!$H$4:$H$203,$A129))</f>
        <v/>
      </c>
      <c r="O129" s="39" t="str">
        <f aca="false">IF($A129="","",IFERROR($N129/$M129,""))</f>
        <v/>
      </c>
      <c r="P129" s="38" t="str">
        <f aca="false">IF($A129="","",SUMIFS('Thanh toán'!$H$4:$H$203,'Thanh toán'!$E$4:$E$203,$A129))</f>
        <v/>
      </c>
      <c r="Q129" s="38" t="str">
        <f aca="false">IF($A129="","",SUMIFS('Công nợ'!$I$4:$I$203,'Công nợ'!$D$4:$D$203,$A129))</f>
        <v/>
      </c>
      <c r="R129" s="38" t="str">
        <f aca="false">IF($A129="","",SUMIFS('Công nợ'!$I$4:$I$203,'Công nợ'!$D$4:$D$203,$A129,'Công nợ'!$K$4:$K$203,"&gt;0"))</f>
        <v/>
      </c>
    </row>
    <row r="130" customFormat="false" ht="15" hidden="false" customHeight="false" outlineLevel="0" collapsed="false">
      <c r="A130" s="37" t="str">
        <f aca="false">IF('Nhà cung cấp'!$A130="","",'Nhà cung cấp'!$A130)</f>
        <v/>
      </c>
      <c r="B130" s="37" t="str">
        <f aca="false">IF($A130="","",'Nhà cung cấp'!$B130)</f>
        <v/>
      </c>
      <c r="C130" s="37" t="str">
        <f aca="false">IF($A130="","",'Nhà cung cấp'!$H130)</f>
        <v/>
      </c>
      <c r="D130" s="38" t="str">
        <f aca="false">IF($A130="","",COUNTIFS('Báo giá'!$I$4:$I$203,$A130))</f>
        <v/>
      </c>
      <c r="E130" s="38" t="str">
        <f aca="false">IF($A130="","",COUNTIFS('Báo giá'!$I$4:$I$203,$A130,'Báo giá'!$T$4:$T$203,"x"))</f>
        <v/>
      </c>
      <c r="F130" s="39" t="str">
        <f aca="false">IF($A130="","",IFERROR($E130/$D130,""))</f>
        <v/>
      </c>
      <c r="G130" s="38" t="str">
        <f aca="false">IF($A130="","",COUNTIFS(PO!$H$4:$H$203,$A130))</f>
        <v/>
      </c>
      <c r="H130" s="38" t="str">
        <f aca="false">IF($A130="","",SUMIFS(PO!$L$4:$L$203,PO!$H$4:$H$203,$A130))</f>
        <v/>
      </c>
      <c r="I130" s="38" t="str">
        <f aca="false">IF($A130="","",SUMIFS(PO!$N$4:$N$203,PO!$H$4:$H$203,$A130))</f>
        <v/>
      </c>
      <c r="J130" s="38" t="str">
        <f aca="false">IF($A130="","",COUNTIFS(PO!$H$4:$H$203,$A130,PO!$S$4:$S$203,"Đúng hạn")+COUNTIFS(PO!$H$4:$H$203,$A130,PO!$S$4:$S$203,"Giao trễ")+COUNTIFS(PO!$H$4:$H$203,$A130,PO!$S$4:$S$203,"Trễ hạn"))</f>
        <v/>
      </c>
      <c r="K130" s="38" t="str">
        <f aca="false">IF($A130="","",COUNTIFS(PO!$H$4:$H$203,$A130,PO!$S$4:$S$203,"Đúng hạn"))</f>
        <v/>
      </c>
      <c r="L130" s="39" t="str">
        <f aca="false">IF($A130="","",IFERROR($K130/$J130,""))</f>
        <v/>
      </c>
      <c r="M130" s="38" t="str">
        <f aca="false">IF($A130="","",SUMIFS(PO!$U$4:$U$203,PO!$H$4:$H$203,$A130))</f>
        <v/>
      </c>
      <c r="N130" s="38" t="str">
        <f aca="false">IF($A130="","",SUMIFS(PO!$V$4:$V$203,PO!$H$4:$H$203,$A130))</f>
        <v/>
      </c>
      <c r="O130" s="39" t="str">
        <f aca="false">IF($A130="","",IFERROR($N130/$M130,""))</f>
        <v/>
      </c>
      <c r="P130" s="38" t="str">
        <f aca="false">IF($A130="","",SUMIFS('Thanh toán'!$H$4:$H$203,'Thanh toán'!$E$4:$E$203,$A130))</f>
        <v/>
      </c>
      <c r="Q130" s="38" t="str">
        <f aca="false">IF($A130="","",SUMIFS('Công nợ'!$I$4:$I$203,'Công nợ'!$D$4:$D$203,$A130))</f>
        <v/>
      </c>
      <c r="R130" s="38" t="str">
        <f aca="false">IF($A130="","",SUMIFS('Công nợ'!$I$4:$I$203,'Công nợ'!$D$4:$D$203,$A130,'Công nợ'!$K$4:$K$203,"&gt;0"))</f>
        <v/>
      </c>
    </row>
    <row r="131" customFormat="false" ht="15" hidden="false" customHeight="false" outlineLevel="0" collapsed="false">
      <c r="A131" s="37" t="str">
        <f aca="false">IF('Nhà cung cấp'!$A131="","",'Nhà cung cấp'!$A131)</f>
        <v/>
      </c>
      <c r="B131" s="37" t="str">
        <f aca="false">IF($A131="","",'Nhà cung cấp'!$B131)</f>
        <v/>
      </c>
      <c r="C131" s="37" t="str">
        <f aca="false">IF($A131="","",'Nhà cung cấp'!$H131)</f>
        <v/>
      </c>
      <c r="D131" s="38" t="str">
        <f aca="false">IF($A131="","",COUNTIFS('Báo giá'!$I$4:$I$203,$A131))</f>
        <v/>
      </c>
      <c r="E131" s="38" t="str">
        <f aca="false">IF($A131="","",COUNTIFS('Báo giá'!$I$4:$I$203,$A131,'Báo giá'!$T$4:$T$203,"x"))</f>
        <v/>
      </c>
      <c r="F131" s="39" t="str">
        <f aca="false">IF($A131="","",IFERROR($E131/$D131,""))</f>
        <v/>
      </c>
      <c r="G131" s="38" t="str">
        <f aca="false">IF($A131="","",COUNTIFS(PO!$H$4:$H$203,$A131))</f>
        <v/>
      </c>
      <c r="H131" s="38" t="str">
        <f aca="false">IF($A131="","",SUMIFS(PO!$L$4:$L$203,PO!$H$4:$H$203,$A131))</f>
        <v/>
      </c>
      <c r="I131" s="38" t="str">
        <f aca="false">IF($A131="","",SUMIFS(PO!$N$4:$N$203,PO!$H$4:$H$203,$A131))</f>
        <v/>
      </c>
      <c r="J131" s="38" t="str">
        <f aca="false">IF($A131="","",COUNTIFS(PO!$H$4:$H$203,$A131,PO!$S$4:$S$203,"Đúng hạn")+COUNTIFS(PO!$H$4:$H$203,$A131,PO!$S$4:$S$203,"Giao trễ")+COUNTIFS(PO!$H$4:$H$203,$A131,PO!$S$4:$S$203,"Trễ hạn"))</f>
        <v/>
      </c>
      <c r="K131" s="38" t="str">
        <f aca="false">IF($A131="","",COUNTIFS(PO!$H$4:$H$203,$A131,PO!$S$4:$S$203,"Đúng hạn"))</f>
        <v/>
      </c>
      <c r="L131" s="39" t="str">
        <f aca="false">IF($A131="","",IFERROR($K131/$J131,""))</f>
        <v/>
      </c>
      <c r="M131" s="38" t="str">
        <f aca="false">IF($A131="","",SUMIFS(PO!$U$4:$U$203,PO!$H$4:$H$203,$A131))</f>
        <v/>
      </c>
      <c r="N131" s="38" t="str">
        <f aca="false">IF($A131="","",SUMIFS(PO!$V$4:$V$203,PO!$H$4:$H$203,$A131))</f>
        <v/>
      </c>
      <c r="O131" s="39" t="str">
        <f aca="false">IF($A131="","",IFERROR($N131/$M131,""))</f>
        <v/>
      </c>
      <c r="P131" s="38" t="str">
        <f aca="false">IF($A131="","",SUMIFS('Thanh toán'!$H$4:$H$203,'Thanh toán'!$E$4:$E$203,$A131))</f>
        <v/>
      </c>
      <c r="Q131" s="38" t="str">
        <f aca="false">IF($A131="","",SUMIFS('Công nợ'!$I$4:$I$203,'Công nợ'!$D$4:$D$203,$A131))</f>
        <v/>
      </c>
      <c r="R131" s="38" t="str">
        <f aca="false">IF($A131="","",SUMIFS('Công nợ'!$I$4:$I$203,'Công nợ'!$D$4:$D$203,$A131,'Công nợ'!$K$4:$K$203,"&gt;0"))</f>
        <v/>
      </c>
    </row>
    <row r="132" customFormat="false" ht="15" hidden="false" customHeight="false" outlineLevel="0" collapsed="false">
      <c r="A132" s="37" t="str">
        <f aca="false">IF('Nhà cung cấp'!$A132="","",'Nhà cung cấp'!$A132)</f>
        <v/>
      </c>
      <c r="B132" s="37" t="str">
        <f aca="false">IF($A132="","",'Nhà cung cấp'!$B132)</f>
        <v/>
      </c>
      <c r="C132" s="37" t="str">
        <f aca="false">IF($A132="","",'Nhà cung cấp'!$H132)</f>
        <v/>
      </c>
      <c r="D132" s="38" t="str">
        <f aca="false">IF($A132="","",COUNTIFS('Báo giá'!$I$4:$I$203,$A132))</f>
        <v/>
      </c>
      <c r="E132" s="38" t="str">
        <f aca="false">IF($A132="","",COUNTIFS('Báo giá'!$I$4:$I$203,$A132,'Báo giá'!$T$4:$T$203,"x"))</f>
        <v/>
      </c>
      <c r="F132" s="39" t="str">
        <f aca="false">IF($A132="","",IFERROR($E132/$D132,""))</f>
        <v/>
      </c>
      <c r="G132" s="38" t="str">
        <f aca="false">IF($A132="","",COUNTIFS(PO!$H$4:$H$203,$A132))</f>
        <v/>
      </c>
      <c r="H132" s="38" t="str">
        <f aca="false">IF($A132="","",SUMIFS(PO!$L$4:$L$203,PO!$H$4:$H$203,$A132))</f>
        <v/>
      </c>
      <c r="I132" s="38" t="str">
        <f aca="false">IF($A132="","",SUMIFS(PO!$N$4:$N$203,PO!$H$4:$H$203,$A132))</f>
        <v/>
      </c>
      <c r="J132" s="38" t="str">
        <f aca="false">IF($A132="","",COUNTIFS(PO!$H$4:$H$203,$A132,PO!$S$4:$S$203,"Đúng hạn")+COUNTIFS(PO!$H$4:$H$203,$A132,PO!$S$4:$S$203,"Giao trễ")+COUNTIFS(PO!$H$4:$H$203,$A132,PO!$S$4:$S$203,"Trễ hạn"))</f>
        <v/>
      </c>
      <c r="K132" s="38" t="str">
        <f aca="false">IF($A132="","",COUNTIFS(PO!$H$4:$H$203,$A132,PO!$S$4:$S$203,"Đúng hạn"))</f>
        <v/>
      </c>
      <c r="L132" s="39" t="str">
        <f aca="false">IF($A132="","",IFERROR($K132/$J132,""))</f>
        <v/>
      </c>
      <c r="M132" s="38" t="str">
        <f aca="false">IF($A132="","",SUMIFS(PO!$U$4:$U$203,PO!$H$4:$H$203,$A132))</f>
        <v/>
      </c>
      <c r="N132" s="38" t="str">
        <f aca="false">IF($A132="","",SUMIFS(PO!$V$4:$V$203,PO!$H$4:$H$203,$A132))</f>
        <v/>
      </c>
      <c r="O132" s="39" t="str">
        <f aca="false">IF($A132="","",IFERROR($N132/$M132,""))</f>
        <v/>
      </c>
      <c r="P132" s="38" t="str">
        <f aca="false">IF($A132="","",SUMIFS('Thanh toán'!$H$4:$H$203,'Thanh toán'!$E$4:$E$203,$A132))</f>
        <v/>
      </c>
      <c r="Q132" s="38" t="str">
        <f aca="false">IF($A132="","",SUMIFS('Công nợ'!$I$4:$I$203,'Công nợ'!$D$4:$D$203,$A132))</f>
        <v/>
      </c>
      <c r="R132" s="38" t="str">
        <f aca="false">IF($A132="","",SUMIFS('Công nợ'!$I$4:$I$203,'Công nợ'!$D$4:$D$203,$A132,'Công nợ'!$K$4:$K$203,"&gt;0"))</f>
        <v/>
      </c>
    </row>
    <row r="133" customFormat="false" ht="15" hidden="false" customHeight="false" outlineLevel="0" collapsed="false">
      <c r="A133" s="37" t="str">
        <f aca="false">IF('Nhà cung cấp'!$A133="","",'Nhà cung cấp'!$A133)</f>
        <v/>
      </c>
      <c r="B133" s="37" t="str">
        <f aca="false">IF($A133="","",'Nhà cung cấp'!$B133)</f>
        <v/>
      </c>
      <c r="C133" s="37" t="str">
        <f aca="false">IF($A133="","",'Nhà cung cấp'!$H133)</f>
        <v/>
      </c>
      <c r="D133" s="38" t="str">
        <f aca="false">IF($A133="","",COUNTIFS('Báo giá'!$I$4:$I$203,$A133))</f>
        <v/>
      </c>
      <c r="E133" s="38" t="str">
        <f aca="false">IF($A133="","",COUNTIFS('Báo giá'!$I$4:$I$203,$A133,'Báo giá'!$T$4:$T$203,"x"))</f>
        <v/>
      </c>
      <c r="F133" s="39" t="str">
        <f aca="false">IF($A133="","",IFERROR($E133/$D133,""))</f>
        <v/>
      </c>
      <c r="G133" s="38" t="str">
        <f aca="false">IF($A133="","",COUNTIFS(PO!$H$4:$H$203,$A133))</f>
        <v/>
      </c>
      <c r="H133" s="38" t="str">
        <f aca="false">IF($A133="","",SUMIFS(PO!$L$4:$L$203,PO!$H$4:$H$203,$A133))</f>
        <v/>
      </c>
      <c r="I133" s="38" t="str">
        <f aca="false">IF($A133="","",SUMIFS(PO!$N$4:$N$203,PO!$H$4:$H$203,$A133))</f>
        <v/>
      </c>
      <c r="J133" s="38" t="str">
        <f aca="false">IF($A133="","",COUNTIFS(PO!$H$4:$H$203,$A133,PO!$S$4:$S$203,"Đúng hạn")+COUNTIFS(PO!$H$4:$H$203,$A133,PO!$S$4:$S$203,"Giao trễ")+COUNTIFS(PO!$H$4:$H$203,$A133,PO!$S$4:$S$203,"Trễ hạn"))</f>
        <v/>
      </c>
      <c r="K133" s="38" t="str">
        <f aca="false">IF($A133="","",COUNTIFS(PO!$H$4:$H$203,$A133,PO!$S$4:$S$203,"Đúng hạn"))</f>
        <v/>
      </c>
      <c r="L133" s="39" t="str">
        <f aca="false">IF($A133="","",IFERROR($K133/$J133,""))</f>
        <v/>
      </c>
      <c r="M133" s="38" t="str">
        <f aca="false">IF($A133="","",SUMIFS(PO!$U$4:$U$203,PO!$H$4:$H$203,$A133))</f>
        <v/>
      </c>
      <c r="N133" s="38" t="str">
        <f aca="false">IF($A133="","",SUMIFS(PO!$V$4:$V$203,PO!$H$4:$H$203,$A133))</f>
        <v/>
      </c>
      <c r="O133" s="39" t="str">
        <f aca="false">IF($A133="","",IFERROR($N133/$M133,""))</f>
        <v/>
      </c>
      <c r="P133" s="38" t="str">
        <f aca="false">IF($A133="","",SUMIFS('Thanh toán'!$H$4:$H$203,'Thanh toán'!$E$4:$E$203,$A133))</f>
        <v/>
      </c>
      <c r="Q133" s="38" t="str">
        <f aca="false">IF($A133="","",SUMIFS('Công nợ'!$I$4:$I$203,'Công nợ'!$D$4:$D$203,$A133))</f>
        <v/>
      </c>
      <c r="R133" s="38" t="str">
        <f aca="false">IF($A133="","",SUMIFS('Công nợ'!$I$4:$I$203,'Công nợ'!$D$4:$D$203,$A133,'Công nợ'!$K$4:$K$203,"&gt;0"))</f>
        <v/>
      </c>
    </row>
    <row r="134" customFormat="false" ht="15" hidden="false" customHeight="false" outlineLevel="0" collapsed="false">
      <c r="A134" s="37" t="str">
        <f aca="false">IF('Nhà cung cấp'!$A134="","",'Nhà cung cấp'!$A134)</f>
        <v/>
      </c>
      <c r="B134" s="37" t="str">
        <f aca="false">IF($A134="","",'Nhà cung cấp'!$B134)</f>
        <v/>
      </c>
      <c r="C134" s="37" t="str">
        <f aca="false">IF($A134="","",'Nhà cung cấp'!$H134)</f>
        <v/>
      </c>
      <c r="D134" s="38" t="str">
        <f aca="false">IF($A134="","",COUNTIFS('Báo giá'!$I$4:$I$203,$A134))</f>
        <v/>
      </c>
      <c r="E134" s="38" t="str">
        <f aca="false">IF($A134="","",COUNTIFS('Báo giá'!$I$4:$I$203,$A134,'Báo giá'!$T$4:$T$203,"x"))</f>
        <v/>
      </c>
      <c r="F134" s="39" t="str">
        <f aca="false">IF($A134="","",IFERROR($E134/$D134,""))</f>
        <v/>
      </c>
      <c r="G134" s="38" t="str">
        <f aca="false">IF($A134="","",COUNTIFS(PO!$H$4:$H$203,$A134))</f>
        <v/>
      </c>
      <c r="H134" s="38" t="str">
        <f aca="false">IF($A134="","",SUMIFS(PO!$L$4:$L$203,PO!$H$4:$H$203,$A134))</f>
        <v/>
      </c>
      <c r="I134" s="38" t="str">
        <f aca="false">IF($A134="","",SUMIFS(PO!$N$4:$N$203,PO!$H$4:$H$203,$A134))</f>
        <v/>
      </c>
      <c r="J134" s="38" t="str">
        <f aca="false">IF($A134="","",COUNTIFS(PO!$H$4:$H$203,$A134,PO!$S$4:$S$203,"Đúng hạn")+COUNTIFS(PO!$H$4:$H$203,$A134,PO!$S$4:$S$203,"Giao trễ")+COUNTIFS(PO!$H$4:$H$203,$A134,PO!$S$4:$S$203,"Trễ hạn"))</f>
        <v/>
      </c>
      <c r="K134" s="38" t="str">
        <f aca="false">IF($A134="","",COUNTIFS(PO!$H$4:$H$203,$A134,PO!$S$4:$S$203,"Đúng hạn"))</f>
        <v/>
      </c>
      <c r="L134" s="39" t="str">
        <f aca="false">IF($A134="","",IFERROR($K134/$J134,""))</f>
        <v/>
      </c>
      <c r="M134" s="38" t="str">
        <f aca="false">IF($A134="","",SUMIFS(PO!$U$4:$U$203,PO!$H$4:$H$203,$A134))</f>
        <v/>
      </c>
      <c r="N134" s="38" t="str">
        <f aca="false">IF($A134="","",SUMIFS(PO!$V$4:$V$203,PO!$H$4:$H$203,$A134))</f>
        <v/>
      </c>
      <c r="O134" s="39" t="str">
        <f aca="false">IF($A134="","",IFERROR($N134/$M134,""))</f>
        <v/>
      </c>
      <c r="P134" s="38" t="str">
        <f aca="false">IF($A134="","",SUMIFS('Thanh toán'!$H$4:$H$203,'Thanh toán'!$E$4:$E$203,$A134))</f>
        <v/>
      </c>
      <c r="Q134" s="38" t="str">
        <f aca="false">IF($A134="","",SUMIFS('Công nợ'!$I$4:$I$203,'Công nợ'!$D$4:$D$203,$A134))</f>
        <v/>
      </c>
      <c r="R134" s="38" t="str">
        <f aca="false">IF($A134="","",SUMIFS('Công nợ'!$I$4:$I$203,'Công nợ'!$D$4:$D$203,$A134,'Công nợ'!$K$4:$K$203,"&gt;0"))</f>
        <v/>
      </c>
    </row>
    <row r="135" customFormat="false" ht="15" hidden="false" customHeight="false" outlineLevel="0" collapsed="false">
      <c r="A135" s="37" t="str">
        <f aca="false">IF('Nhà cung cấp'!$A135="","",'Nhà cung cấp'!$A135)</f>
        <v/>
      </c>
      <c r="B135" s="37" t="str">
        <f aca="false">IF($A135="","",'Nhà cung cấp'!$B135)</f>
        <v/>
      </c>
      <c r="C135" s="37" t="str">
        <f aca="false">IF($A135="","",'Nhà cung cấp'!$H135)</f>
        <v/>
      </c>
      <c r="D135" s="38" t="str">
        <f aca="false">IF($A135="","",COUNTIFS('Báo giá'!$I$4:$I$203,$A135))</f>
        <v/>
      </c>
      <c r="E135" s="38" t="str">
        <f aca="false">IF($A135="","",COUNTIFS('Báo giá'!$I$4:$I$203,$A135,'Báo giá'!$T$4:$T$203,"x"))</f>
        <v/>
      </c>
      <c r="F135" s="39" t="str">
        <f aca="false">IF($A135="","",IFERROR($E135/$D135,""))</f>
        <v/>
      </c>
      <c r="G135" s="38" t="str">
        <f aca="false">IF($A135="","",COUNTIFS(PO!$H$4:$H$203,$A135))</f>
        <v/>
      </c>
      <c r="H135" s="38" t="str">
        <f aca="false">IF($A135="","",SUMIFS(PO!$L$4:$L$203,PO!$H$4:$H$203,$A135))</f>
        <v/>
      </c>
      <c r="I135" s="38" t="str">
        <f aca="false">IF($A135="","",SUMIFS(PO!$N$4:$N$203,PO!$H$4:$H$203,$A135))</f>
        <v/>
      </c>
      <c r="J135" s="38" t="str">
        <f aca="false">IF($A135="","",COUNTIFS(PO!$H$4:$H$203,$A135,PO!$S$4:$S$203,"Đúng hạn")+COUNTIFS(PO!$H$4:$H$203,$A135,PO!$S$4:$S$203,"Giao trễ")+COUNTIFS(PO!$H$4:$H$203,$A135,PO!$S$4:$S$203,"Trễ hạn"))</f>
        <v/>
      </c>
      <c r="K135" s="38" t="str">
        <f aca="false">IF($A135="","",COUNTIFS(PO!$H$4:$H$203,$A135,PO!$S$4:$S$203,"Đúng hạn"))</f>
        <v/>
      </c>
      <c r="L135" s="39" t="str">
        <f aca="false">IF($A135="","",IFERROR($K135/$J135,""))</f>
        <v/>
      </c>
      <c r="M135" s="38" t="str">
        <f aca="false">IF($A135="","",SUMIFS(PO!$U$4:$U$203,PO!$H$4:$H$203,$A135))</f>
        <v/>
      </c>
      <c r="N135" s="38" t="str">
        <f aca="false">IF($A135="","",SUMIFS(PO!$V$4:$V$203,PO!$H$4:$H$203,$A135))</f>
        <v/>
      </c>
      <c r="O135" s="39" t="str">
        <f aca="false">IF($A135="","",IFERROR($N135/$M135,""))</f>
        <v/>
      </c>
      <c r="P135" s="38" t="str">
        <f aca="false">IF($A135="","",SUMIFS('Thanh toán'!$H$4:$H$203,'Thanh toán'!$E$4:$E$203,$A135))</f>
        <v/>
      </c>
      <c r="Q135" s="38" t="str">
        <f aca="false">IF($A135="","",SUMIFS('Công nợ'!$I$4:$I$203,'Công nợ'!$D$4:$D$203,$A135))</f>
        <v/>
      </c>
      <c r="R135" s="38" t="str">
        <f aca="false">IF($A135="","",SUMIFS('Công nợ'!$I$4:$I$203,'Công nợ'!$D$4:$D$203,$A135,'Công nợ'!$K$4:$K$203,"&gt;0"))</f>
        <v/>
      </c>
    </row>
    <row r="136" customFormat="false" ht="15" hidden="false" customHeight="false" outlineLevel="0" collapsed="false">
      <c r="A136" s="37" t="str">
        <f aca="false">IF('Nhà cung cấp'!$A136="","",'Nhà cung cấp'!$A136)</f>
        <v/>
      </c>
      <c r="B136" s="37" t="str">
        <f aca="false">IF($A136="","",'Nhà cung cấp'!$B136)</f>
        <v/>
      </c>
      <c r="C136" s="37" t="str">
        <f aca="false">IF($A136="","",'Nhà cung cấp'!$H136)</f>
        <v/>
      </c>
      <c r="D136" s="38" t="str">
        <f aca="false">IF($A136="","",COUNTIFS('Báo giá'!$I$4:$I$203,$A136))</f>
        <v/>
      </c>
      <c r="E136" s="38" t="str">
        <f aca="false">IF($A136="","",COUNTIFS('Báo giá'!$I$4:$I$203,$A136,'Báo giá'!$T$4:$T$203,"x"))</f>
        <v/>
      </c>
      <c r="F136" s="39" t="str">
        <f aca="false">IF($A136="","",IFERROR($E136/$D136,""))</f>
        <v/>
      </c>
      <c r="G136" s="38" t="str">
        <f aca="false">IF($A136="","",COUNTIFS(PO!$H$4:$H$203,$A136))</f>
        <v/>
      </c>
      <c r="H136" s="38" t="str">
        <f aca="false">IF($A136="","",SUMIFS(PO!$L$4:$L$203,PO!$H$4:$H$203,$A136))</f>
        <v/>
      </c>
      <c r="I136" s="38" t="str">
        <f aca="false">IF($A136="","",SUMIFS(PO!$N$4:$N$203,PO!$H$4:$H$203,$A136))</f>
        <v/>
      </c>
      <c r="J136" s="38" t="str">
        <f aca="false">IF($A136="","",COUNTIFS(PO!$H$4:$H$203,$A136,PO!$S$4:$S$203,"Đúng hạn")+COUNTIFS(PO!$H$4:$H$203,$A136,PO!$S$4:$S$203,"Giao trễ")+COUNTIFS(PO!$H$4:$H$203,$A136,PO!$S$4:$S$203,"Trễ hạn"))</f>
        <v/>
      </c>
      <c r="K136" s="38" t="str">
        <f aca="false">IF($A136="","",COUNTIFS(PO!$H$4:$H$203,$A136,PO!$S$4:$S$203,"Đúng hạn"))</f>
        <v/>
      </c>
      <c r="L136" s="39" t="str">
        <f aca="false">IF($A136="","",IFERROR($K136/$J136,""))</f>
        <v/>
      </c>
      <c r="M136" s="38" t="str">
        <f aca="false">IF($A136="","",SUMIFS(PO!$U$4:$U$203,PO!$H$4:$H$203,$A136))</f>
        <v/>
      </c>
      <c r="N136" s="38" t="str">
        <f aca="false">IF($A136="","",SUMIFS(PO!$V$4:$V$203,PO!$H$4:$H$203,$A136))</f>
        <v/>
      </c>
      <c r="O136" s="39" t="str">
        <f aca="false">IF($A136="","",IFERROR($N136/$M136,""))</f>
        <v/>
      </c>
      <c r="P136" s="38" t="str">
        <f aca="false">IF($A136="","",SUMIFS('Thanh toán'!$H$4:$H$203,'Thanh toán'!$E$4:$E$203,$A136))</f>
        <v/>
      </c>
      <c r="Q136" s="38" t="str">
        <f aca="false">IF($A136="","",SUMIFS('Công nợ'!$I$4:$I$203,'Công nợ'!$D$4:$D$203,$A136))</f>
        <v/>
      </c>
      <c r="R136" s="38" t="str">
        <f aca="false">IF($A136="","",SUMIFS('Công nợ'!$I$4:$I$203,'Công nợ'!$D$4:$D$203,$A136,'Công nợ'!$K$4:$K$203,"&gt;0"))</f>
        <v/>
      </c>
    </row>
    <row r="137" customFormat="false" ht="15" hidden="false" customHeight="false" outlineLevel="0" collapsed="false">
      <c r="A137" s="37" t="str">
        <f aca="false">IF('Nhà cung cấp'!$A137="","",'Nhà cung cấp'!$A137)</f>
        <v/>
      </c>
      <c r="B137" s="37" t="str">
        <f aca="false">IF($A137="","",'Nhà cung cấp'!$B137)</f>
        <v/>
      </c>
      <c r="C137" s="37" t="str">
        <f aca="false">IF($A137="","",'Nhà cung cấp'!$H137)</f>
        <v/>
      </c>
      <c r="D137" s="38" t="str">
        <f aca="false">IF($A137="","",COUNTIFS('Báo giá'!$I$4:$I$203,$A137))</f>
        <v/>
      </c>
      <c r="E137" s="38" t="str">
        <f aca="false">IF($A137="","",COUNTIFS('Báo giá'!$I$4:$I$203,$A137,'Báo giá'!$T$4:$T$203,"x"))</f>
        <v/>
      </c>
      <c r="F137" s="39" t="str">
        <f aca="false">IF($A137="","",IFERROR($E137/$D137,""))</f>
        <v/>
      </c>
      <c r="G137" s="38" t="str">
        <f aca="false">IF($A137="","",COUNTIFS(PO!$H$4:$H$203,$A137))</f>
        <v/>
      </c>
      <c r="H137" s="38" t="str">
        <f aca="false">IF($A137="","",SUMIFS(PO!$L$4:$L$203,PO!$H$4:$H$203,$A137))</f>
        <v/>
      </c>
      <c r="I137" s="38" t="str">
        <f aca="false">IF($A137="","",SUMIFS(PO!$N$4:$N$203,PO!$H$4:$H$203,$A137))</f>
        <v/>
      </c>
      <c r="J137" s="38" t="str">
        <f aca="false">IF($A137="","",COUNTIFS(PO!$H$4:$H$203,$A137,PO!$S$4:$S$203,"Đúng hạn")+COUNTIFS(PO!$H$4:$H$203,$A137,PO!$S$4:$S$203,"Giao trễ")+COUNTIFS(PO!$H$4:$H$203,$A137,PO!$S$4:$S$203,"Trễ hạn"))</f>
        <v/>
      </c>
      <c r="K137" s="38" t="str">
        <f aca="false">IF($A137="","",COUNTIFS(PO!$H$4:$H$203,$A137,PO!$S$4:$S$203,"Đúng hạn"))</f>
        <v/>
      </c>
      <c r="L137" s="39" t="str">
        <f aca="false">IF($A137="","",IFERROR($K137/$J137,""))</f>
        <v/>
      </c>
      <c r="M137" s="38" t="str">
        <f aca="false">IF($A137="","",SUMIFS(PO!$U$4:$U$203,PO!$H$4:$H$203,$A137))</f>
        <v/>
      </c>
      <c r="N137" s="38" t="str">
        <f aca="false">IF($A137="","",SUMIFS(PO!$V$4:$V$203,PO!$H$4:$H$203,$A137))</f>
        <v/>
      </c>
      <c r="O137" s="39" t="str">
        <f aca="false">IF($A137="","",IFERROR($N137/$M137,""))</f>
        <v/>
      </c>
      <c r="P137" s="38" t="str">
        <f aca="false">IF($A137="","",SUMIFS('Thanh toán'!$H$4:$H$203,'Thanh toán'!$E$4:$E$203,$A137))</f>
        <v/>
      </c>
      <c r="Q137" s="38" t="str">
        <f aca="false">IF($A137="","",SUMIFS('Công nợ'!$I$4:$I$203,'Công nợ'!$D$4:$D$203,$A137))</f>
        <v/>
      </c>
      <c r="R137" s="38" t="str">
        <f aca="false">IF($A137="","",SUMIFS('Công nợ'!$I$4:$I$203,'Công nợ'!$D$4:$D$203,$A137,'Công nợ'!$K$4:$K$203,"&gt;0"))</f>
        <v/>
      </c>
    </row>
    <row r="138" customFormat="false" ht="15" hidden="false" customHeight="false" outlineLevel="0" collapsed="false">
      <c r="A138" s="37" t="str">
        <f aca="false">IF('Nhà cung cấp'!$A138="","",'Nhà cung cấp'!$A138)</f>
        <v/>
      </c>
      <c r="B138" s="37" t="str">
        <f aca="false">IF($A138="","",'Nhà cung cấp'!$B138)</f>
        <v/>
      </c>
      <c r="C138" s="37" t="str">
        <f aca="false">IF($A138="","",'Nhà cung cấp'!$H138)</f>
        <v/>
      </c>
      <c r="D138" s="38" t="str">
        <f aca="false">IF($A138="","",COUNTIFS('Báo giá'!$I$4:$I$203,$A138))</f>
        <v/>
      </c>
      <c r="E138" s="38" t="str">
        <f aca="false">IF($A138="","",COUNTIFS('Báo giá'!$I$4:$I$203,$A138,'Báo giá'!$T$4:$T$203,"x"))</f>
        <v/>
      </c>
      <c r="F138" s="39" t="str">
        <f aca="false">IF($A138="","",IFERROR($E138/$D138,""))</f>
        <v/>
      </c>
      <c r="G138" s="38" t="str">
        <f aca="false">IF($A138="","",COUNTIFS(PO!$H$4:$H$203,$A138))</f>
        <v/>
      </c>
      <c r="H138" s="38" t="str">
        <f aca="false">IF($A138="","",SUMIFS(PO!$L$4:$L$203,PO!$H$4:$H$203,$A138))</f>
        <v/>
      </c>
      <c r="I138" s="38" t="str">
        <f aca="false">IF($A138="","",SUMIFS(PO!$N$4:$N$203,PO!$H$4:$H$203,$A138))</f>
        <v/>
      </c>
      <c r="J138" s="38" t="str">
        <f aca="false">IF($A138="","",COUNTIFS(PO!$H$4:$H$203,$A138,PO!$S$4:$S$203,"Đúng hạn")+COUNTIFS(PO!$H$4:$H$203,$A138,PO!$S$4:$S$203,"Giao trễ")+COUNTIFS(PO!$H$4:$H$203,$A138,PO!$S$4:$S$203,"Trễ hạn"))</f>
        <v/>
      </c>
      <c r="K138" s="38" t="str">
        <f aca="false">IF($A138="","",COUNTIFS(PO!$H$4:$H$203,$A138,PO!$S$4:$S$203,"Đúng hạn"))</f>
        <v/>
      </c>
      <c r="L138" s="39" t="str">
        <f aca="false">IF($A138="","",IFERROR($K138/$J138,""))</f>
        <v/>
      </c>
      <c r="M138" s="38" t="str">
        <f aca="false">IF($A138="","",SUMIFS(PO!$U$4:$U$203,PO!$H$4:$H$203,$A138))</f>
        <v/>
      </c>
      <c r="N138" s="38" t="str">
        <f aca="false">IF($A138="","",SUMIFS(PO!$V$4:$V$203,PO!$H$4:$H$203,$A138))</f>
        <v/>
      </c>
      <c r="O138" s="39" t="str">
        <f aca="false">IF($A138="","",IFERROR($N138/$M138,""))</f>
        <v/>
      </c>
      <c r="P138" s="38" t="str">
        <f aca="false">IF($A138="","",SUMIFS('Thanh toán'!$H$4:$H$203,'Thanh toán'!$E$4:$E$203,$A138))</f>
        <v/>
      </c>
      <c r="Q138" s="38" t="str">
        <f aca="false">IF($A138="","",SUMIFS('Công nợ'!$I$4:$I$203,'Công nợ'!$D$4:$D$203,$A138))</f>
        <v/>
      </c>
      <c r="R138" s="38" t="str">
        <f aca="false">IF($A138="","",SUMIFS('Công nợ'!$I$4:$I$203,'Công nợ'!$D$4:$D$203,$A138,'Công nợ'!$K$4:$K$203,"&gt;0"))</f>
        <v/>
      </c>
    </row>
    <row r="139" customFormat="false" ht="15" hidden="false" customHeight="false" outlineLevel="0" collapsed="false">
      <c r="A139" s="37" t="str">
        <f aca="false">IF('Nhà cung cấp'!$A139="","",'Nhà cung cấp'!$A139)</f>
        <v/>
      </c>
      <c r="B139" s="37" t="str">
        <f aca="false">IF($A139="","",'Nhà cung cấp'!$B139)</f>
        <v/>
      </c>
      <c r="C139" s="37" t="str">
        <f aca="false">IF($A139="","",'Nhà cung cấp'!$H139)</f>
        <v/>
      </c>
      <c r="D139" s="38" t="str">
        <f aca="false">IF($A139="","",COUNTIFS('Báo giá'!$I$4:$I$203,$A139))</f>
        <v/>
      </c>
      <c r="E139" s="38" t="str">
        <f aca="false">IF($A139="","",COUNTIFS('Báo giá'!$I$4:$I$203,$A139,'Báo giá'!$T$4:$T$203,"x"))</f>
        <v/>
      </c>
      <c r="F139" s="39" t="str">
        <f aca="false">IF($A139="","",IFERROR($E139/$D139,""))</f>
        <v/>
      </c>
      <c r="G139" s="38" t="str">
        <f aca="false">IF($A139="","",COUNTIFS(PO!$H$4:$H$203,$A139))</f>
        <v/>
      </c>
      <c r="H139" s="38" t="str">
        <f aca="false">IF($A139="","",SUMIFS(PO!$L$4:$L$203,PO!$H$4:$H$203,$A139))</f>
        <v/>
      </c>
      <c r="I139" s="38" t="str">
        <f aca="false">IF($A139="","",SUMIFS(PO!$N$4:$N$203,PO!$H$4:$H$203,$A139))</f>
        <v/>
      </c>
      <c r="J139" s="38" t="str">
        <f aca="false">IF($A139="","",COUNTIFS(PO!$H$4:$H$203,$A139,PO!$S$4:$S$203,"Đúng hạn")+COUNTIFS(PO!$H$4:$H$203,$A139,PO!$S$4:$S$203,"Giao trễ")+COUNTIFS(PO!$H$4:$H$203,$A139,PO!$S$4:$S$203,"Trễ hạn"))</f>
        <v/>
      </c>
      <c r="K139" s="38" t="str">
        <f aca="false">IF($A139="","",COUNTIFS(PO!$H$4:$H$203,$A139,PO!$S$4:$S$203,"Đúng hạn"))</f>
        <v/>
      </c>
      <c r="L139" s="39" t="str">
        <f aca="false">IF($A139="","",IFERROR($K139/$J139,""))</f>
        <v/>
      </c>
      <c r="M139" s="38" t="str">
        <f aca="false">IF($A139="","",SUMIFS(PO!$U$4:$U$203,PO!$H$4:$H$203,$A139))</f>
        <v/>
      </c>
      <c r="N139" s="38" t="str">
        <f aca="false">IF($A139="","",SUMIFS(PO!$V$4:$V$203,PO!$H$4:$H$203,$A139))</f>
        <v/>
      </c>
      <c r="O139" s="39" t="str">
        <f aca="false">IF($A139="","",IFERROR($N139/$M139,""))</f>
        <v/>
      </c>
      <c r="P139" s="38" t="str">
        <f aca="false">IF($A139="","",SUMIFS('Thanh toán'!$H$4:$H$203,'Thanh toán'!$E$4:$E$203,$A139))</f>
        <v/>
      </c>
      <c r="Q139" s="38" t="str">
        <f aca="false">IF($A139="","",SUMIFS('Công nợ'!$I$4:$I$203,'Công nợ'!$D$4:$D$203,$A139))</f>
        <v/>
      </c>
      <c r="R139" s="38" t="str">
        <f aca="false">IF($A139="","",SUMIFS('Công nợ'!$I$4:$I$203,'Công nợ'!$D$4:$D$203,$A139,'Công nợ'!$K$4:$K$203,"&gt;0"))</f>
        <v/>
      </c>
    </row>
    <row r="140" customFormat="false" ht="15" hidden="false" customHeight="false" outlineLevel="0" collapsed="false">
      <c r="A140" s="37" t="str">
        <f aca="false">IF('Nhà cung cấp'!$A140="","",'Nhà cung cấp'!$A140)</f>
        <v/>
      </c>
      <c r="B140" s="37" t="str">
        <f aca="false">IF($A140="","",'Nhà cung cấp'!$B140)</f>
        <v/>
      </c>
      <c r="C140" s="37" t="str">
        <f aca="false">IF($A140="","",'Nhà cung cấp'!$H140)</f>
        <v/>
      </c>
      <c r="D140" s="38" t="str">
        <f aca="false">IF($A140="","",COUNTIFS('Báo giá'!$I$4:$I$203,$A140))</f>
        <v/>
      </c>
      <c r="E140" s="38" t="str">
        <f aca="false">IF($A140="","",COUNTIFS('Báo giá'!$I$4:$I$203,$A140,'Báo giá'!$T$4:$T$203,"x"))</f>
        <v/>
      </c>
      <c r="F140" s="39" t="str">
        <f aca="false">IF($A140="","",IFERROR($E140/$D140,""))</f>
        <v/>
      </c>
      <c r="G140" s="38" t="str">
        <f aca="false">IF($A140="","",COUNTIFS(PO!$H$4:$H$203,$A140))</f>
        <v/>
      </c>
      <c r="H140" s="38" t="str">
        <f aca="false">IF($A140="","",SUMIFS(PO!$L$4:$L$203,PO!$H$4:$H$203,$A140))</f>
        <v/>
      </c>
      <c r="I140" s="38" t="str">
        <f aca="false">IF($A140="","",SUMIFS(PO!$N$4:$N$203,PO!$H$4:$H$203,$A140))</f>
        <v/>
      </c>
      <c r="J140" s="38" t="str">
        <f aca="false">IF($A140="","",COUNTIFS(PO!$H$4:$H$203,$A140,PO!$S$4:$S$203,"Đúng hạn")+COUNTIFS(PO!$H$4:$H$203,$A140,PO!$S$4:$S$203,"Giao trễ")+COUNTIFS(PO!$H$4:$H$203,$A140,PO!$S$4:$S$203,"Trễ hạn"))</f>
        <v/>
      </c>
      <c r="K140" s="38" t="str">
        <f aca="false">IF($A140="","",COUNTIFS(PO!$H$4:$H$203,$A140,PO!$S$4:$S$203,"Đúng hạn"))</f>
        <v/>
      </c>
      <c r="L140" s="39" t="str">
        <f aca="false">IF($A140="","",IFERROR($K140/$J140,""))</f>
        <v/>
      </c>
      <c r="M140" s="38" t="str">
        <f aca="false">IF($A140="","",SUMIFS(PO!$U$4:$U$203,PO!$H$4:$H$203,$A140))</f>
        <v/>
      </c>
      <c r="N140" s="38" t="str">
        <f aca="false">IF($A140="","",SUMIFS(PO!$V$4:$V$203,PO!$H$4:$H$203,$A140))</f>
        <v/>
      </c>
      <c r="O140" s="39" t="str">
        <f aca="false">IF($A140="","",IFERROR($N140/$M140,""))</f>
        <v/>
      </c>
      <c r="P140" s="38" t="str">
        <f aca="false">IF($A140="","",SUMIFS('Thanh toán'!$H$4:$H$203,'Thanh toán'!$E$4:$E$203,$A140))</f>
        <v/>
      </c>
      <c r="Q140" s="38" t="str">
        <f aca="false">IF($A140="","",SUMIFS('Công nợ'!$I$4:$I$203,'Công nợ'!$D$4:$D$203,$A140))</f>
        <v/>
      </c>
      <c r="R140" s="38" t="str">
        <f aca="false">IF($A140="","",SUMIFS('Công nợ'!$I$4:$I$203,'Công nợ'!$D$4:$D$203,$A140,'Công nợ'!$K$4:$K$203,"&gt;0"))</f>
        <v/>
      </c>
    </row>
    <row r="141" customFormat="false" ht="15" hidden="false" customHeight="false" outlineLevel="0" collapsed="false">
      <c r="A141" s="37" t="str">
        <f aca="false">IF('Nhà cung cấp'!$A141="","",'Nhà cung cấp'!$A141)</f>
        <v/>
      </c>
      <c r="B141" s="37" t="str">
        <f aca="false">IF($A141="","",'Nhà cung cấp'!$B141)</f>
        <v/>
      </c>
      <c r="C141" s="37" t="str">
        <f aca="false">IF($A141="","",'Nhà cung cấp'!$H141)</f>
        <v/>
      </c>
      <c r="D141" s="38" t="str">
        <f aca="false">IF($A141="","",COUNTIFS('Báo giá'!$I$4:$I$203,$A141))</f>
        <v/>
      </c>
      <c r="E141" s="38" t="str">
        <f aca="false">IF($A141="","",COUNTIFS('Báo giá'!$I$4:$I$203,$A141,'Báo giá'!$T$4:$T$203,"x"))</f>
        <v/>
      </c>
      <c r="F141" s="39" t="str">
        <f aca="false">IF($A141="","",IFERROR($E141/$D141,""))</f>
        <v/>
      </c>
      <c r="G141" s="38" t="str">
        <f aca="false">IF($A141="","",COUNTIFS(PO!$H$4:$H$203,$A141))</f>
        <v/>
      </c>
      <c r="H141" s="38" t="str">
        <f aca="false">IF($A141="","",SUMIFS(PO!$L$4:$L$203,PO!$H$4:$H$203,$A141))</f>
        <v/>
      </c>
      <c r="I141" s="38" t="str">
        <f aca="false">IF($A141="","",SUMIFS(PO!$N$4:$N$203,PO!$H$4:$H$203,$A141))</f>
        <v/>
      </c>
      <c r="J141" s="38" t="str">
        <f aca="false">IF($A141="","",COUNTIFS(PO!$H$4:$H$203,$A141,PO!$S$4:$S$203,"Đúng hạn")+COUNTIFS(PO!$H$4:$H$203,$A141,PO!$S$4:$S$203,"Giao trễ")+COUNTIFS(PO!$H$4:$H$203,$A141,PO!$S$4:$S$203,"Trễ hạn"))</f>
        <v/>
      </c>
      <c r="K141" s="38" t="str">
        <f aca="false">IF($A141="","",COUNTIFS(PO!$H$4:$H$203,$A141,PO!$S$4:$S$203,"Đúng hạn"))</f>
        <v/>
      </c>
      <c r="L141" s="39" t="str">
        <f aca="false">IF($A141="","",IFERROR($K141/$J141,""))</f>
        <v/>
      </c>
      <c r="M141" s="38" t="str">
        <f aca="false">IF($A141="","",SUMIFS(PO!$U$4:$U$203,PO!$H$4:$H$203,$A141))</f>
        <v/>
      </c>
      <c r="N141" s="38" t="str">
        <f aca="false">IF($A141="","",SUMIFS(PO!$V$4:$V$203,PO!$H$4:$H$203,$A141))</f>
        <v/>
      </c>
      <c r="O141" s="39" t="str">
        <f aca="false">IF($A141="","",IFERROR($N141/$M141,""))</f>
        <v/>
      </c>
      <c r="P141" s="38" t="str">
        <f aca="false">IF($A141="","",SUMIFS('Thanh toán'!$H$4:$H$203,'Thanh toán'!$E$4:$E$203,$A141))</f>
        <v/>
      </c>
      <c r="Q141" s="38" t="str">
        <f aca="false">IF($A141="","",SUMIFS('Công nợ'!$I$4:$I$203,'Công nợ'!$D$4:$D$203,$A141))</f>
        <v/>
      </c>
      <c r="R141" s="38" t="str">
        <f aca="false">IF($A141="","",SUMIFS('Công nợ'!$I$4:$I$203,'Công nợ'!$D$4:$D$203,$A141,'Công nợ'!$K$4:$K$203,"&gt;0"))</f>
        <v/>
      </c>
    </row>
    <row r="142" customFormat="false" ht="15" hidden="false" customHeight="false" outlineLevel="0" collapsed="false">
      <c r="A142" s="37" t="str">
        <f aca="false">IF('Nhà cung cấp'!$A142="","",'Nhà cung cấp'!$A142)</f>
        <v/>
      </c>
      <c r="B142" s="37" t="str">
        <f aca="false">IF($A142="","",'Nhà cung cấp'!$B142)</f>
        <v/>
      </c>
      <c r="C142" s="37" t="str">
        <f aca="false">IF($A142="","",'Nhà cung cấp'!$H142)</f>
        <v/>
      </c>
      <c r="D142" s="38" t="str">
        <f aca="false">IF($A142="","",COUNTIFS('Báo giá'!$I$4:$I$203,$A142))</f>
        <v/>
      </c>
      <c r="E142" s="38" t="str">
        <f aca="false">IF($A142="","",COUNTIFS('Báo giá'!$I$4:$I$203,$A142,'Báo giá'!$T$4:$T$203,"x"))</f>
        <v/>
      </c>
      <c r="F142" s="39" t="str">
        <f aca="false">IF($A142="","",IFERROR($E142/$D142,""))</f>
        <v/>
      </c>
      <c r="G142" s="38" t="str">
        <f aca="false">IF($A142="","",COUNTIFS(PO!$H$4:$H$203,$A142))</f>
        <v/>
      </c>
      <c r="H142" s="38" t="str">
        <f aca="false">IF($A142="","",SUMIFS(PO!$L$4:$L$203,PO!$H$4:$H$203,$A142))</f>
        <v/>
      </c>
      <c r="I142" s="38" t="str">
        <f aca="false">IF($A142="","",SUMIFS(PO!$N$4:$N$203,PO!$H$4:$H$203,$A142))</f>
        <v/>
      </c>
      <c r="J142" s="38" t="str">
        <f aca="false">IF($A142="","",COUNTIFS(PO!$H$4:$H$203,$A142,PO!$S$4:$S$203,"Đúng hạn")+COUNTIFS(PO!$H$4:$H$203,$A142,PO!$S$4:$S$203,"Giao trễ")+COUNTIFS(PO!$H$4:$H$203,$A142,PO!$S$4:$S$203,"Trễ hạn"))</f>
        <v/>
      </c>
      <c r="K142" s="38" t="str">
        <f aca="false">IF($A142="","",COUNTIFS(PO!$H$4:$H$203,$A142,PO!$S$4:$S$203,"Đúng hạn"))</f>
        <v/>
      </c>
      <c r="L142" s="39" t="str">
        <f aca="false">IF($A142="","",IFERROR($K142/$J142,""))</f>
        <v/>
      </c>
      <c r="M142" s="38" t="str">
        <f aca="false">IF($A142="","",SUMIFS(PO!$U$4:$U$203,PO!$H$4:$H$203,$A142))</f>
        <v/>
      </c>
      <c r="N142" s="38" t="str">
        <f aca="false">IF($A142="","",SUMIFS(PO!$V$4:$V$203,PO!$H$4:$H$203,$A142))</f>
        <v/>
      </c>
      <c r="O142" s="39" t="str">
        <f aca="false">IF($A142="","",IFERROR($N142/$M142,""))</f>
        <v/>
      </c>
      <c r="P142" s="38" t="str">
        <f aca="false">IF($A142="","",SUMIFS('Thanh toán'!$H$4:$H$203,'Thanh toán'!$E$4:$E$203,$A142))</f>
        <v/>
      </c>
      <c r="Q142" s="38" t="str">
        <f aca="false">IF($A142="","",SUMIFS('Công nợ'!$I$4:$I$203,'Công nợ'!$D$4:$D$203,$A142))</f>
        <v/>
      </c>
      <c r="R142" s="38" t="str">
        <f aca="false">IF($A142="","",SUMIFS('Công nợ'!$I$4:$I$203,'Công nợ'!$D$4:$D$203,$A142,'Công nợ'!$K$4:$K$203,"&gt;0"))</f>
        <v/>
      </c>
    </row>
    <row r="143" customFormat="false" ht="15" hidden="false" customHeight="false" outlineLevel="0" collapsed="false">
      <c r="A143" s="37" t="str">
        <f aca="false">IF('Nhà cung cấp'!$A143="","",'Nhà cung cấp'!$A143)</f>
        <v/>
      </c>
      <c r="B143" s="37" t="str">
        <f aca="false">IF($A143="","",'Nhà cung cấp'!$B143)</f>
        <v/>
      </c>
      <c r="C143" s="37" t="str">
        <f aca="false">IF($A143="","",'Nhà cung cấp'!$H143)</f>
        <v/>
      </c>
      <c r="D143" s="38" t="str">
        <f aca="false">IF($A143="","",COUNTIFS('Báo giá'!$I$4:$I$203,$A143))</f>
        <v/>
      </c>
      <c r="E143" s="38" t="str">
        <f aca="false">IF($A143="","",COUNTIFS('Báo giá'!$I$4:$I$203,$A143,'Báo giá'!$T$4:$T$203,"x"))</f>
        <v/>
      </c>
      <c r="F143" s="39" t="str">
        <f aca="false">IF($A143="","",IFERROR($E143/$D143,""))</f>
        <v/>
      </c>
      <c r="G143" s="38" t="str">
        <f aca="false">IF($A143="","",COUNTIFS(PO!$H$4:$H$203,$A143))</f>
        <v/>
      </c>
      <c r="H143" s="38" t="str">
        <f aca="false">IF($A143="","",SUMIFS(PO!$L$4:$L$203,PO!$H$4:$H$203,$A143))</f>
        <v/>
      </c>
      <c r="I143" s="38" t="str">
        <f aca="false">IF($A143="","",SUMIFS(PO!$N$4:$N$203,PO!$H$4:$H$203,$A143))</f>
        <v/>
      </c>
      <c r="J143" s="38" t="str">
        <f aca="false">IF($A143="","",COUNTIFS(PO!$H$4:$H$203,$A143,PO!$S$4:$S$203,"Đúng hạn")+COUNTIFS(PO!$H$4:$H$203,$A143,PO!$S$4:$S$203,"Giao trễ")+COUNTIFS(PO!$H$4:$H$203,$A143,PO!$S$4:$S$203,"Trễ hạn"))</f>
        <v/>
      </c>
      <c r="K143" s="38" t="str">
        <f aca="false">IF($A143="","",COUNTIFS(PO!$H$4:$H$203,$A143,PO!$S$4:$S$203,"Đúng hạn"))</f>
        <v/>
      </c>
      <c r="L143" s="39" t="str">
        <f aca="false">IF($A143="","",IFERROR($K143/$J143,""))</f>
        <v/>
      </c>
      <c r="M143" s="38" t="str">
        <f aca="false">IF($A143="","",SUMIFS(PO!$U$4:$U$203,PO!$H$4:$H$203,$A143))</f>
        <v/>
      </c>
      <c r="N143" s="38" t="str">
        <f aca="false">IF($A143="","",SUMIFS(PO!$V$4:$V$203,PO!$H$4:$H$203,$A143))</f>
        <v/>
      </c>
      <c r="O143" s="39" t="str">
        <f aca="false">IF($A143="","",IFERROR($N143/$M143,""))</f>
        <v/>
      </c>
      <c r="P143" s="38" t="str">
        <f aca="false">IF($A143="","",SUMIFS('Thanh toán'!$H$4:$H$203,'Thanh toán'!$E$4:$E$203,$A143))</f>
        <v/>
      </c>
      <c r="Q143" s="38" t="str">
        <f aca="false">IF($A143="","",SUMIFS('Công nợ'!$I$4:$I$203,'Công nợ'!$D$4:$D$203,$A143))</f>
        <v/>
      </c>
      <c r="R143" s="38" t="str">
        <f aca="false">IF($A143="","",SUMIFS('Công nợ'!$I$4:$I$203,'Công nợ'!$D$4:$D$203,$A143,'Công nợ'!$K$4:$K$203,"&gt;0"))</f>
        <v/>
      </c>
    </row>
    <row r="144" customFormat="false" ht="15" hidden="false" customHeight="false" outlineLevel="0" collapsed="false">
      <c r="A144" s="37" t="str">
        <f aca="false">IF('Nhà cung cấp'!$A144="","",'Nhà cung cấp'!$A144)</f>
        <v/>
      </c>
      <c r="B144" s="37" t="str">
        <f aca="false">IF($A144="","",'Nhà cung cấp'!$B144)</f>
        <v/>
      </c>
      <c r="C144" s="37" t="str">
        <f aca="false">IF($A144="","",'Nhà cung cấp'!$H144)</f>
        <v/>
      </c>
      <c r="D144" s="38" t="str">
        <f aca="false">IF($A144="","",COUNTIFS('Báo giá'!$I$4:$I$203,$A144))</f>
        <v/>
      </c>
      <c r="E144" s="38" t="str">
        <f aca="false">IF($A144="","",COUNTIFS('Báo giá'!$I$4:$I$203,$A144,'Báo giá'!$T$4:$T$203,"x"))</f>
        <v/>
      </c>
      <c r="F144" s="39" t="str">
        <f aca="false">IF($A144="","",IFERROR($E144/$D144,""))</f>
        <v/>
      </c>
      <c r="G144" s="38" t="str">
        <f aca="false">IF($A144="","",COUNTIFS(PO!$H$4:$H$203,$A144))</f>
        <v/>
      </c>
      <c r="H144" s="38" t="str">
        <f aca="false">IF($A144="","",SUMIFS(PO!$L$4:$L$203,PO!$H$4:$H$203,$A144))</f>
        <v/>
      </c>
      <c r="I144" s="38" t="str">
        <f aca="false">IF($A144="","",SUMIFS(PO!$N$4:$N$203,PO!$H$4:$H$203,$A144))</f>
        <v/>
      </c>
      <c r="J144" s="38" t="str">
        <f aca="false">IF($A144="","",COUNTIFS(PO!$H$4:$H$203,$A144,PO!$S$4:$S$203,"Đúng hạn")+COUNTIFS(PO!$H$4:$H$203,$A144,PO!$S$4:$S$203,"Giao trễ")+COUNTIFS(PO!$H$4:$H$203,$A144,PO!$S$4:$S$203,"Trễ hạn"))</f>
        <v/>
      </c>
      <c r="K144" s="38" t="str">
        <f aca="false">IF($A144="","",COUNTIFS(PO!$H$4:$H$203,$A144,PO!$S$4:$S$203,"Đúng hạn"))</f>
        <v/>
      </c>
      <c r="L144" s="39" t="str">
        <f aca="false">IF($A144="","",IFERROR($K144/$J144,""))</f>
        <v/>
      </c>
      <c r="M144" s="38" t="str">
        <f aca="false">IF($A144="","",SUMIFS(PO!$U$4:$U$203,PO!$H$4:$H$203,$A144))</f>
        <v/>
      </c>
      <c r="N144" s="38" t="str">
        <f aca="false">IF($A144="","",SUMIFS(PO!$V$4:$V$203,PO!$H$4:$H$203,$A144))</f>
        <v/>
      </c>
      <c r="O144" s="39" t="str">
        <f aca="false">IF($A144="","",IFERROR($N144/$M144,""))</f>
        <v/>
      </c>
      <c r="P144" s="38" t="str">
        <f aca="false">IF($A144="","",SUMIFS('Thanh toán'!$H$4:$H$203,'Thanh toán'!$E$4:$E$203,$A144))</f>
        <v/>
      </c>
      <c r="Q144" s="38" t="str">
        <f aca="false">IF($A144="","",SUMIFS('Công nợ'!$I$4:$I$203,'Công nợ'!$D$4:$D$203,$A144))</f>
        <v/>
      </c>
      <c r="R144" s="38" t="str">
        <f aca="false">IF($A144="","",SUMIFS('Công nợ'!$I$4:$I$203,'Công nợ'!$D$4:$D$203,$A144,'Công nợ'!$K$4:$K$203,"&gt;0"))</f>
        <v/>
      </c>
    </row>
    <row r="145" customFormat="false" ht="15" hidden="false" customHeight="false" outlineLevel="0" collapsed="false">
      <c r="A145" s="37" t="str">
        <f aca="false">IF('Nhà cung cấp'!$A145="","",'Nhà cung cấp'!$A145)</f>
        <v/>
      </c>
      <c r="B145" s="37" t="str">
        <f aca="false">IF($A145="","",'Nhà cung cấp'!$B145)</f>
        <v/>
      </c>
      <c r="C145" s="37" t="str">
        <f aca="false">IF($A145="","",'Nhà cung cấp'!$H145)</f>
        <v/>
      </c>
      <c r="D145" s="38" t="str">
        <f aca="false">IF($A145="","",COUNTIFS('Báo giá'!$I$4:$I$203,$A145))</f>
        <v/>
      </c>
      <c r="E145" s="38" t="str">
        <f aca="false">IF($A145="","",COUNTIFS('Báo giá'!$I$4:$I$203,$A145,'Báo giá'!$T$4:$T$203,"x"))</f>
        <v/>
      </c>
      <c r="F145" s="39" t="str">
        <f aca="false">IF($A145="","",IFERROR($E145/$D145,""))</f>
        <v/>
      </c>
      <c r="G145" s="38" t="str">
        <f aca="false">IF($A145="","",COUNTIFS(PO!$H$4:$H$203,$A145))</f>
        <v/>
      </c>
      <c r="H145" s="38" t="str">
        <f aca="false">IF($A145="","",SUMIFS(PO!$L$4:$L$203,PO!$H$4:$H$203,$A145))</f>
        <v/>
      </c>
      <c r="I145" s="38" t="str">
        <f aca="false">IF($A145="","",SUMIFS(PO!$N$4:$N$203,PO!$H$4:$H$203,$A145))</f>
        <v/>
      </c>
      <c r="J145" s="38" t="str">
        <f aca="false">IF($A145="","",COUNTIFS(PO!$H$4:$H$203,$A145,PO!$S$4:$S$203,"Đúng hạn")+COUNTIFS(PO!$H$4:$H$203,$A145,PO!$S$4:$S$203,"Giao trễ")+COUNTIFS(PO!$H$4:$H$203,$A145,PO!$S$4:$S$203,"Trễ hạn"))</f>
        <v/>
      </c>
      <c r="K145" s="38" t="str">
        <f aca="false">IF($A145="","",COUNTIFS(PO!$H$4:$H$203,$A145,PO!$S$4:$S$203,"Đúng hạn"))</f>
        <v/>
      </c>
      <c r="L145" s="39" t="str">
        <f aca="false">IF($A145="","",IFERROR($K145/$J145,""))</f>
        <v/>
      </c>
      <c r="M145" s="38" t="str">
        <f aca="false">IF($A145="","",SUMIFS(PO!$U$4:$U$203,PO!$H$4:$H$203,$A145))</f>
        <v/>
      </c>
      <c r="N145" s="38" t="str">
        <f aca="false">IF($A145="","",SUMIFS(PO!$V$4:$V$203,PO!$H$4:$H$203,$A145))</f>
        <v/>
      </c>
      <c r="O145" s="39" t="str">
        <f aca="false">IF($A145="","",IFERROR($N145/$M145,""))</f>
        <v/>
      </c>
      <c r="P145" s="38" t="str">
        <f aca="false">IF($A145="","",SUMIFS('Thanh toán'!$H$4:$H$203,'Thanh toán'!$E$4:$E$203,$A145))</f>
        <v/>
      </c>
      <c r="Q145" s="38" t="str">
        <f aca="false">IF($A145="","",SUMIFS('Công nợ'!$I$4:$I$203,'Công nợ'!$D$4:$D$203,$A145))</f>
        <v/>
      </c>
      <c r="R145" s="38" t="str">
        <f aca="false">IF($A145="","",SUMIFS('Công nợ'!$I$4:$I$203,'Công nợ'!$D$4:$D$203,$A145,'Công nợ'!$K$4:$K$203,"&gt;0"))</f>
        <v/>
      </c>
    </row>
    <row r="146" customFormat="false" ht="15" hidden="false" customHeight="false" outlineLevel="0" collapsed="false">
      <c r="A146" s="37" t="str">
        <f aca="false">IF('Nhà cung cấp'!$A146="","",'Nhà cung cấp'!$A146)</f>
        <v/>
      </c>
      <c r="B146" s="37" t="str">
        <f aca="false">IF($A146="","",'Nhà cung cấp'!$B146)</f>
        <v/>
      </c>
      <c r="C146" s="37" t="str">
        <f aca="false">IF($A146="","",'Nhà cung cấp'!$H146)</f>
        <v/>
      </c>
      <c r="D146" s="38" t="str">
        <f aca="false">IF($A146="","",COUNTIFS('Báo giá'!$I$4:$I$203,$A146))</f>
        <v/>
      </c>
      <c r="E146" s="38" t="str">
        <f aca="false">IF($A146="","",COUNTIFS('Báo giá'!$I$4:$I$203,$A146,'Báo giá'!$T$4:$T$203,"x"))</f>
        <v/>
      </c>
      <c r="F146" s="39" t="str">
        <f aca="false">IF($A146="","",IFERROR($E146/$D146,""))</f>
        <v/>
      </c>
      <c r="G146" s="38" t="str">
        <f aca="false">IF($A146="","",COUNTIFS(PO!$H$4:$H$203,$A146))</f>
        <v/>
      </c>
      <c r="H146" s="38" t="str">
        <f aca="false">IF($A146="","",SUMIFS(PO!$L$4:$L$203,PO!$H$4:$H$203,$A146))</f>
        <v/>
      </c>
      <c r="I146" s="38" t="str">
        <f aca="false">IF($A146="","",SUMIFS(PO!$N$4:$N$203,PO!$H$4:$H$203,$A146))</f>
        <v/>
      </c>
      <c r="J146" s="38" t="str">
        <f aca="false">IF($A146="","",COUNTIFS(PO!$H$4:$H$203,$A146,PO!$S$4:$S$203,"Đúng hạn")+COUNTIFS(PO!$H$4:$H$203,$A146,PO!$S$4:$S$203,"Giao trễ")+COUNTIFS(PO!$H$4:$H$203,$A146,PO!$S$4:$S$203,"Trễ hạn"))</f>
        <v/>
      </c>
      <c r="K146" s="38" t="str">
        <f aca="false">IF($A146="","",COUNTIFS(PO!$H$4:$H$203,$A146,PO!$S$4:$S$203,"Đúng hạn"))</f>
        <v/>
      </c>
      <c r="L146" s="39" t="str">
        <f aca="false">IF($A146="","",IFERROR($K146/$J146,""))</f>
        <v/>
      </c>
      <c r="M146" s="38" t="str">
        <f aca="false">IF($A146="","",SUMIFS(PO!$U$4:$U$203,PO!$H$4:$H$203,$A146))</f>
        <v/>
      </c>
      <c r="N146" s="38" t="str">
        <f aca="false">IF($A146="","",SUMIFS(PO!$V$4:$V$203,PO!$H$4:$H$203,$A146))</f>
        <v/>
      </c>
      <c r="O146" s="39" t="str">
        <f aca="false">IF($A146="","",IFERROR($N146/$M146,""))</f>
        <v/>
      </c>
      <c r="P146" s="38" t="str">
        <f aca="false">IF($A146="","",SUMIFS('Thanh toán'!$H$4:$H$203,'Thanh toán'!$E$4:$E$203,$A146))</f>
        <v/>
      </c>
      <c r="Q146" s="38" t="str">
        <f aca="false">IF($A146="","",SUMIFS('Công nợ'!$I$4:$I$203,'Công nợ'!$D$4:$D$203,$A146))</f>
        <v/>
      </c>
      <c r="R146" s="38" t="str">
        <f aca="false">IF($A146="","",SUMIFS('Công nợ'!$I$4:$I$203,'Công nợ'!$D$4:$D$203,$A146,'Công nợ'!$K$4:$K$203,"&gt;0"))</f>
        <v/>
      </c>
    </row>
    <row r="147" customFormat="false" ht="15" hidden="false" customHeight="false" outlineLevel="0" collapsed="false">
      <c r="A147" s="37" t="str">
        <f aca="false">IF('Nhà cung cấp'!$A147="","",'Nhà cung cấp'!$A147)</f>
        <v/>
      </c>
      <c r="B147" s="37" t="str">
        <f aca="false">IF($A147="","",'Nhà cung cấp'!$B147)</f>
        <v/>
      </c>
      <c r="C147" s="37" t="str">
        <f aca="false">IF($A147="","",'Nhà cung cấp'!$H147)</f>
        <v/>
      </c>
      <c r="D147" s="38" t="str">
        <f aca="false">IF($A147="","",COUNTIFS('Báo giá'!$I$4:$I$203,$A147))</f>
        <v/>
      </c>
      <c r="E147" s="38" t="str">
        <f aca="false">IF($A147="","",COUNTIFS('Báo giá'!$I$4:$I$203,$A147,'Báo giá'!$T$4:$T$203,"x"))</f>
        <v/>
      </c>
      <c r="F147" s="39" t="str">
        <f aca="false">IF($A147="","",IFERROR($E147/$D147,""))</f>
        <v/>
      </c>
      <c r="G147" s="38" t="str">
        <f aca="false">IF($A147="","",COUNTIFS(PO!$H$4:$H$203,$A147))</f>
        <v/>
      </c>
      <c r="H147" s="38" t="str">
        <f aca="false">IF($A147="","",SUMIFS(PO!$L$4:$L$203,PO!$H$4:$H$203,$A147))</f>
        <v/>
      </c>
      <c r="I147" s="38" t="str">
        <f aca="false">IF($A147="","",SUMIFS(PO!$N$4:$N$203,PO!$H$4:$H$203,$A147))</f>
        <v/>
      </c>
      <c r="J147" s="38" t="str">
        <f aca="false">IF($A147="","",COUNTIFS(PO!$H$4:$H$203,$A147,PO!$S$4:$S$203,"Đúng hạn")+COUNTIFS(PO!$H$4:$H$203,$A147,PO!$S$4:$S$203,"Giao trễ")+COUNTIFS(PO!$H$4:$H$203,$A147,PO!$S$4:$S$203,"Trễ hạn"))</f>
        <v/>
      </c>
      <c r="K147" s="38" t="str">
        <f aca="false">IF($A147="","",COUNTIFS(PO!$H$4:$H$203,$A147,PO!$S$4:$S$203,"Đúng hạn"))</f>
        <v/>
      </c>
      <c r="L147" s="39" t="str">
        <f aca="false">IF($A147="","",IFERROR($K147/$J147,""))</f>
        <v/>
      </c>
      <c r="M147" s="38" t="str">
        <f aca="false">IF($A147="","",SUMIFS(PO!$U$4:$U$203,PO!$H$4:$H$203,$A147))</f>
        <v/>
      </c>
      <c r="N147" s="38" t="str">
        <f aca="false">IF($A147="","",SUMIFS(PO!$V$4:$V$203,PO!$H$4:$H$203,$A147))</f>
        <v/>
      </c>
      <c r="O147" s="39" t="str">
        <f aca="false">IF($A147="","",IFERROR($N147/$M147,""))</f>
        <v/>
      </c>
      <c r="P147" s="38" t="str">
        <f aca="false">IF($A147="","",SUMIFS('Thanh toán'!$H$4:$H$203,'Thanh toán'!$E$4:$E$203,$A147))</f>
        <v/>
      </c>
      <c r="Q147" s="38" t="str">
        <f aca="false">IF($A147="","",SUMIFS('Công nợ'!$I$4:$I$203,'Công nợ'!$D$4:$D$203,$A147))</f>
        <v/>
      </c>
      <c r="R147" s="38" t="str">
        <f aca="false">IF($A147="","",SUMIFS('Công nợ'!$I$4:$I$203,'Công nợ'!$D$4:$D$203,$A147,'Công nợ'!$K$4:$K$203,"&gt;0"))</f>
        <v/>
      </c>
    </row>
    <row r="148" customFormat="false" ht="15" hidden="false" customHeight="false" outlineLevel="0" collapsed="false">
      <c r="A148" s="37" t="str">
        <f aca="false">IF('Nhà cung cấp'!$A148="","",'Nhà cung cấp'!$A148)</f>
        <v/>
      </c>
      <c r="B148" s="37" t="str">
        <f aca="false">IF($A148="","",'Nhà cung cấp'!$B148)</f>
        <v/>
      </c>
      <c r="C148" s="37" t="str">
        <f aca="false">IF($A148="","",'Nhà cung cấp'!$H148)</f>
        <v/>
      </c>
      <c r="D148" s="38" t="str">
        <f aca="false">IF($A148="","",COUNTIFS('Báo giá'!$I$4:$I$203,$A148))</f>
        <v/>
      </c>
      <c r="E148" s="38" t="str">
        <f aca="false">IF($A148="","",COUNTIFS('Báo giá'!$I$4:$I$203,$A148,'Báo giá'!$T$4:$T$203,"x"))</f>
        <v/>
      </c>
      <c r="F148" s="39" t="str">
        <f aca="false">IF($A148="","",IFERROR($E148/$D148,""))</f>
        <v/>
      </c>
      <c r="G148" s="38" t="str">
        <f aca="false">IF($A148="","",COUNTIFS(PO!$H$4:$H$203,$A148))</f>
        <v/>
      </c>
      <c r="H148" s="38" t="str">
        <f aca="false">IF($A148="","",SUMIFS(PO!$L$4:$L$203,PO!$H$4:$H$203,$A148))</f>
        <v/>
      </c>
      <c r="I148" s="38" t="str">
        <f aca="false">IF($A148="","",SUMIFS(PO!$N$4:$N$203,PO!$H$4:$H$203,$A148))</f>
        <v/>
      </c>
      <c r="J148" s="38" t="str">
        <f aca="false">IF($A148="","",COUNTIFS(PO!$H$4:$H$203,$A148,PO!$S$4:$S$203,"Đúng hạn")+COUNTIFS(PO!$H$4:$H$203,$A148,PO!$S$4:$S$203,"Giao trễ")+COUNTIFS(PO!$H$4:$H$203,$A148,PO!$S$4:$S$203,"Trễ hạn"))</f>
        <v/>
      </c>
      <c r="K148" s="38" t="str">
        <f aca="false">IF($A148="","",COUNTIFS(PO!$H$4:$H$203,$A148,PO!$S$4:$S$203,"Đúng hạn"))</f>
        <v/>
      </c>
      <c r="L148" s="39" t="str">
        <f aca="false">IF($A148="","",IFERROR($K148/$J148,""))</f>
        <v/>
      </c>
      <c r="M148" s="38" t="str">
        <f aca="false">IF($A148="","",SUMIFS(PO!$U$4:$U$203,PO!$H$4:$H$203,$A148))</f>
        <v/>
      </c>
      <c r="N148" s="38" t="str">
        <f aca="false">IF($A148="","",SUMIFS(PO!$V$4:$V$203,PO!$H$4:$H$203,$A148))</f>
        <v/>
      </c>
      <c r="O148" s="39" t="str">
        <f aca="false">IF($A148="","",IFERROR($N148/$M148,""))</f>
        <v/>
      </c>
      <c r="P148" s="38" t="str">
        <f aca="false">IF($A148="","",SUMIFS('Thanh toán'!$H$4:$H$203,'Thanh toán'!$E$4:$E$203,$A148))</f>
        <v/>
      </c>
      <c r="Q148" s="38" t="str">
        <f aca="false">IF($A148="","",SUMIFS('Công nợ'!$I$4:$I$203,'Công nợ'!$D$4:$D$203,$A148))</f>
        <v/>
      </c>
      <c r="R148" s="38" t="str">
        <f aca="false">IF($A148="","",SUMIFS('Công nợ'!$I$4:$I$203,'Công nợ'!$D$4:$D$203,$A148,'Công nợ'!$K$4:$K$203,"&gt;0"))</f>
        <v/>
      </c>
    </row>
    <row r="149" customFormat="false" ht="15" hidden="false" customHeight="false" outlineLevel="0" collapsed="false">
      <c r="A149" s="37" t="str">
        <f aca="false">IF('Nhà cung cấp'!$A149="","",'Nhà cung cấp'!$A149)</f>
        <v/>
      </c>
      <c r="B149" s="37" t="str">
        <f aca="false">IF($A149="","",'Nhà cung cấp'!$B149)</f>
        <v/>
      </c>
      <c r="C149" s="37" t="str">
        <f aca="false">IF($A149="","",'Nhà cung cấp'!$H149)</f>
        <v/>
      </c>
      <c r="D149" s="38" t="str">
        <f aca="false">IF($A149="","",COUNTIFS('Báo giá'!$I$4:$I$203,$A149))</f>
        <v/>
      </c>
      <c r="E149" s="38" t="str">
        <f aca="false">IF($A149="","",COUNTIFS('Báo giá'!$I$4:$I$203,$A149,'Báo giá'!$T$4:$T$203,"x"))</f>
        <v/>
      </c>
      <c r="F149" s="39" t="str">
        <f aca="false">IF($A149="","",IFERROR($E149/$D149,""))</f>
        <v/>
      </c>
      <c r="G149" s="38" t="str">
        <f aca="false">IF($A149="","",COUNTIFS(PO!$H$4:$H$203,$A149))</f>
        <v/>
      </c>
      <c r="H149" s="38" t="str">
        <f aca="false">IF($A149="","",SUMIFS(PO!$L$4:$L$203,PO!$H$4:$H$203,$A149))</f>
        <v/>
      </c>
      <c r="I149" s="38" t="str">
        <f aca="false">IF($A149="","",SUMIFS(PO!$N$4:$N$203,PO!$H$4:$H$203,$A149))</f>
        <v/>
      </c>
      <c r="J149" s="38" t="str">
        <f aca="false">IF($A149="","",COUNTIFS(PO!$H$4:$H$203,$A149,PO!$S$4:$S$203,"Đúng hạn")+COUNTIFS(PO!$H$4:$H$203,$A149,PO!$S$4:$S$203,"Giao trễ")+COUNTIFS(PO!$H$4:$H$203,$A149,PO!$S$4:$S$203,"Trễ hạn"))</f>
        <v/>
      </c>
      <c r="K149" s="38" t="str">
        <f aca="false">IF($A149="","",COUNTIFS(PO!$H$4:$H$203,$A149,PO!$S$4:$S$203,"Đúng hạn"))</f>
        <v/>
      </c>
      <c r="L149" s="39" t="str">
        <f aca="false">IF($A149="","",IFERROR($K149/$J149,""))</f>
        <v/>
      </c>
      <c r="M149" s="38" t="str">
        <f aca="false">IF($A149="","",SUMIFS(PO!$U$4:$U$203,PO!$H$4:$H$203,$A149))</f>
        <v/>
      </c>
      <c r="N149" s="38" t="str">
        <f aca="false">IF($A149="","",SUMIFS(PO!$V$4:$V$203,PO!$H$4:$H$203,$A149))</f>
        <v/>
      </c>
      <c r="O149" s="39" t="str">
        <f aca="false">IF($A149="","",IFERROR($N149/$M149,""))</f>
        <v/>
      </c>
      <c r="P149" s="38" t="str">
        <f aca="false">IF($A149="","",SUMIFS('Thanh toán'!$H$4:$H$203,'Thanh toán'!$E$4:$E$203,$A149))</f>
        <v/>
      </c>
      <c r="Q149" s="38" t="str">
        <f aca="false">IF($A149="","",SUMIFS('Công nợ'!$I$4:$I$203,'Công nợ'!$D$4:$D$203,$A149))</f>
        <v/>
      </c>
      <c r="R149" s="38" t="str">
        <f aca="false">IF($A149="","",SUMIFS('Công nợ'!$I$4:$I$203,'Công nợ'!$D$4:$D$203,$A149,'Công nợ'!$K$4:$K$203,"&gt;0"))</f>
        <v/>
      </c>
    </row>
    <row r="150" customFormat="false" ht="15" hidden="false" customHeight="false" outlineLevel="0" collapsed="false">
      <c r="A150" s="37" t="str">
        <f aca="false">IF('Nhà cung cấp'!$A150="","",'Nhà cung cấp'!$A150)</f>
        <v/>
      </c>
      <c r="B150" s="37" t="str">
        <f aca="false">IF($A150="","",'Nhà cung cấp'!$B150)</f>
        <v/>
      </c>
      <c r="C150" s="37" t="str">
        <f aca="false">IF($A150="","",'Nhà cung cấp'!$H150)</f>
        <v/>
      </c>
      <c r="D150" s="38" t="str">
        <f aca="false">IF($A150="","",COUNTIFS('Báo giá'!$I$4:$I$203,$A150))</f>
        <v/>
      </c>
      <c r="E150" s="38" t="str">
        <f aca="false">IF($A150="","",COUNTIFS('Báo giá'!$I$4:$I$203,$A150,'Báo giá'!$T$4:$T$203,"x"))</f>
        <v/>
      </c>
      <c r="F150" s="39" t="str">
        <f aca="false">IF($A150="","",IFERROR($E150/$D150,""))</f>
        <v/>
      </c>
      <c r="G150" s="38" t="str">
        <f aca="false">IF($A150="","",COUNTIFS(PO!$H$4:$H$203,$A150))</f>
        <v/>
      </c>
      <c r="H150" s="38" t="str">
        <f aca="false">IF($A150="","",SUMIFS(PO!$L$4:$L$203,PO!$H$4:$H$203,$A150))</f>
        <v/>
      </c>
      <c r="I150" s="38" t="str">
        <f aca="false">IF($A150="","",SUMIFS(PO!$N$4:$N$203,PO!$H$4:$H$203,$A150))</f>
        <v/>
      </c>
      <c r="J150" s="38" t="str">
        <f aca="false">IF($A150="","",COUNTIFS(PO!$H$4:$H$203,$A150,PO!$S$4:$S$203,"Đúng hạn")+COUNTIFS(PO!$H$4:$H$203,$A150,PO!$S$4:$S$203,"Giao trễ")+COUNTIFS(PO!$H$4:$H$203,$A150,PO!$S$4:$S$203,"Trễ hạn"))</f>
        <v/>
      </c>
      <c r="K150" s="38" t="str">
        <f aca="false">IF($A150="","",COUNTIFS(PO!$H$4:$H$203,$A150,PO!$S$4:$S$203,"Đúng hạn"))</f>
        <v/>
      </c>
      <c r="L150" s="39" t="str">
        <f aca="false">IF($A150="","",IFERROR($K150/$J150,""))</f>
        <v/>
      </c>
      <c r="M150" s="38" t="str">
        <f aca="false">IF($A150="","",SUMIFS(PO!$U$4:$U$203,PO!$H$4:$H$203,$A150))</f>
        <v/>
      </c>
      <c r="N150" s="38" t="str">
        <f aca="false">IF($A150="","",SUMIFS(PO!$V$4:$V$203,PO!$H$4:$H$203,$A150))</f>
        <v/>
      </c>
      <c r="O150" s="39" t="str">
        <f aca="false">IF($A150="","",IFERROR($N150/$M150,""))</f>
        <v/>
      </c>
      <c r="P150" s="38" t="str">
        <f aca="false">IF($A150="","",SUMIFS('Thanh toán'!$H$4:$H$203,'Thanh toán'!$E$4:$E$203,$A150))</f>
        <v/>
      </c>
      <c r="Q150" s="38" t="str">
        <f aca="false">IF($A150="","",SUMIFS('Công nợ'!$I$4:$I$203,'Công nợ'!$D$4:$D$203,$A150))</f>
        <v/>
      </c>
      <c r="R150" s="38" t="str">
        <f aca="false">IF($A150="","",SUMIFS('Công nợ'!$I$4:$I$203,'Công nợ'!$D$4:$D$203,$A150,'Công nợ'!$K$4:$K$203,"&gt;0"))</f>
        <v/>
      </c>
    </row>
    <row r="151" customFormat="false" ht="15" hidden="false" customHeight="false" outlineLevel="0" collapsed="false">
      <c r="A151" s="37" t="str">
        <f aca="false">IF('Nhà cung cấp'!$A151="","",'Nhà cung cấp'!$A151)</f>
        <v/>
      </c>
      <c r="B151" s="37" t="str">
        <f aca="false">IF($A151="","",'Nhà cung cấp'!$B151)</f>
        <v/>
      </c>
      <c r="C151" s="37" t="str">
        <f aca="false">IF($A151="","",'Nhà cung cấp'!$H151)</f>
        <v/>
      </c>
      <c r="D151" s="38" t="str">
        <f aca="false">IF($A151="","",COUNTIFS('Báo giá'!$I$4:$I$203,$A151))</f>
        <v/>
      </c>
      <c r="E151" s="38" t="str">
        <f aca="false">IF($A151="","",COUNTIFS('Báo giá'!$I$4:$I$203,$A151,'Báo giá'!$T$4:$T$203,"x"))</f>
        <v/>
      </c>
      <c r="F151" s="39" t="str">
        <f aca="false">IF($A151="","",IFERROR($E151/$D151,""))</f>
        <v/>
      </c>
      <c r="G151" s="38" t="str">
        <f aca="false">IF($A151="","",COUNTIFS(PO!$H$4:$H$203,$A151))</f>
        <v/>
      </c>
      <c r="H151" s="38" t="str">
        <f aca="false">IF($A151="","",SUMIFS(PO!$L$4:$L$203,PO!$H$4:$H$203,$A151))</f>
        <v/>
      </c>
      <c r="I151" s="38" t="str">
        <f aca="false">IF($A151="","",SUMIFS(PO!$N$4:$N$203,PO!$H$4:$H$203,$A151))</f>
        <v/>
      </c>
      <c r="J151" s="38" t="str">
        <f aca="false">IF($A151="","",COUNTIFS(PO!$H$4:$H$203,$A151,PO!$S$4:$S$203,"Đúng hạn")+COUNTIFS(PO!$H$4:$H$203,$A151,PO!$S$4:$S$203,"Giao trễ")+COUNTIFS(PO!$H$4:$H$203,$A151,PO!$S$4:$S$203,"Trễ hạn"))</f>
        <v/>
      </c>
      <c r="K151" s="38" t="str">
        <f aca="false">IF($A151="","",COUNTIFS(PO!$H$4:$H$203,$A151,PO!$S$4:$S$203,"Đúng hạn"))</f>
        <v/>
      </c>
      <c r="L151" s="39" t="str">
        <f aca="false">IF($A151="","",IFERROR($K151/$J151,""))</f>
        <v/>
      </c>
      <c r="M151" s="38" t="str">
        <f aca="false">IF($A151="","",SUMIFS(PO!$U$4:$U$203,PO!$H$4:$H$203,$A151))</f>
        <v/>
      </c>
      <c r="N151" s="38" t="str">
        <f aca="false">IF($A151="","",SUMIFS(PO!$V$4:$V$203,PO!$H$4:$H$203,$A151))</f>
        <v/>
      </c>
      <c r="O151" s="39" t="str">
        <f aca="false">IF($A151="","",IFERROR($N151/$M151,""))</f>
        <v/>
      </c>
      <c r="P151" s="38" t="str">
        <f aca="false">IF($A151="","",SUMIFS('Thanh toán'!$H$4:$H$203,'Thanh toán'!$E$4:$E$203,$A151))</f>
        <v/>
      </c>
      <c r="Q151" s="38" t="str">
        <f aca="false">IF($A151="","",SUMIFS('Công nợ'!$I$4:$I$203,'Công nợ'!$D$4:$D$203,$A151))</f>
        <v/>
      </c>
      <c r="R151" s="38" t="str">
        <f aca="false">IF($A151="","",SUMIFS('Công nợ'!$I$4:$I$203,'Công nợ'!$D$4:$D$203,$A151,'Công nợ'!$K$4:$K$203,"&gt;0"))</f>
        <v/>
      </c>
    </row>
    <row r="152" customFormat="false" ht="15" hidden="false" customHeight="false" outlineLevel="0" collapsed="false">
      <c r="A152" s="37" t="str">
        <f aca="false">IF('Nhà cung cấp'!$A152="","",'Nhà cung cấp'!$A152)</f>
        <v/>
      </c>
      <c r="B152" s="37" t="str">
        <f aca="false">IF($A152="","",'Nhà cung cấp'!$B152)</f>
        <v/>
      </c>
      <c r="C152" s="37" t="str">
        <f aca="false">IF($A152="","",'Nhà cung cấp'!$H152)</f>
        <v/>
      </c>
      <c r="D152" s="38" t="str">
        <f aca="false">IF($A152="","",COUNTIFS('Báo giá'!$I$4:$I$203,$A152))</f>
        <v/>
      </c>
      <c r="E152" s="38" t="str">
        <f aca="false">IF($A152="","",COUNTIFS('Báo giá'!$I$4:$I$203,$A152,'Báo giá'!$T$4:$T$203,"x"))</f>
        <v/>
      </c>
      <c r="F152" s="39" t="str">
        <f aca="false">IF($A152="","",IFERROR($E152/$D152,""))</f>
        <v/>
      </c>
      <c r="G152" s="38" t="str">
        <f aca="false">IF($A152="","",COUNTIFS(PO!$H$4:$H$203,$A152))</f>
        <v/>
      </c>
      <c r="H152" s="38" t="str">
        <f aca="false">IF($A152="","",SUMIFS(PO!$L$4:$L$203,PO!$H$4:$H$203,$A152))</f>
        <v/>
      </c>
      <c r="I152" s="38" t="str">
        <f aca="false">IF($A152="","",SUMIFS(PO!$N$4:$N$203,PO!$H$4:$H$203,$A152))</f>
        <v/>
      </c>
      <c r="J152" s="38" t="str">
        <f aca="false">IF($A152="","",COUNTIFS(PO!$H$4:$H$203,$A152,PO!$S$4:$S$203,"Đúng hạn")+COUNTIFS(PO!$H$4:$H$203,$A152,PO!$S$4:$S$203,"Giao trễ")+COUNTIFS(PO!$H$4:$H$203,$A152,PO!$S$4:$S$203,"Trễ hạn"))</f>
        <v/>
      </c>
      <c r="K152" s="38" t="str">
        <f aca="false">IF($A152="","",COUNTIFS(PO!$H$4:$H$203,$A152,PO!$S$4:$S$203,"Đúng hạn"))</f>
        <v/>
      </c>
      <c r="L152" s="39" t="str">
        <f aca="false">IF($A152="","",IFERROR($K152/$J152,""))</f>
        <v/>
      </c>
      <c r="M152" s="38" t="str">
        <f aca="false">IF($A152="","",SUMIFS(PO!$U$4:$U$203,PO!$H$4:$H$203,$A152))</f>
        <v/>
      </c>
      <c r="N152" s="38" t="str">
        <f aca="false">IF($A152="","",SUMIFS(PO!$V$4:$V$203,PO!$H$4:$H$203,$A152))</f>
        <v/>
      </c>
      <c r="O152" s="39" t="str">
        <f aca="false">IF($A152="","",IFERROR($N152/$M152,""))</f>
        <v/>
      </c>
      <c r="P152" s="38" t="str">
        <f aca="false">IF($A152="","",SUMIFS('Thanh toán'!$H$4:$H$203,'Thanh toán'!$E$4:$E$203,$A152))</f>
        <v/>
      </c>
      <c r="Q152" s="38" t="str">
        <f aca="false">IF($A152="","",SUMIFS('Công nợ'!$I$4:$I$203,'Công nợ'!$D$4:$D$203,$A152))</f>
        <v/>
      </c>
      <c r="R152" s="38" t="str">
        <f aca="false">IF($A152="","",SUMIFS('Công nợ'!$I$4:$I$203,'Công nợ'!$D$4:$D$203,$A152,'Công nợ'!$K$4:$K$203,"&gt;0"))</f>
        <v/>
      </c>
    </row>
    <row r="153" customFormat="false" ht="15" hidden="false" customHeight="false" outlineLevel="0" collapsed="false">
      <c r="A153" s="37" t="str">
        <f aca="false">IF('Nhà cung cấp'!$A153="","",'Nhà cung cấp'!$A153)</f>
        <v/>
      </c>
      <c r="B153" s="37" t="str">
        <f aca="false">IF($A153="","",'Nhà cung cấp'!$B153)</f>
        <v/>
      </c>
      <c r="C153" s="37" t="str">
        <f aca="false">IF($A153="","",'Nhà cung cấp'!$H153)</f>
        <v/>
      </c>
      <c r="D153" s="38" t="str">
        <f aca="false">IF($A153="","",COUNTIFS('Báo giá'!$I$4:$I$203,$A153))</f>
        <v/>
      </c>
      <c r="E153" s="38" t="str">
        <f aca="false">IF($A153="","",COUNTIFS('Báo giá'!$I$4:$I$203,$A153,'Báo giá'!$T$4:$T$203,"x"))</f>
        <v/>
      </c>
      <c r="F153" s="39" t="str">
        <f aca="false">IF($A153="","",IFERROR($E153/$D153,""))</f>
        <v/>
      </c>
      <c r="G153" s="38" t="str">
        <f aca="false">IF($A153="","",COUNTIFS(PO!$H$4:$H$203,$A153))</f>
        <v/>
      </c>
      <c r="H153" s="38" t="str">
        <f aca="false">IF($A153="","",SUMIFS(PO!$L$4:$L$203,PO!$H$4:$H$203,$A153))</f>
        <v/>
      </c>
      <c r="I153" s="38" t="str">
        <f aca="false">IF($A153="","",SUMIFS(PO!$N$4:$N$203,PO!$H$4:$H$203,$A153))</f>
        <v/>
      </c>
      <c r="J153" s="38" t="str">
        <f aca="false">IF($A153="","",COUNTIFS(PO!$H$4:$H$203,$A153,PO!$S$4:$S$203,"Đúng hạn")+COUNTIFS(PO!$H$4:$H$203,$A153,PO!$S$4:$S$203,"Giao trễ")+COUNTIFS(PO!$H$4:$H$203,$A153,PO!$S$4:$S$203,"Trễ hạn"))</f>
        <v/>
      </c>
      <c r="K153" s="38" t="str">
        <f aca="false">IF($A153="","",COUNTIFS(PO!$H$4:$H$203,$A153,PO!$S$4:$S$203,"Đúng hạn"))</f>
        <v/>
      </c>
      <c r="L153" s="39" t="str">
        <f aca="false">IF($A153="","",IFERROR($K153/$J153,""))</f>
        <v/>
      </c>
      <c r="M153" s="38" t="str">
        <f aca="false">IF($A153="","",SUMIFS(PO!$U$4:$U$203,PO!$H$4:$H$203,$A153))</f>
        <v/>
      </c>
      <c r="N153" s="38" t="str">
        <f aca="false">IF($A153="","",SUMIFS(PO!$V$4:$V$203,PO!$H$4:$H$203,$A153))</f>
        <v/>
      </c>
      <c r="O153" s="39" t="str">
        <f aca="false">IF($A153="","",IFERROR($N153/$M153,""))</f>
        <v/>
      </c>
      <c r="P153" s="38" t="str">
        <f aca="false">IF($A153="","",SUMIFS('Thanh toán'!$H$4:$H$203,'Thanh toán'!$E$4:$E$203,$A153))</f>
        <v/>
      </c>
      <c r="Q153" s="38" t="str">
        <f aca="false">IF($A153="","",SUMIFS('Công nợ'!$I$4:$I$203,'Công nợ'!$D$4:$D$203,$A153))</f>
        <v/>
      </c>
      <c r="R153" s="38" t="str">
        <f aca="false">IF($A153="","",SUMIFS('Công nợ'!$I$4:$I$203,'Công nợ'!$D$4:$D$203,$A153,'Công nợ'!$K$4:$K$203,"&gt;0"))</f>
        <v/>
      </c>
    </row>
    <row r="154" customFormat="false" ht="15" hidden="false" customHeight="false" outlineLevel="0" collapsed="false">
      <c r="A154" s="37" t="str">
        <f aca="false">IF('Nhà cung cấp'!$A154="","",'Nhà cung cấp'!$A154)</f>
        <v/>
      </c>
      <c r="B154" s="37" t="str">
        <f aca="false">IF($A154="","",'Nhà cung cấp'!$B154)</f>
        <v/>
      </c>
      <c r="C154" s="37" t="str">
        <f aca="false">IF($A154="","",'Nhà cung cấp'!$H154)</f>
        <v/>
      </c>
      <c r="D154" s="38" t="str">
        <f aca="false">IF($A154="","",COUNTIFS('Báo giá'!$I$4:$I$203,$A154))</f>
        <v/>
      </c>
      <c r="E154" s="38" t="str">
        <f aca="false">IF($A154="","",COUNTIFS('Báo giá'!$I$4:$I$203,$A154,'Báo giá'!$T$4:$T$203,"x"))</f>
        <v/>
      </c>
      <c r="F154" s="39" t="str">
        <f aca="false">IF($A154="","",IFERROR($E154/$D154,""))</f>
        <v/>
      </c>
      <c r="G154" s="38" t="str">
        <f aca="false">IF($A154="","",COUNTIFS(PO!$H$4:$H$203,$A154))</f>
        <v/>
      </c>
      <c r="H154" s="38" t="str">
        <f aca="false">IF($A154="","",SUMIFS(PO!$L$4:$L$203,PO!$H$4:$H$203,$A154))</f>
        <v/>
      </c>
      <c r="I154" s="38" t="str">
        <f aca="false">IF($A154="","",SUMIFS(PO!$N$4:$N$203,PO!$H$4:$H$203,$A154))</f>
        <v/>
      </c>
      <c r="J154" s="38" t="str">
        <f aca="false">IF($A154="","",COUNTIFS(PO!$H$4:$H$203,$A154,PO!$S$4:$S$203,"Đúng hạn")+COUNTIFS(PO!$H$4:$H$203,$A154,PO!$S$4:$S$203,"Giao trễ")+COUNTIFS(PO!$H$4:$H$203,$A154,PO!$S$4:$S$203,"Trễ hạn"))</f>
        <v/>
      </c>
      <c r="K154" s="38" t="str">
        <f aca="false">IF($A154="","",COUNTIFS(PO!$H$4:$H$203,$A154,PO!$S$4:$S$203,"Đúng hạn"))</f>
        <v/>
      </c>
      <c r="L154" s="39" t="str">
        <f aca="false">IF($A154="","",IFERROR($K154/$J154,""))</f>
        <v/>
      </c>
      <c r="M154" s="38" t="str">
        <f aca="false">IF($A154="","",SUMIFS(PO!$U$4:$U$203,PO!$H$4:$H$203,$A154))</f>
        <v/>
      </c>
      <c r="N154" s="38" t="str">
        <f aca="false">IF($A154="","",SUMIFS(PO!$V$4:$V$203,PO!$H$4:$H$203,$A154))</f>
        <v/>
      </c>
      <c r="O154" s="39" t="str">
        <f aca="false">IF($A154="","",IFERROR($N154/$M154,""))</f>
        <v/>
      </c>
      <c r="P154" s="38" t="str">
        <f aca="false">IF($A154="","",SUMIFS('Thanh toán'!$H$4:$H$203,'Thanh toán'!$E$4:$E$203,$A154))</f>
        <v/>
      </c>
      <c r="Q154" s="38" t="str">
        <f aca="false">IF($A154="","",SUMIFS('Công nợ'!$I$4:$I$203,'Công nợ'!$D$4:$D$203,$A154))</f>
        <v/>
      </c>
      <c r="R154" s="38" t="str">
        <f aca="false">IF($A154="","",SUMIFS('Công nợ'!$I$4:$I$203,'Công nợ'!$D$4:$D$203,$A154,'Công nợ'!$K$4:$K$203,"&gt;0"))</f>
        <v/>
      </c>
    </row>
    <row r="155" customFormat="false" ht="15" hidden="false" customHeight="false" outlineLevel="0" collapsed="false">
      <c r="A155" s="37" t="str">
        <f aca="false">IF('Nhà cung cấp'!$A155="","",'Nhà cung cấp'!$A155)</f>
        <v/>
      </c>
      <c r="B155" s="37" t="str">
        <f aca="false">IF($A155="","",'Nhà cung cấp'!$B155)</f>
        <v/>
      </c>
      <c r="C155" s="37" t="str">
        <f aca="false">IF($A155="","",'Nhà cung cấp'!$H155)</f>
        <v/>
      </c>
      <c r="D155" s="38" t="str">
        <f aca="false">IF($A155="","",COUNTIFS('Báo giá'!$I$4:$I$203,$A155))</f>
        <v/>
      </c>
      <c r="E155" s="38" t="str">
        <f aca="false">IF($A155="","",COUNTIFS('Báo giá'!$I$4:$I$203,$A155,'Báo giá'!$T$4:$T$203,"x"))</f>
        <v/>
      </c>
      <c r="F155" s="39" t="str">
        <f aca="false">IF($A155="","",IFERROR($E155/$D155,""))</f>
        <v/>
      </c>
      <c r="G155" s="38" t="str">
        <f aca="false">IF($A155="","",COUNTIFS(PO!$H$4:$H$203,$A155))</f>
        <v/>
      </c>
      <c r="H155" s="38" t="str">
        <f aca="false">IF($A155="","",SUMIFS(PO!$L$4:$L$203,PO!$H$4:$H$203,$A155))</f>
        <v/>
      </c>
      <c r="I155" s="38" t="str">
        <f aca="false">IF($A155="","",SUMIFS(PO!$N$4:$N$203,PO!$H$4:$H$203,$A155))</f>
        <v/>
      </c>
      <c r="J155" s="38" t="str">
        <f aca="false">IF($A155="","",COUNTIFS(PO!$H$4:$H$203,$A155,PO!$S$4:$S$203,"Đúng hạn")+COUNTIFS(PO!$H$4:$H$203,$A155,PO!$S$4:$S$203,"Giao trễ")+COUNTIFS(PO!$H$4:$H$203,$A155,PO!$S$4:$S$203,"Trễ hạn"))</f>
        <v/>
      </c>
      <c r="K155" s="38" t="str">
        <f aca="false">IF($A155="","",COUNTIFS(PO!$H$4:$H$203,$A155,PO!$S$4:$S$203,"Đúng hạn"))</f>
        <v/>
      </c>
      <c r="L155" s="39" t="str">
        <f aca="false">IF($A155="","",IFERROR($K155/$J155,""))</f>
        <v/>
      </c>
      <c r="M155" s="38" t="str">
        <f aca="false">IF($A155="","",SUMIFS(PO!$U$4:$U$203,PO!$H$4:$H$203,$A155))</f>
        <v/>
      </c>
      <c r="N155" s="38" t="str">
        <f aca="false">IF($A155="","",SUMIFS(PO!$V$4:$V$203,PO!$H$4:$H$203,$A155))</f>
        <v/>
      </c>
      <c r="O155" s="39" t="str">
        <f aca="false">IF($A155="","",IFERROR($N155/$M155,""))</f>
        <v/>
      </c>
      <c r="P155" s="38" t="str">
        <f aca="false">IF($A155="","",SUMIFS('Thanh toán'!$H$4:$H$203,'Thanh toán'!$E$4:$E$203,$A155))</f>
        <v/>
      </c>
      <c r="Q155" s="38" t="str">
        <f aca="false">IF($A155="","",SUMIFS('Công nợ'!$I$4:$I$203,'Công nợ'!$D$4:$D$203,$A155))</f>
        <v/>
      </c>
      <c r="R155" s="38" t="str">
        <f aca="false">IF($A155="","",SUMIFS('Công nợ'!$I$4:$I$203,'Công nợ'!$D$4:$D$203,$A155,'Công nợ'!$K$4:$K$203,"&gt;0"))</f>
        <v/>
      </c>
    </row>
    <row r="156" customFormat="false" ht="15" hidden="false" customHeight="false" outlineLevel="0" collapsed="false">
      <c r="A156" s="37" t="str">
        <f aca="false">IF('Nhà cung cấp'!$A156="","",'Nhà cung cấp'!$A156)</f>
        <v/>
      </c>
      <c r="B156" s="37" t="str">
        <f aca="false">IF($A156="","",'Nhà cung cấp'!$B156)</f>
        <v/>
      </c>
      <c r="C156" s="37" t="str">
        <f aca="false">IF($A156="","",'Nhà cung cấp'!$H156)</f>
        <v/>
      </c>
      <c r="D156" s="38" t="str">
        <f aca="false">IF($A156="","",COUNTIFS('Báo giá'!$I$4:$I$203,$A156))</f>
        <v/>
      </c>
      <c r="E156" s="38" t="str">
        <f aca="false">IF($A156="","",COUNTIFS('Báo giá'!$I$4:$I$203,$A156,'Báo giá'!$T$4:$T$203,"x"))</f>
        <v/>
      </c>
      <c r="F156" s="39" t="str">
        <f aca="false">IF($A156="","",IFERROR($E156/$D156,""))</f>
        <v/>
      </c>
      <c r="G156" s="38" t="str">
        <f aca="false">IF($A156="","",COUNTIFS(PO!$H$4:$H$203,$A156))</f>
        <v/>
      </c>
      <c r="H156" s="38" t="str">
        <f aca="false">IF($A156="","",SUMIFS(PO!$L$4:$L$203,PO!$H$4:$H$203,$A156))</f>
        <v/>
      </c>
      <c r="I156" s="38" t="str">
        <f aca="false">IF($A156="","",SUMIFS(PO!$N$4:$N$203,PO!$H$4:$H$203,$A156))</f>
        <v/>
      </c>
      <c r="J156" s="38" t="str">
        <f aca="false">IF($A156="","",COUNTIFS(PO!$H$4:$H$203,$A156,PO!$S$4:$S$203,"Đúng hạn")+COUNTIFS(PO!$H$4:$H$203,$A156,PO!$S$4:$S$203,"Giao trễ")+COUNTIFS(PO!$H$4:$H$203,$A156,PO!$S$4:$S$203,"Trễ hạn"))</f>
        <v/>
      </c>
      <c r="K156" s="38" t="str">
        <f aca="false">IF($A156="","",COUNTIFS(PO!$H$4:$H$203,$A156,PO!$S$4:$S$203,"Đúng hạn"))</f>
        <v/>
      </c>
      <c r="L156" s="39" t="str">
        <f aca="false">IF($A156="","",IFERROR($K156/$J156,""))</f>
        <v/>
      </c>
      <c r="M156" s="38" t="str">
        <f aca="false">IF($A156="","",SUMIFS(PO!$U$4:$U$203,PO!$H$4:$H$203,$A156))</f>
        <v/>
      </c>
      <c r="N156" s="38" t="str">
        <f aca="false">IF($A156="","",SUMIFS(PO!$V$4:$V$203,PO!$H$4:$H$203,$A156))</f>
        <v/>
      </c>
      <c r="O156" s="39" t="str">
        <f aca="false">IF($A156="","",IFERROR($N156/$M156,""))</f>
        <v/>
      </c>
      <c r="P156" s="38" t="str">
        <f aca="false">IF($A156="","",SUMIFS('Thanh toán'!$H$4:$H$203,'Thanh toán'!$E$4:$E$203,$A156))</f>
        <v/>
      </c>
      <c r="Q156" s="38" t="str">
        <f aca="false">IF($A156="","",SUMIFS('Công nợ'!$I$4:$I$203,'Công nợ'!$D$4:$D$203,$A156))</f>
        <v/>
      </c>
      <c r="R156" s="38" t="str">
        <f aca="false">IF($A156="","",SUMIFS('Công nợ'!$I$4:$I$203,'Công nợ'!$D$4:$D$203,$A156,'Công nợ'!$K$4:$K$203,"&gt;0"))</f>
        <v/>
      </c>
    </row>
    <row r="157" customFormat="false" ht="15" hidden="false" customHeight="false" outlineLevel="0" collapsed="false">
      <c r="A157" s="37" t="str">
        <f aca="false">IF('Nhà cung cấp'!$A157="","",'Nhà cung cấp'!$A157)</f>
        <v/>
      </c>
      <c r="B157" s="37" t="str">
        <f aca="false">IF($A157="","",'Nhà cung cấp'!$B157)</f>
        <v/>
      </c>
      <c r="C157" s="37" t="str">
        <f aca="false">IF($A157="","",'Nhà cung cấp'!$H157)</f>
        <v/>
      </c>
      <c r="D157" s="38" t="str">
        <f aca="false">IF($A157="","",COUNTIFS('Báo giá'!$I$4:$I$203,$A157))</f>
        <v/>
      </c>
      <c r="E157" s="38" t="str">
        <f aca="false">IF($A157="","",COUNTIFS('Báo giá'!$I$4:$I$203,$A157,'Báo giá'!$T$4:$T$203,"x"))</f>
        <v/>
      </c>
      <c r="F157" s="39" t="str">
        <f aca="false">IF($A157="","",IFERROR($E157/$D157,""))</f>
        <v/>
      </c>
      <c r="G157" s="38" t="str">
        <f aca="false">IF($A157="","",COUNTIFS(PO!$H$4:$H$203,$A157))</f>
        <v/>
      </c>
      <c r="H157" s="38" t="str">
        <f aca="false">IF($A157="","",SUMIFS(PO!$L$4:$L$203,PO!$H$4:$H$203,$A157))</f>
        <v/>
      </c>
      <c r="I157" s="38" t="str">
        <f aca="false">IF($A157="","",SUMIFS(PO!$N$4:$N$203,PO!$H$4:$H$203,$A157))</f>
        <v/>
      </c>
      <c r="J157" s="38" t="str">
        <f aca="false">IF($A157="","",COUNTIFS(PO!$H$4:$H$203,$A157,PO!$S$4:$S$203,"Đúng hạn")+COUNTIFS(PO!$H$4:$H$203,$A157,PO!$S$4:$S$203,"Giao trễ")+COUNTIFS(PO!$H$4:$H$203,$A157,PO!$S$4:$S$203,"Trễ hạn"))</f>
        <v/>
      </c>
      <c r="K157" s="38" t="str">
        <f aca="false">IF($A157="","",COUNTIFS(PO!$H$4:$H$203,$A157,PO!$S$4:$S$203,"Đúng hạn"))</f>
        <v/>
      </c>
      <c r="L157" s="39" t="str">
        <f aca="false">IF($A157="","",IFERROR($K157/$J157,""))</f>
        <v/>
      </c>
      <c r="M157" s="38" t="str">
        <f aca="false">IF($A157="","",SUMIFS(PO!$U$4:$U$203,PO!$H$4:$H$203,$A157))</f>
        <v/>
      </c>
      <c r="N157" s="38" t="str">
        <f aca="false">IF($A157="","",SUMIFS(PO!$V$4:$V$203,PO!$H$4:$H$203,$A157))</f>
        <v/>
      </c>
      <c r="O157" s="39" t="str">
        <f aca="false">IF($A157="","",IFERROR($N157/$M157,""))</f>
        <v/>
      </c>
      <c r="P157" s="38" t="str">
        <f aca="false">IF($A157="","",SUMIFS('Thanh toán'!$H$4:$H$203,'Thanh toán'!$E$4:$E$203,$A157))</f>
        <v/>
      </c>
      <c r="Q157" s="38" t="str">
        <f aca="false">IF($A157="","",SUMIFS('Công nợ'!$I$4:$I$203,'Công nợ'!$D$4:$D$203,$A157))</f>
        <v/>
      </c>
      <c r="R157" s="38" t="str">
        <f aca="false">IF($A157="","",SUMIFS('Công nợ'!$I$4:$I$203,'Công nợ'!$D$4:$D$203,$A157,'Công nợ'!$K$4:$K$203,"&gt;0"))</f>
        <v/>
      </c>
    </row>
    <row r="158" customFormat="false" ht="15" hidden="false" customHeight="false" outlineLevel="0" collapsed="false">
      <c r="A158" s="37" t="str">
        <f aca="false">IF('Nhà cung cấp'!$A158="","",'Nhà cung cấp'!$A158)</f>
        <v/>
      </c>
      <c r="B158" s="37" t="str">
        <f aca="false">IF($A158="","",'Nhà cung cấp'!$B158)</f>
        <v/>
      </c>
      <c r="C158" s="37" t="str">
        <f aca="false">IF($A158="","",'Nhà cung cấp'!$H158)</f>
        <v/>
      </c>
      <c r="D158" s="38" t="str">
        <f aca="false">IF($A158="","",COUNTIFS('Báo giá'!$I$4:$I$203,$A158))</f>
        <v/>
      </c>
      <c r="E158" s="38" t="str">
        <f aca="false">IF($A158="","",COUNTIFS('Báo giá'!$I$4:$I$203,$A158,'Báo giá'!$T$4:$T$203,"x"))</f>
        <v/>
      </c>
      <c r="F158" s="39" t="str">
        <f aca="false">IF($A158="","",IFERROR($E158/$D158,""))</f>
        <v/>
      </c>
      <c r="G158" s="38" t="str">
        <f aca="false">IF($A158="","",COUNTIFS(PO!$H$4:$H$203,$A158))</f>
        <v/>
      </c>
      <c r="H158" s="38" t="str">
        <f aca="false">IF($A158="","",SUMIFS(PO!$L$4:$L$203,PO!$H$4:$H$203,$A158))</f>
        <v/>
      </c>
      <c r="I158" s="38" t="str">
        <f aca="false">IF($A158="","",SUMIFS(PO!$N$4:$N$203,PO!$H$4:$H$203,$A158))</f>
        <v/>
      </c>
      <c r="J158" s="38" t="str">
        <f aca="false">IF($A158="","",COUNTIFS(PO!$H$4:$H$203,$A158,PO!$S$4:$S$203,"Đúng hạn")+COUNTIFS(PO!$H$4:$H$203,$A158,PO!$S$4:$S$203,"Giao trễ")+COUNTIFS(PO!$H$4:$H$203,$A158,PO!$S$4:$S$203,"Trễ hạn"))</f>
        <v/>
      </c>
      <c r="K158" s="38" t="str">
        <f aca="false">IF($A158="","",COUNTIFS(PO!$H$4:$H$203,$A158,PO!$S$4:$S$203,"Đúng hạn"))</f>
        <v/>
      </c>
      <c r="L158" s="39" t="str">
        <f aca="false">IF($A158="","",IFERROR($K158/$J158,""))</f>
        <v/>
      </c>
      <c r="M158" s="38" t="str">
        <f aca="false">IF($A158="","",SUMIFS(PO!$U$4:$U$203,PO!$H$4:$H$203,$A158))</f>
        <v/>
      </c>
      <c r="N158" s="38" t="str">
        <f aca="false">IF($A158="","",SUMIFS(PO!$V$4:$V$203,PO!$H$4:$H$203,$A158))</f>
        <v/>
      </c>
      <c r="O158" s="39" t="str">
        <f aca="false">IF($A158="","",IFERROR($N158/$M158,""))</f>
        <v/>
      </c>
      <c r="P158" s="38" t="str">
        <f aca="false">IF($A158="","",SUMIFS('Thanh toán'!$H$4:$H$203,'Thanh toán'!$E$4:$E$203,$A158))</f>
        <v/>
      </c>
      <c r="Q158" s="38" t="str">
        <f aca="false">IF($A158="","",SUMIFS('Công nợ'!$I$4:$I$203,'Công nợ'!$D$4:$D$203,$A158))</f>
        <v/>
      </c>
      <c r="R158" s="38" t="str">
        <f aca="false">IF($A158="","",SUMIFS('Công nợ'!$I$4:$I$203,'Công nợ'!$D$4:$D$203,$A158,'Công nợ'!$K$4:$K$203,"&gt;0"))</f>
        <v/>
      </c>
    </row>
    <row r="159" customFormat="false" ht="15" hidden="false" customHeight="false" outlineLevel="0" collapsed="false">
      <c r="A159" s="37" t="str">
        <f aca="false">IF('Nhà cung cấp'!$A159="","",'Nhà cung cấp'!$A159)</f>
        <v/>
      </c>
      <c r="B159" s="37" t="str">
        <f aca="false">IF($A159="","",'Nhà cung cấp'!$B159)</f>
        <v/>
      </c>
      <c r="C159" s="37" t="str">
        <f aca="false">IF($A159="","",'Nhà cung cấp'!$H159)</f>
        <v/>
      </c>
      <c r="D159" s="38" t="str">
        <f aca="false">IF($A159="","",COUNTIFS('Báo giá'!$I$4:$I$203,$A159))</f>
        <v/>
      </c>
      <c r="E159" s="38" t="str">
        <f aca="false">IF($A159="","",COUNTIFS('Báo giá'!$I$4:$I$203,$A159,'Báo giá'!$T$4:$T$203,"x"))</f>
        <v/>
      </c>
      <c r="F159" s="39" t="str">
        <f aca="false">IF($A159="","",IFERROR($E159/$D159,""))</f>
        <v/>
      </c>
      <c r="G159" s="38" t="str">
        <f aca="false">IF($A159="","",COUNTIFS(PO!$H$4:$H$203,$A159))</f>
        <v/>
      </c>
      <c r="H159" s="38" t="str">
        <f aca="false">IF($A159="","",SUMIFS(PO!$L$4:$L$203,PO!$H$4:$H$203,$A159))</f>
        <v/>
      </c>
      <c r="I159" s="38" t="str">
        <f aca="false">IF($A159="","",SUMIFS(PO!$N$4:$N$203,PO!$H$4:$H$203,$A159))</f>
        <v/>
      </c>
      <c r="J159" s="38" t="str">
        <f aca="false">IF($A159="","",COUNTIFS(PO!$H$4:$H$203,$A159,PO!$S$4:$S$203,"Đúng hạn")+COUNTIFS(PO!$H$4:$H$203,$A159,PO!$S$4:$S$203,"Giao trễ")+COUNTIFS(PO!$H$4:$H$203,$A159,PO!$S$4:$S$203,"Trễ hạn"))</f>
        <v/>
      </c>
      <c r="K159" s="38" t="str">
        <f aca="false">IF($A159="","",COUNTIFS(PO!$H$4:$H$203,$A159,PO!$S$4:$S$203,"Đúng hạn"))</f>
        <v/>
      </c>
      <c r="L159" s="39" t="str">
        <f aca="false">IF($A159="","",IFERROR($K159/$J159,""))</f>
        <v/>
      </c>
      <c r="M159" s="38" t="str">
        <f aca="false">IF($A159="","",SUMIFS(PO!$U$4:$U$203,PO!$H$4:$H$203,$A159))</f>
        <v/>
      </c>
      <c r="N159" s="38" t="str">
        <f aca="false">IF($A159="","",SUMIFS(PO!$V$4:$V$203,PO!$H$4:$H$203,$A159))</f>
        <v/>
      </c>
      <c r="O159" s="39" t="str">
        <f aca="false">IF($A159="","",IFERROR($N159/$M159,""))</f>
        <v/>
      </c>
      <c r="P159" s="38" t="str">
        <f aca="false">IF($A159="","",SUMIFS('Thanh toán'!$H$4:$H$203,'Thanh toán'!$E$4:$E$203,$A159))</f>
        <v/>
      </c>
      <c r="Q159" s="38" t="str">
        <f aca="false">IF($A159="","",SUMIFS('Công nợ'!$I$4:$I$203,'Công nợ'!$D$4:$D$203,$A159))</f>
        <v/>
      </c>
      <c r="R159" s="38" t="str">
        <f aca="false">IF($A159="","",SUMIFS('Công nợ'!$I$4:$I$203,'Công nợ'!$D$4:$D$203,$A159,'Công nợ'!$K$4:$K$203,"&gt;0"))</f>
        <v/>
      </c>
    </row>
    <row r="160" customFormat="false" ht="15" hidden="false" customHeight="false" outlineLevel="0" collapsed="false">
      <c r="A160" s="37" t="str">
        <f aca="false">IF('Nhà cung cấp'!$A160="","",'Nhà cung cấp'!$A160)</f>
        <v/>
      </c>
      <c r="B160" s="37" t="str">
        <f aca="false">IF($A160="","",'Nhà cung cấp'!$B160)</f>
        <v/>
      </c>
      <c r="C160" s="37" t="str">
        <f aca="false">IF($A160="","",'Nhà cung cấp'!$H160)</f>
        <v/>
      </c>
      <c r="D160" s="38" t="str">
        <f aca="false">IF($A160="","",COUNTIFS('Báo giá'!$I$4:$I$203,$A160))</f>
        <v/>
      </c>
      <c r="E160" s="38" t="str">
        <f aca="false">IF($A160="","",COUNTIFS('Báo giá'!$I$4:$I$203,$A160,'Báo giá'!$T$4:$T$203,"x"))</f>
        <v/>
      </c>
      <c r="F160" s="39" t="str">
        <f aca="false">IF($A160="","",IFERROR($E160/$D160,""))</f>
        <v/>
      </c>
      <c r="G160" s="38" t="str">
        <f aca="false">IF($A160="","",COUNTIFS(PO!$H$4:$H$203,$A160))</f>
        <v/>
      </c>
      <c r="H160" s="38" t="str">
        <f aca="false">IF($A160="","",SUMIFS(PO!$L$4:$L$203,PO!$H$4:$H$203,$A160))</f>
        <v/>
      </c>
      <c r="I160" s="38" t="str">
        <f aca="false">IF($A160="","",SUMIFS(PO!$N$4:$N$203,PO!$H$4:$H$203,$A160))</f>
        <v/>
      </c>
      <c r="J160" s="38" t="str">
        <f aca="false">IF($A160="","",COUNTIFS(PO!$H$4:$H$203,$A160,PO!$S$4:$S$203,"Đúng hạn")+COUNTIFS(PO!$H$4:$H$203,$A160,PO!$S$4:$S$203,"Giao trễ")+COUNTIFS(PO!$H$4:$H$203,$A160,PO!$S$4:$S$203,"Trễ hạn"))</f>
        <v/>
      </c>
      <c r="K160" s="38" t="str">
        <f aca="false">IF($A160="","",COUNTIFS(PO!$H$4:$H$203,$A160,PO!$S$4:$S$203,"Đúng hạn"))</f>
        <v/>
      </c>
      <c r="L160" s="39" t="str">
        <f aca="false">IF($A160="","",IFERROR($K160/$J160,""))</f>
        <v/>
      </c>
      <c r="M160" s="38" t="str">
        <f aca="false">IF($A160="","",SUMIFS(PO!$U$4:$U$203,PO!$H$4:$H$203,$A160))</f>
        <v/>
      </c>
      <c r="N160" s="38" t="str">
        <f aca="false">IF($A160="","",SUMIFS(PO!$V$4:$V$203,PO!$H$4:$H$203,$A160))</f>
        <v/>
      </c>
      <c r="O160" s="39" t="str">
        <f aca="false">IF($A160="","",IFERROR($N160/$M160,""))</f>
        <v/>
      </c>
      <c r="P160" s="38" t="str">
        <f aca="false">IF($A160="","",SUMIFS('Thanh toán'!$H$4:$H$203,'Thanh toán'!$E$4:$E$203,$A160))</f>
        <v/>
      </c>
      <c r="Q160" s="38" t="str">
        <f aca="false">IF($A160="","",SUMIFS('Công nợ'!$I$4:$I$203,'Công nợ'!$D$4:$D$203,$A160))</f>
        <v/>
      </c>
      <c r="R160" s="38" t="str">
        <f aca="false">IF($A160="","",SUMIFS('Công nợ'!$I$4:$I$203,'Công nợ'!$D$4:$D$203,$A160,'Công nợ'!$K$4:$K$203,"&gt;0"))</f>
        <v/>
      </c>
    </row>
    <row r="161" customFormat="false" ht="15" hidden="false" customHeight="false" outlineLevel="0" collapsed="false">
      <c r="A161" s="37" t="str">
        <f aca="false">IF('Nhà cung cấp'!$A161="","",'Nhà cung cấp'!$A161)</f>
        <v/>
      </c>
      <c r="B161" s="37" t="str">
        <f aca="false">IF($A161="","",'Nhà cung cấp'!$B161)</f>
        <v/>
      </c>
      <c r="C161" s="37" t="str">
        <f aca="false">IF($A161="","",'Nhà cung cấp'!$H161)</f>
        <v/>
      </c>
      <c r="D161" s="38" t="str">
        <f aca="false">IF($A161="","",COUNTIFS('Báo giá'!$I$4:$I$203,$A161))</f>
        <v/>
      </c>
      <c r="E161" s="38" t="str">
        <f aca="false">IF($A161="","",COUNTIFS('Báo giá'!$I$4:$I$203,$A161,'Báo giá'!$T$4:$T$203,"x"))</f>
        <v/>
      </c>
      <c r="F161" s="39" t="str">
        <f aca="false">IF($A161="","",IFERROR($E161/$D161,""))</f>
        <v/>
      </c>
      <c r="G161" s="38" t="str">
        <f aca="false">IF($A161="","",COUNTIFS(PO!$H$4:$H$203,$A161))</f>
        <v/>
      </c>
      <c r="H161" s="38" t="str">
        <f aca="false">IF($A161="","",SUMIFS(PO!$L$4:$L$203,PO!$H$4:$H$203,$A161))</f>
        <v/>
      </c>
      <c r="I161" s="38" t="str">
        <f aca="false">IF($A161="","",SUMIFS(PO!$N$4:$N$203,PO!$H$4:$H$203,$A161))</f>
        <v/>
      </c>
      <c r="J161" s="38" t="str">
        <f aca="false">IF($A161="","",COUNTIFS(PO!$H$4:$H$203,$A161,PO!$S$4:$S$203,"Đúng hạn")+COUNTIFS(PO!$H$4:$H$203,$A161,PO!$S$4:$S$203,"Giao trễ")+COUNTIFS(PO!$H$4:$H$203,$A161,PO!$S$4:$S$203,"Trễ hạn"))</f>
        <v/>
      </c>
      <c r="K161" s="38" t="str">
        <f aca="false">IF($A161="","",COUNTIFS(PO!$H$4:$H$203,$A161,PO!$S$4:$S$203,"Đúng hạn"))</f>
        <v/>
      </c>
      <c r="L161" s="39" t="str">
        <f aca="false">IF($A161="","",IFERROR($K161/$J161,""))</f>
        <v/>
      </c>
      <c r="M161" s="38" t="str">
        <f aca="false">IF($A161="","",SUMIFS(PO!$U$4:$U$203,PO!$H$4:$H$203,$A161))</f>
        <v/>
      </c>
      <c r="N161" s="38" t="str">
        <f aca="false">IF($A161="","",SUMIFS(PO!$V$4:$V$203,PO!$H$4:$H$203,$A161))</f>
        <v/>
      </c>
      <c r="O161" s="39" t="str">
        <f aca="false">IF($A161="","",IFERROR($N161/$M161,""))</f>
        <v/>
      </c>
      <c r="P161" s="38" t="str">
        <f aca="false">IF($A161="","",SUMIFS('Thanh toán'!$H$4:$H$203,'Thanh toán'!$E$4:$E$203,$A161))</f>
        <v/>
      </c>
      <c r="Q161" s="38" t="str">
        <f aca="false">IF($A161="","",SUMIFS('Công nợ'!$I$4:$I$203,'Công nợ'!$D$4:$D$203,$A161))</f>
        <v/>
      </c>
      <c r="R161" s="38" t="str">
        <f aca="false">IF($A161="","",SUMIFS('Công nợ'!$I$4:$I$203,'Công nợ'!$D$4:$D$203,$A161,'Công nợ'!$K$4:$K$203,"&gt;0"))</f>
        <v/>
      </c>
    </row>
    <row r="162" customFormat="false" ht="15" hidden="false" customHeight="false" outlineLevel="0" collapsed="false">
      <c r="A162" s="37" t="str">
        <f aca="false">IF('Nhà cung cấp'!$A162="","",'Nhà cung cấp'!$A162)</f>
        <v/>
      </c>
      <c r="B162" s="37" t="str">
        <f aca="false">IF($A162="","",'Nhà cung cấp'!$B162)</f>
        <v/>
      </c>
      <c r="C162" s="37" t="str">
        <f aca="false">IF($A162="","",'Nhà cung cấp'!$H162)</f>
        <v/>
      </c>
      <c r="D162" s="38" t="str">
        <f aca="false">IF($A162="","",COUNTIFS('Báo giá'!$I$4:$I$203,$A162))</f>
        <v/>
      </c>
      <c r="E162" s="38" t="str">
        <f aca="false">IF($A162="","",COUNTIFS('Báo giá'!$I$4:$I$203,$A162,'Báo giá'!$T$4:$T$203,"x"))</f>
        <v/>
      </c>
      <c r="F162" s="39" t="str">
        <f aca="false">IF($A162="","",IFERROR($E162/$D162,""))</f>
        <v/>
      </c>
      <c r="G162" s="38" t="str">
        <f aca="false">IF($A162="","",COUNTIFS(PO!$H$4:$H$203,$A162))</f>
        <v/>
      </c>
      <c r="H162" s="38" t="str">
        <f aca="false">IF($A162="","",SUMIFS(PO!$L$4:$L$203,PO!$H$4:$H$203,$A162))</f>
        <v/>
      </c>
      <c r="I162" s="38" t="str">
        <f aca="false">IF($A162="","",SUMIFS(PO!$N$4:$N$203,PO!$H$4:$H$203,$A162))</f>
        <v/>
      </c>
      <c r="J162" s="38" t="str">
        <f aca="false">IF($A162="","",COUNTIFS(PO!$H$4:$H$203,$A162,PO!$S$4:$S$203,"Đúng hạn")+COUNTIFS(PO!$H$4:$H$203,$A162,PO!$S$4:$S$203,"Giao trễ")+COUNTIFS(PO!$H$4:$H$203,$A162,PO!$S$4:$S$203,"Trễ hạn"))</f>
        <v/>
      </c>
      <c r="K162" s="38" t="str">
        <f aca="false">IF($A162="","",COUNTIFS(PO!$H$4:$H$203,$A162,PO!$S$4:$S$203,"Đúng hạn"))</f>
        <v/>
      </c>
      <c r="L162" s="39" t="str">
        <f aca="false">IF($A162="","",IFERROR($K162/$J162,""))</f>
        <v/>
      </c>
      <c r="M162" s="38" t="str">
        <f aca="false">IF($A162="","",SUMIFS(PO!$U$4:$U$203,PO!$H$4:$H$203,$A162))</f>
        <v/>
      </c>
      <c r="N162" s="38" t="str">
        <f aca="false">IF($A162="","",SUMIFS(PO!$V$4:$V$203,PO!$H$4:$H$203,$A162))</f>
        <v/>
      </c>
      <c r="O162" s="39" t="str">
        <f aca="false">IF($A162="","",IFERROR($N162/$M162,""))</f>
        <v/>
      </c>
      <c r="P162" s="38" t="str">
        <f aca="false">IF($A162="","",SUMIFS('Thanh toán'!$H$4:$H$203,'Thanh toán'!$E$4:$E$203,$A162))</f>
        <v/>
      </c>
      <c r="Q162" s="38" t="str">
        <f aca="false">IF($A162="","",SUMIFS('Công nợ'!$I$4:$I$203,'Công nợ'!$D$4:$D$203,$A162))</f>
        <v/>
      </c>
      <c r="R162" s="38" t="str">
        <f aca="false">IF($A162="","",SUMIFS('Công nợ'!$I$4:$I$203,'Công nợ'!$D$4:$D$203,$A162,'Công nợ'!$K$4:$K$203,"&gt;0"))</f>
        <v/>
      </c>
    </row>
    <row r="163" customFormat="false" ht="15" hidden="false" customHeight="false" outlineLevel="0" collapsed="false">
      <c r="A163" s="37" t="str">
        <f aca="false">IF('Nhà cung cấp'!$A163="","",'Nhà cung cấp'!$A163)</f>
        <v/>
      </c>
      <c r="B163" s="37" t="str">
        <f aca="false">IF($A163="","",'Nhà cung cấp'!$B163)</f>
        <v/>
      </c>
      <c r="C163" s="37" t="str">
        <f aca="false">IF($A163="","",'Nhà cung cấp'!$H163)</f>
        <v/>
      </c>
      <c r="D163" s="38" t="str">
        <f aca="false">IF($A163="","",COUNTIFS('Báo giá'!$I$4:$I$203,$A163))</f>
        <v/>
      </c>
      <c r="E163" s="38" t="str">
        <f aca="false">IF($A163="","",COUNTIFS('Báo giá'!$I$4:$I$203,$A163,'Báo giá'!$T$4:$T$203,"x"))</f>
        <v/>
      </c>
      <c r="F163" s="39" t="str">
        <f aca="false">IF($A163="","",IFERROR($E163/$D163,""))</f>
        <v/>
      </c>
      <c r="G163" s="38" t="str">
        <f aca="false">IF($A163="","",COUNTIFS(PO!$H$4:$H$203,$A163))</f>
        <v/>
      </c>
      <c r="H163" s="38" t="str">
        <f aca="false">IF($A163="","",SUMIFS(PO!$L$4:$L$203,PO!$H$4:$H$203,$A163))</f>
        <v/>
      </c>
      <c r="I163" s="38" t="str">
        <f aca="false">IF($A163="","",SUMIFS(PO!$N$4:$N$203,PO!$H$4:$H$203,$A163))</f>
        <v/>
      </c>
      <c r="J163" s="38" t="str">
        <f aca="false">IF($A163="","",COUNTIFS(PO!$H$4:$H$203,$A163,PO!$S$4:$S$203,"Đúng hạn")+COUNTIFS(PO!$H$4:$H$203,$A163,PO!$S$4:$S$203,"Giao trễ")+COUNTIFS(PO!$H$4:$H$203,$A163,PO!$S$4:$S$203,"Trễ hạn"))</f>
        <v/>
      </c>
      <c r="K163" s="38" t="str">
        <f aca="false">IF($A163="","",COUNTIFS(PO!$H$4:$H$203,$A163,PO!$S$4:$S$203,"Đúng hạn"))</f>
        <v/>
      </c>
      <c r="L163" s="39" t="str">
        <f aca="false">IF($A163="","",IFERROR($K163/$J163,""))</f>
        <v/>
      </c>
      <c r="M163" s="38" t="str">
        <f aca="false">IF($A163="","",SUMIFS(PO!$U$4:$U$203,PO!$H$4:$H$203,$A163))</f>
        <v/>
      </c>
      <c r="N163" s="38" t="str">
        <f aca="false">IF($A163="","",SUMIFS(PO!$V$4:$V$203,PO!$H$4:$H$203,$A163))</f>
        <v/>
      </c>
      <c r="O163" s="39" t="str">
        <f aca="false">IF($A163="","",IFERROR($N163/$M163,""))</f>
        <v/>
      </c>
      <c r="P163" s="38" t="str">
        <f aca="false">IF($A163="","",SUMIFS('Thanh toán'!$H$4:$H$203,'Thanh toán'!$E$4:$E$203,$A163))</f>
        <v/>
      </c>
      <c r="Q163" s="38" t="str">
        <f aca="false">IF($A163="","",SUMIFS('Công nợ'!$I$4:$I$203,'Công nợ'!$D$4:$D$203,$A163))</f>
        <v/>
      </c>
      <c r="R163" s="38" t="str">
        <f aca="false">IF($A163="","",SUMIFS('Công nợ'!$I$4:$I$203,'Công nợ'!$D$4:$D$203,$A163,'Công nợ'!$K$4:$K$203,"&gt;0"))</f>
        <v/>
      </c>
    </row>
    <row r="164" customFormat="false" ht="15" hidden="false" customHeight="false" outlineLevel="0" collapsed="false">
      <c r="A164" s="37" t="str">
        <f aca="false">IF('Nhà cung cấp'!$A164="","",'Nhà cung cấp'!$A164)</f>
        <v/>
      </c>
      <c r="B164" s="37" t="str">
        <f aca="false">IF($A164="","",'Nhà cung cấp'!$B164)</f>
        <v/>
      </c>
      <c r="C164" s="37" t="str">
        <f aca="false">IF($A164="","",'Nhà cung cấp'!$H164)</f>
        <v/>
      </c>
      <c r="D164" s="38" t="str">
        <f aca="false">IF($A164="","",COUNTIFS('Báo giá'!$I$4:$I$203,$A164))</f>
        <v/>
      </c>
      <c r="E164" s="38" t="str">
        <f aca="false">IF($A164="","",COUNTIFS('Báo giá'!$I$4:$I$203,$A164,'Báo giá'!$T$4:$T$203,"x"))</f>
        <v/>
      </c>
      <c r="F164" s="39" t="str">
        <f aca="false">IF($A164="","",IFERROR($E164/$D164,""))</f>
        <v/>
      </c>
      <c r="G164" s="38" t="str">
        <f aca="false">IF($A164="","",COUNTIFS(PO!$H$4:$H$203,$A164))</f>
        <v/>
      </c>
      <c r="H164" s="38" t="str">
        <f aca="false">IF($A164="","",SUMIFS(PO!$L$4:$L$203,PO!$H$4:$H$203,$A164))</f>
        <v/>
      </c>
      <c r="I164" s="38" t="str">
        <f aca="false">IF($A164="","",SUMIFS(PO!$N$4:$N$203,PO!$H$4:$H$203,$A164))</f>
        <v/>
      </c>
      <c r="J164" s="38" t="str">
        <f aca="false">IF($A164="","",COUNTIFS(PO!$H$4:$H$203,$A164,PO!$S$4:$S$203,"Đúng hạn")+COUNTIFS(PO!$H$4:$H$203,$A164,PO!$S$4:$S$203,"Giao trễ")+COUNTIFS(PO!$H$4:$H$203,$A164,PO!$S$4:$S$203,"Trễ hạn"))</f>
        <v/>
      </c>
      <c r="K164" s="38" t="str">
        <f aca="false">IF($A164="","",COUNTIFS(PO!$H$4:$H$203,$A164,PO!$S$4:$S$203,"Đúng hạn"))</f>
        <v/>
      </c>
      <c r="L164" s="39" t="str">
        <f aca="false">IF($A164="","",IFERROR($K164/$J164,""))</f>
        <v/>
      </c>
      <c r="M164" s="38" t="str">
        <f aca="false">IF($A164="","",SUMIFS(PO!$U$4:$U$203,PO!$H$4:$H$203,$A164))</f>
        <v/>
      </c>
      <c r="N164" s="38" t="str">
        <f aca="false">IF($A164="","",SUMIFS(PO!$V$4:$V$203,PO!$H$4:$H$203,$A164))</f>
        <v/>
      </c>
      <c r="O164" s="39" t="str">
        <f aca="false">IF($A164="","",IFERROR($N164/$M164,""))</f>
        <v/>
      </c>
      <c r="P164" s="38" t="str">
        <f aca="false">IF($A164="","",SUMIFS('Thanh toán'!$H$4:$H$203,'Thanh toán'!$E$4:$E$203,$A164))</f>
        <v/>
      </c>
      <c r="Q164" s="38" t="str">
        <f aca="false">IF($A164="","",SUMIFS('Công nợ'!$I$4:$I$203,'Công nợ'!$D$4:$D$203,$A164))</f>
        <v/>
      </c>
      <c r="R164" s="38" t="str">
        <f aca="false">IF($A164="","",SUMIFS('Công nợ'!$I$4:$I$203,'Công nợ'!$D$4:$D$203,$A164,'Công nợ'!$K$4:$K$203,"&gt;0"))</f>
        <v/>
      </c>
    </row>
    <row r="165" customFormat="false" ht="15" hidden="false" customHeight="false" outlineLevel="0" collapsed="false">
      <c r="A165" s="37" t="str">
        <f aca="false">IF('Nhà cung cấp'!$A165="","",'Nhà cung cấp'!$A165)</f>
        <v/>
      </c>
      <c r="B165" s="37" t="str">
        <f aca="false">IF($A165="","",'Nhà cung cấp'!$B165)</f>
        <v/>
      </c>
      <c r="C165" s="37" t="str">
        <f aca="false">IF($A165="","",'Nhà cung cấp'!$H165)</f>
        <v/>
      </c>
      <c r="D165" s="38" t="str">
        <f aca="false">IF($A165="","",COUNTIFS('Báo giá'!$I$4:$I$203,$A165))</f>
        <v/>
      </c>
      <c r="E165" s="38" t="str">
        <f aca="false">IF($A165="","",COUNTIFS('Báo giá'!$I$4:$I$203,$A165,'Báo giá'!$T$4:$T$203,"x"))</f>
        <v/>
      </c>
      <c r="F165" s="39" t="str">
        <f aca="false">IF($A165="","",IFERROR($E165/$D165,""))</f>
        <v/>
      </c>
      <c r="G165" s="38" t="str">
        <f aca="false">IF($A165="","",COUNTIFS(PO!$H$4:$H$203,$A165))</f>
        <v/>
      </c>
      <c r="H165" s="38" t="str">
        <f aca="false">IF($A165="","",SUMIFS(PO!$L$4:$L$203,PO!$H$4:$H$203,$A165))</f>
        <v/>
      </c>
      <c r="I165" s="38" t="str">
        <f aca="false">IF($A165="","",SUMIFS(PO!$N$4:$N$203,PO!$H$4:$H$203,$A165))</f>
        <v/>
      </c>
      <c r="J165" s="38" t="str">
        <f aca="false">IF($A165="","",COUNTIFS(PO!$H$4:$H$203,$A165,PO!$S$4:$S$203,"Đúng hạn")+COUNTIFS(PO!$H$4:$H$203,$A165,PO!$S$4:$S$203,"Giao trễ")+COUNTIFS(PO!$H$4:$H$203,$A165,PO!$S$4:$S$203,"Trễ hạn"))</f>
        <v/>
      </c>
      <c r="K165" s="38" t="str">
        <f aca="false">IF($A165="","",COUNTIFS(PO!$H$4:$H$203,$A165,PO!$S$4:$S$203,"Đúng hạn"))</f>
        <v/>
      </c>
      <c r="L165" s="39" t="str">
        <f aca="false">IF($A165="","",IFERROR($K165/$J165,""))</f>
        <v/>
      </c>
      <c r="M165" s="38" t="str">
        <f aca="false">IF($A165="","",SUMIFS(PO!$U$4:$U$203,PO!$H$4:$H$203,$A165))</f>
        <v/>
      </c>
      <c r="N165" s="38" t="str">
        <f aca="false">IF($A165="","",SUMIFS(PO!$V$4:$V$203,PO!$H$4:$H$203,$A165))</f>
        <v/>
      </c>
      <c r="O165" s="39" t="str">
        <f aca="false">IF($A165="","",IFERROR($N165/$M165,""))</f>
        <v/>
      </c>
      <c r="P165" s="38" t="str">
        <f aca="false">IF($A165="","",SUMIFS('Thanh toán'!$H$4:$H$203,'Thanh toán'!$E$4:$E$203,$A165))</f>
        <v/>
      </c>
      <c r="Q165" s="38" t="str">
        <f aca="false">IF($A165="","",SUMIFS('Công nợ'!$I$4:$I$203,'Công nợ'!$D$4:$D$203,$A165))</f>
        <v/>
      </c>
      <c r="R165" s="38" t="str">
        <f aca="false">IF($A165="","",SUMIFS('Công nợ'!$I$4:$I$203,'Công nợ'!$D$4:$D$203,$A165,'Công nợ'!$K$4:$K$203,"&gt;0"))</f>
        <v/>
      </c>
    </row>
    <row r="166" customFormat="false" ht="15" hidden="false" customHeight="false" outlineLevel="0" collapsed="false">
      <c r="A166" s="37" t="str">
        <f aca="false">IF('Nhà cung cấp'!$A166="","",'Nhà cung cấp'!$A166)</f>
        <v/>
      </c>
      <c r="B166" s="37" t="str">
        <f aca="false">IF($A166="","",'Nhà cung cấp'!$B166)</f>
        <v/>
      </c>
      <c r="C166" s="37" t="str">
        <f aca="false">IF($A166="","",'Nhà cung cấp'!$H166)</f>
        <v/>
      </c>
      <c r="D166" s="38" t="str">
        <f aca="false">IF($A166="","",COUNTIFS('Báo giá'!$I$4:$I$203,$A166))</f>
        <v/>
      </c>
      <c r="E166" s="38" t="str">
        <f aca="false">IF($A166="","",COUNTIFS('Báo giá'!$I$4:$I$203,$A166,'Báo giá'!$T$4:$T$203,"x"))</f>
        <v/>
      </c>
      <c r="F166" s="39" t="str">
        <f aca="false">IF($A166="","",IFERROR($E166/$D166,""))</f>
        <v/>
      </c>
      <c r="G166" s="38" t="str">
        <f aca="false">IF($A166="","",COUNTIFS(PO!$H$4:$H$203,$A166))</f>
        <v/>
      </c>
      <c r="H166" s="38" t="str">
        <f aca="false">IF($A166="","",SUMIFS(PO!$L$4:$L$203,PO!$H$4:$H$203,$A166))</f>
        <v/>
      </c>
      <c r="I166" s="38" t="str">
        <f aca="false">IF($A166="","",SUMIFS(PO!$N$4:$N$203,PO!$H$4:$H$203,$A166))</f>
        <v/>
      </c>
      <c r="J166" s="38" t="str">
        <f aca="false">IF($A166="","",COUNTIFS(PO!$H$4:$H$203,$A166,PO!$S$4:$S$203,"Đúng hạn")+COUNTIFS(PO!$H$4:$H$203,$A166,PO!$S$4:$S$203,"Giao trễ")+COUNTIFS(PO!$H$4:$H$203,$A166,PO!$S$4:$S$203,"Trễ hạn"))</f>
        <v/>
      </c>
      <c r="K166" s="38" t="str">
        <f aca="false">IF($A166="","",COUNTIFS(PO!$H$4:$H$203,$A166,PO!$S$4:$S$203,"Đúng hạn"))</f>
        <v/>
      </c>
      <c r="L166" s="39" t="str">
        <f aca="false">IF($A166="","",IFERROR($K166/$J166,""))</f>
        <v/>
      </c>
      <c r="M166" s="38" t="str">
        <f aca="false">IF($A166="","",SUMIFS(PO!$U$4:$U$203,PO!$H$4:$H$203,$A166))</f>
        <v/>
      </c>
      <c r="N166" s="38" t="str">
        <f aca="false">IF($A166="","",SUMIFS(PO!$V$4:$V$203,PO!$H$4:$H$203,$A166))</f>
        <v/>
      </c>
      <c r="O166" s="39" t="str">
        <f aca="false">IF($A166="","",IFERROR($N166/$M166,""))</f>
        <v/>
      </c>
      <c r="P166" s="38" t="str">
        <f aca="false">IF($A166="","",SUMIFS('Thanh toán'!$H$4:$H$203,'Thanh toán'!$E$4:$E$203,$A166))</f>
        <v/>
      </c>
      <c r="Q166" s="38" t="str">
        <f aca="false">IF($A166="","",SUMIFS('Công nợ'!$I$4:$I$203,'Công nợ'!$D$4:$D$203,$A166))</f>
        <v/>
      </c>
      <c r="R166" s="38" t="str">
        <f aca="false">IF($A166="","",SUMIFS('Công nợ'!$I$4:$I$203,'Công nợ'!$D$4:$D$203,$A166,'Công nợ'!$K$4:$K$203,"&gt;0"))</f>
        <v/>
      </c>
    </row>
    <row r="167" customFormat="false" ht="15" hidden="false" customHeight="false" outlineLevel="0" collapsed="false">
      <c r="A167" s="37" t="str">
        <f aca="false">IF('Nhà cung cấp'!$A167="","",'Nhà cung cấp'!$A167)</f>
        <v/>
      </c>
      <c r="B167" s="37" t="str">
        <f aca="false">IF($A167="","",'Nhà cung cấp'!$B167)</f>
        <v/>
      </c>
      <c r="C167" s="37" t="str">
        <f aca="false">IF($A167="","",'Nhà cung cấp'!$H167)</f>
        <v/>
      </c>
      <c r="D167" s="38" t="str">
        <f aca="false">IF($A167="","",COUNTIFS('Báo giá'!$I$4:$I$203,$A167))</f>
        <v/>
      </c>
      <c r="E167" s="38" t="str">
        <f aca="false">IF($A167="","",COUNTIFS('Báo giá'!$I$4:$I$203,$A167,'Báo giá'!$T$4:$T$203,"x"))</f>
        <v/>
      </c>
      <c r="F167" s="39" t="str">
        <f aca="false">IF($A167="","",IFERROR($E167/$D167,""))</f>
        <v/>
      </c>
      <c r="G167" s="38" t="str">
        <f aca="false">IF($A167="","",COUNTIFS(PO!$H$4:$H$203,$A167))</f>
        <v/>
      </c>
      <c r="H167" s="38" t="str">
        <f aca="false">IF($A167="","",SUMIFS(PO!$L$4:$L$203,PO!$H$4:$H$203,$A167))</f>
        <v/>
      </c>
      <c r="I167" s="38" t="str">
        <f aca="false">IF($A167="","",SUMIFS(PO!$N$4:$N$203,PO!$H$4:$H$203,$A167))</f>
        <v/>
      </c>
      <c r="J167" s="38" t="str">
        <f aca="false">IF($A167="","",COUNTIFS(PO!$H$4:$H$203,$A167,PO!$S$4:$S$203,"Đúng hạn")+COUNTIFS(PO!$H$4:$H$203,$A167,PO!$S$4:$S$203,"Giao trễ")+COUNTIFS(PO!$H$4:$H$203,$A167,PO!$S$4:$S$203,"Trễ hạn"))</f>
        <v/>
      </c>
      <c r="K167" s="38" t="str">
        <f aca="false">IF($A167="","",COUNTIFS(PO!$H$4:$H$203,$A167,PO!$S$4:$S$203,"Đúng hạn"))</f>
        <v/>
      </c>
      <c r="L167" s="39" t="str">
        <f aca="false">IF($A167="","",IFERROR($K167/$J167,""))</f>
        <v/>
      </c>
      <c r="M167" s="38" t="str">
        <f aca="false">IF($A167="","",SUMIFS(PO!$U$4:$U$203,PO!$H$4:$H$203,$A167))</f>
        <v/>
      </c>
      <c r="N167" s="38" t="str">
        <f aca="false">IF($A167="","",SUMIFS(PO!$V$4:$V$203,PO!$H$4:$H$203,$A167))</f>
        <v/>
      </c>
      <c r="O167" s="39" t="str">
        <f aca="false">IF($A167="","",IFERROR($N167/$M167,""))</f>
        <v/>
      </c>
      <c r="P167" s="38" t="str">
        <f aca="false">IF($A167="","",SUMIFS('Thanh toán'!$H$4:$H$203,'Thanh toán'!$E$4:$E$203,$A167))</f>
        <v/>
      </c>
      <c r="Q167" s="38" t="str">
        <f aca="false">IF($A167="","",SUMIFS('Công nợ'!$I$4:$I$203,'Công nợ'!$D$4:$D$203,$A167))</f>
        <v/>
      </c>
      <c r="R167" s="38" t="str">
        <f aca="false">IF($A167="","",SUMIFS('Công nợ'!$I$4:$I$203,'Công nợ'!$D$4:$D$203,$A167,'Công nợ'!$K$4:$K$203,"&gt;0"))</f>
        <v/>
      </c>
    </row>
    <row r="168" customFormat="false" ht="15" hidden="false" customHeight="false" outlineLevel="0" collapsed="false">
      <c r="A168" s="37" t="str">
        <f aca="false">IF('Nhà cung cấp'!$A168="","",'Nhà cung cấp'!$A168)</f>
        <v/>
      </c>
      <c r="B168" s="37" t="str">
        <f aca="false">IF($A168="","",'Nhà cung cấp'!$B168)</f>
        <v/>
      </c>
      <c r="C168" s="37" t="str">
        <f aca="false">IF($A168="","",'Nhà cung cấp'!$H168)</f>
        <v/>
      </c>
      <c r="D168" s="38" t="str">
        <f aca="false">IF($A168="","",COUNTIFS('Báo giá'!$I$4:$I$203,$A168))</f>
        <v/>
      </c>
      <c r="E168" s="38" t="str">
        <f aca="false">IF($A168="","",COUNTIFS('Báo giá'!$I$4:$I$203,$A168,'Báo giá'!$T$4:$T$203,"x"))</f>
        <v/>
      </c>
      <c r="F168" s="39" t="str">
        <f aca="false">IF($A168="","",IFERROR($E168/$D168,""))</f>
        <v/>
      </c>
      <c r="G168" s="38" t="str">
        <f aca="false">IF($A168="","",COUNTIFS(PO!$H$4:$H$203,$A168))</f>
        <v/>
      </c>
      <c r="H168" s="38" t="str">
        <f aca="false">IF($A168="","",SUMIFS(PO!$L$4:$L$203,PO!$H$4:$H$203,$A168))</f>
        <v/>
      </c>
      <c r="I168" s="38" t="str">
        <f aca="false">IF($A168="","",SUMIFS(PO!$N$4:$N$203,PO!$H$4:$H$203,$A168))</f>
        <v/>
      </c>
      <c r="J168" s="38" t="str">
        <f aca="false">IF($A168="","",COUNTIFS(PO!$H$4:$H$203,$A168,PO!$S$4:$S$203,"Đúng hạn")+COUNTIFS(PO!$H$4:$H$203,$A168,PO!$S$4:$S$203,"Giao trễ")+COUNTIFS(PO!$H$4:$H$203,$A168,PO!$S$4:$S$203,"Trễ hạn"))</f>
        <v/>
      </c>
      <c r="K168" s="38" t="str">
        <f aca="false">IF($A168="","",COUNTIFS(PO!$H$4:$H$203,$A168,PO!$S$4:$S$203,"Đúng hạn"))</f>
        <v/>
      </c>
      <c r="L168" s="39" t="str">
        <f aca="false">IF($A168="","",IFERROR($K168/$J168,""))</f>
        <v/>
      </c>
      <c r="M168" s="38" t="str">
        <f aca="false">IF($A168="","",SUMIFS(PO!$U$4:$U$203,PO!$H$4:$H$203,$A168))</f>
        <v/>
      </c>
      <c r="N168" s="38" t="str">
        <f aca="false">IF($A168="","",SUMIFS(PO!$V$4:$V$203,PO!$H$4:$H$203,$A168))</f>
        <v/>
      </c>
      <c r="O168" s="39" t="str">
        <f aca="false">IF($A168="","",IFERROR($N168/$M168,""))</f>
        <v/>
      </c>
      <c r="P168" s="38" t="str">
        <f aca="false">IF($A168="","",SUMIFS('Thanh toán'!$H$4:$H$203,'Thanh toán'!$E$4:$E$203,$A168))</f>
        <v/>
      </c>
      <c r="Q168" s="38" t="str">
        <f aca="false">IF($A168="","",SUMIFS('Công nợ'!$I$4:$I$203,'Công nợ'!$D$4:$D$203,$A168))</f>
        <v/>
      </c>
      <c r="R168" s="38" t="str">
        <f aca="false">IF($A168="","",SUMIFS('Công nợ'!$I$4:$I$203,'Công nợ'!$D$4:$D$203,$A168,'Công nợ'!$K$4:$K$203,"&gt;0"))</f>
        <v/>
      </c>
    </row>
    <row r="169" customFormat="false" ht="15" hidden="false" customHeight="false" outlineLevel="0" collapsed="false">
      <c r="A169" s="37" t="str">
        <f aca="false">IF('Nhà cung cấp'!$A169="","",'Nhà cung cấp'!$A169)</f>
        <v/>
      </c>
      <c r="B169" s="37" t="str">
        <f aca="false">IF($A169="","",'Nhà cung cấp'!$B169)</f>
        <v/>
      </c>
      <c r="C169" s="37" t="str">
        <f aca="false">IF($A169="","",'Nhà cung cấp'!$H169)</f>
        <v/>
      </c>
      <c r="D169" s="38" t="str">
        <f aca="false">IF($A169="","",COUNTIFS('Báo giá'!$I$4:$I$203,$A169))</f>
        <v/>
      </c>
      <c r="E169" s="38" t="str">
        <f aca="false">IF($A169="","",COUNTIFS('Báo giá'!$I$4:$I$203,$A169,'Báo giá'!$T$4:$T$203,"x"))</f>
        <v/>
      </c>
      <c r="F169" s="39" t="str">
        <f aca="false">IF($A169="","",IFERROR($E169/$D169,""))</f>
        <v/>
      </c>
      <c r="G169" s="38" t="str">
        <f aca="false">IF($A169="","",COUNTIFS(PO!$H$4:$H$203,$A169))</f>
        <v/>
      </c>
      <c r="H169" s="38" t="str">
        <f aca="false">IF($A169="","",SUMIFS(PO!$L$4:$L$203,PO!$H$4:$H$203,$A169))</f>
        <v/>
      </c>
      <c r="I169" s="38" t="str">
        <f aca="false">IF($A169="","",SUMIFS(PO!$N$4:$N$203,PO!$H$4:$H$203,$A169))</f>
        <v/>
      </c>
      <c r="J169" s="38" t="str">
        <f aca="false">IF($A169="","",COUNTIFS(PO!$H$4:$H$203,$A169,PO!$S$4:$S$203,"Đúng hạn")+COUNTIFS(PO!$H$4:$H$203,$A169,PO!$S$4:$S$203,"Giao trễ")+COUNTIFS(PO!$H$4:$H$203,$A169,PO!$S$4:$S$203,"Trễ hạn"))</f>
        <v/>
      </c>
      <c r="K169" s="38" t="str">
        <f aca="false">IF($A169="","",COUNTIFS(PO!$H$4:$H$203,$A169,PO!$S$4:$S$203,"Đúng hạn"))</f>
        <v/>
      </c>
      <c r="L169" s="39" t="str">
        <f aca="false">IF($A169="","",IFERROR($K169/$J169,""))</f>
        <v/>
      </c>
      <c r="M169" s="38" t="str">
        <f aca="false">IF($A169="","",SUMIFS(PO!$U$4:$U$203,PO!$H$4:$H$203,$A169))</f>
        <v/>
      </c>
      <c r="N169" s="38" t="str">
        <f aca="false">IF($A169="","",SUMIFS(PO!$V$4:$V$203,PO!$H$4:$H$203,$A169))</f>
        <v/>
      </c>
      <c r="O169" s="39" t="str">
        <f aca="false">IF($A169="","",IFERROR($N169/$M169,""))</f>
        <v/>
      </c>
      <c r="P169" s="38" t="str">
        <f aca="false">IF($A169="","",SUMIFS('Thanh toán'!$H$4:$H$203,'Thanh toán'!$E$4:$E$203,$A169))</f>
        <v/>
      </c>
      <c r="Q169" s="38" t="str">
        <f aca="false">IF($A169="","",SUMIFS('Công nợ'!$I$4:$I$203,'Công nợ'!$D$4:$D$203,$A169))</f>
        <v/>
      </c>
      <c r="R169" s="38" t="str">
        <f aca="false">IF($A169="","",SUMIFS('Công nợ'!$I$4:$I$203,'Công nợ'!$D$4:$D$203,$A169,'Công nợ'!$K$4:$K$203,"&gt;0"))</f>
        <v/>
      </c>
    </row>
    <row r="170" customFormat="false" ht="15" hidden="false" customHeight="false" outlineLevel="0" collapsed="false">
      <c r="A170" s="37" t="str">
        <f aca="false">IF('Nhà cung cấp'!$A170="","",'Nhà cung cấp'!$A170)</f>
        <v/>
      </c>
      <c r="B170" s="37" t="str">
        <f aca="false">IF($A170="","",'Nhà cung cấp'!$B170)</f>
        <v/>
      </c>
      <c r="C170" s="37" t="str">
        <f aca="false">IF($A170="","",'Nhà cung cấp'!$H170)</f>
        <v/>
      </c>
      <c r="D170" s="38" t="str">
        <f aca="false">IF($A170="","",COUNTIFS('Báo giá'!$I$4:$I$203,$A170))</f>
        <v/>
      </c>
      <c r="E170" s="38" t="str">
        <f aca="false">IF($A170="","",COUNTIFS('Báo giá'!$I$4:$I$203,$A170,'Báo giá'!$T$4:$T$203,"x"))</f>
        <v/>
      </c>
      <c r="F170" s="39" t="str">
        <f aca="false">IF($A170="","",IFERROR($E170/$D170,""))</f>
        <v/>
      </c>
      <c r="G170" s="38" t="str">
        <f aca="false">IF($A170="","",COUNTIFS(PO!$H$4:$H$203,$A170))</f>
        <v/>
      </c>
      <c r="H170" s="38" t="str">
        <f aca="false">IF($A170="","",SUMIFS(PO!$L$4:$L$203,PO!$H$4:$H$203,$A170))</f>
        <v/>
      </c>
      <c r="I170" s="38" t="str">
        <f aca="false">IF($A170="","",SUMIFS(PO!$N$4:$N$203,PO!$H$4:$H$203,$A170))</f>
        <v/>
      </c>
      <c r="J170" s="38" t="str">
        <f aca="false">IF($A170="","",COUNTIFS(PO!$H$4:$H$203,$A170,PO!$S$4:$S$203,"Đúng hạn")+COUNTIFS(PO!$H$4:$H$203,$A170,PO!$S$4:$S$203,"Giao trễ")+COUNTIFS(PO!$H$4:$H$203,$A170,PO!$S$4:$S$203,"Trễ hạn"))</f>
        <v/>
      </c>
      <c r="K170" s="38" t="str">
        <f aca="false">IF($A170="","",COUNTIFS(PO!$H$4:$H$203,$A170,PO!$S$4:$S$203,"Đúng hạn"))</f>
        <v/>
      </c>
      <c r="L170" s="39" t="str">
        <f aca="false">IF($A170="","",IFERROR($K170/$J170,""))</f>
        <v/>
      </c>
      <c r="M170" s="38" t="str">
        <f aca="false">IF($A170="","",SUMIFS(PO!$U$4:$U$203,PO!$H$4:$H$203,$A170))</f>
        <v/>
      </c>
      <c r="N170" s="38" t="str">
        <f aca="false">IF($A170="","",SUMIFS(PO!$V$4:$V$203,PO!$H$4:$H$203,$A170))</f>
        <v/>
      </c>
      <c r="O170" s="39" t="str">
        <f aca="false">IF($A170="","",IFERROR($N170/$M170,""))</f>
        <v/>
      </c>
      <c r="P170" s="38" t="str">
        <f aca="false">IF($A170="","",SUMIFS('Thanh toán'!$H$4:$H$203,'Thanh toán'!$E$4:$E$203,$A170))</f>
        <v/>
      </c>
      <c r="Q170" s="38" t="str">
        <f aca="false">IF($A170="","",SUMIFS('Công nợ'!$I$4:$I$203,'Công nợ'!$D$4:$D$203,$A170))</f>
        <v/>
      </c>
      <c r="R170" s="38" t="str">
        <f aca="false">IF($A170="","",SUMIFS('Công nợ'!$I$4:$I$203,'Công nợ'!$D$4:$D$203,$A170,'Công nợ'!$K$4:$K$203,"&gt;0"))</f>
        <v/>
      </c>
    </row>
    <row r="171" customFormat="false" ht="15" hidden="false" customHeight="false" outlineLevel="0" collapsed="false">
      <c r="A171" s="37" t="str">
        <f aca="false">IF('Nhà cung cấp'!$A171="","",'Nhà cung cấp'!$A171)</f>
        <v/>
      </c>
      <c r="B171" s="37" t="str">
        <f aca="false">IF($A171="","",'Nhà cung cấp'!$B171)</f>
        <v/>
      </c>
      <c r="C171" s="37" t="str">
        <f aca="false">IF($A171="","",'Nhà cung cấp'!$H171)</f>
        <v/>
      </c>
      <c r="D171" s="38" t="str">
        <f aca="false">IF($A171="","",COUNTIFS('Báo giá'!$I$4:$I$203,$A171))</f>
        <v/>
      </c>
      <c r="E171" s="38" t="str">
        <f aca="false">IF($A171="","",COUNTIFS('Báo giá'!$I$4:$I$203,$A171,'Báo giá'!$T$4:$T$203,"x"))</f>
        <v/>
      </c>
      <c r="F171" s="39" t="str">
        <f aca="false">IF($A171="","",IFERROR($E171/$D171,""))</f>
        <v/>
      </c>
      <c r="G171" s="38" t="str">
        <f aca="false">IF($A171="","",COUNTIFS(PO!$H$4:$H$203,$A171))</f>
        <v/>
      </c>
      <c r="H171" s="38" t="str">
        <f aca="false">IF($A171="","",SUMIFS(PO!$L$4:$L$203,PO!$H$4:$H$203,$A171))</f>
        <v/>
      </c>
      <c r="I171" s="38" t="str">
        <f aca="false">IF($A171="","",SUMIFS(PO!$N$4:$N$203,PO!$H$4:$H$203,$A171))</f>
        <v/>
      </c>
      <c r="J171" s="38" t="str">
        <f aca="false">IF($A171="","",COUNTIFS(PO!$H$4:$H$203,$A171,PO!$S$4:$S$203,"Đúng hạn")+COUNTIFS(PO!$H$4:$H$203,$A171,PO!$S$4:$S$203,"Giao trễ")+COUNTIFS(PO!$H$4:$H$203,$A171,PO!$S$4:$S$203,"Trễ hạn"))</f>
        <v/>
      </c>
      <c r="K171" s="38" t="str">
        <f aca="false">IF($A171="","",COUNTIFS(PO!$H$4:$H$203,$A171,PO!$S$4:$S$203,"Đúng hạn"))</f>
        <v/>
      </c>
      <c r="L171" s="39" t="str">
        <f aca="false">IF($A171="","",IFERROR($K171/$J171,""))</f>
        <v/>
      </c>
      <c r="M171" s="38" t="str">
        <f aca="false">IF($A171="","",SUMIFS(PO!$U$4:$U$203,PO!$H$4:$H$203,$A171))</f>
        <v/>
      </c>
      <c r="N171" s="38" t="str">
        <f aca="false">IF($A171="","",SUMIFS(PO!$V$4:$V$203,PO!$H$4:$H$203,$A171))</f>
        <v/>
      </c>
      <c r="O171" s="39" t="str">
        <f aca="false">IF($A171="","",IFERROR($N171/$M171,""))</f>
        <v/>
      </c>
      <c r="P171" s="38" t="str">
        <f aca="false">IF($A171="","",SUMIFS('Thanh toán'!$H$4:$H$203,'Thanh toán'!$E$4:$E$203,$A171))</f>
        <v/>
      </c>
      <c r="Q171" s="38" t="str">
        <f aca="false">IF($A171="","",SUMIFS('Công nợ'!$I$4:$I$203,'Công nợ'!$D$4:$D$203,$A171))</f>
        <v/>
      </c>
      <c r="R171" s="38" t="str">
        <f aca="false">IF($A171="","",SUMIFS('Công nợ'!$I$4:$I$203,'Công nợ'!$D$4:$D$203,$A171,'Công nợ'!$K$4:$K$203,"&gt;0"))</f>
        <v/>
      </c>
    </row>
    <row r="172" customFormat="false" ht="15" hidden="false" customHeight="false" outlineLevel="0" collapsed="false">
      <c r="A172" s="37" t="str">
        <f aca="false">IF('Nhà cung cấp'!$A172="","",'Nhà cung cấp'!$A172)</f>
        <v/>
      </c>
      <c r="B172" s="37" t="str">
        <f aca="false">IF($A172="","",'Nhà cung cấp'!$B172)</f>
        <v/>
      </c>
      <c r="C172" s="37" t="str">
        <f aca="false">IF($A172="","",'Nhà cung cấp'!$H172)</f>
        <v/>
      </c>
      <c r="D172" s="38" t="str">
        <f aca="false">IF($A172="","",COUNTIFS('Báo giá'!$I$4:$I$203,$A172))</f>
        <v/>
      </c>
      <c r="E172" s="38" t="str">
        <f aca="false">IF($A172="","",COUNTIFS('Báo giá'!$I$4:$I$203,$A172,'Báo giá'!$T$4:$T$203,"x"))</f>
        <v/>
      </c>
      <c r="F172" s="39" t="str">
        <f aca="false">IF($A172="","",IFERROR($E172/$D172,""))</f>
        <v/>
      </c>
      <c r="G172" s="38" t="str">
        <f aca="false">IF($A172="","",COUNTIFS(PO!$H$4:$H$203,$A172))</f>
        <v/>
      </c>
      <c r="H172" s="38" t="str">
        <f aca="false">IF($A172="","",SUMIFS(PO!$L$4:$L$203,PO!$H$4:$H$203,$A172))</f>
        <v/>
      </c>
      <c r="I172" s="38" t="str">
        <f aca="false">IF($A172="","",SUMIFS(PO!$N$4:$N$203,PO!$H$4:$H$203,$A172))</f>
        <v/>
      </c>
      <c r="J172" s="38" t="str">
        <f aca="false">IF($A172="","",COUNTIFS(PO!$H$4:$H$203,$A172,PO!$S$4:$S$203,"Đúng hạn")+COUNTIFS(PO!$H$4:$H$203,$A172,PO!$S$4:$S$203,"Giao trễ")+COUNTIFS(PO!$H$4:$H$203,$A172,PO!$S$4:$S$203,"Trễ hạn"))</f>
        <v/>
      </c>
      <c r="K172" s="38" t="str">
        <f aca="false">IF($A172="","",COUNTIFS(PO!$H$4:$H$203,$A172,PO!$S$4:$S$203,"Đúng hạn"))</f>
        <v/>
      </c>
      <c r="L172" s="39" t="str">
        <f aca="false">IF($A172="","",IFERROR($K172/$J172,""))</f>
        <v/>
      </c>
      <c r="M172" s="38" t="str">
        <f aca="false">IF($A172="","",SUMIFS(PO!$U$4:$U$203,PO!$H$4:$H$203,$A172))</f>
        <v/>
      </c>
      <c r="N172" s="38" t="str">
        <f aca="false">IF($A172="","",SUMIFS(PO!$V$4:$V$203,PO!$H$4:$H$203,$A172))</f>
        <v/>
      </c>
      <c r="O172" s="39" t="str">
        <f aca="false">IF($A172="","",IFERROR($N172/$M172,""))</f>
        <v/>
      </c>
      <c r="P172" s="38" t="str">
        <f aca="false">IF($A172="","",SUMIFS('Thanh toán'!$H$4:$H$203,'Thanh toán'!$E$4:$E$203,$A172))</f>
        <v/>
      </c>
      <c r="Q172" s="38" t="str">
        <f aca="false">IF($A172="","",SUMIFS('Công nợ'!$I$4:$I$203,'Công nợ'!$D$4:$D$203,$A172))</f>
        <v/>
      </c>
      <c r="R172" s="38" t="str">
        <f aca="false">IF($A172="","",SUMIFS('Công nợ'!$I$4:$I$203,'Công nợ'!$D$4:$D$203,$A172,'Công nợ'!$K$4:$K$203,"&gt;0"))</f>
        <v/>
      </c>
    </row>
    <row r="173" customFormat="false" ht="15" hidden="false" customHeight="false" outlineLevel="0" collapsed="false">
      <c r="A173" s="37" t="str">
        <f aca="false">IF('Nhà cung cấp'!$A173="","",'Nhà cung cấp'!$A173)</f>
        <v/>
      </c>
      <c r="B173" s="37" t="str">
        <f aca="false">IF($A173="","",'Nhà cung cấp'!$B173)</f>
        <v/>
      </c>
      <c r="C173" s="37" t="str">
        <f aca="false">IF($A173="","",'Nhà cung cấp'!$H173)</f>
        <v/>
      </c>
      <c r="D173" s="38" t="str">
        <f aca="false">IF($A173="","",COUNTIFS('Báo giá'!$I$4:$I$203,$A173))</f>
        <v/>
      </c>
      <c r="E173" s="38" t="str">
        <f aca="false">IF($A173="","",COUNTIFS('Báo giá'!$I$4:$I$203,$A173,'Báo giá'!$T$4:$T$203,"x"))</f>
        <v/>
      </c>
      <c r="F173" s="39" t="str">
        <f aca="false">IF($A173="","",IFERROR($E173/$D173,""))</f>
        <v/>
      </c>
      <c r="G173" s="38" t="str">
        <f aca="false">IF($A173="","",COUNTIFS(PO!$H$4:$H$203,$A173))</f>
        <v/>
      </c>
      <c r="H173" s="38" t="str">
        <f aca="false">IF($A173="","",SUMIFS(PO!$L$4:$L$203,PO!$H$4:$H$203,$A173))</f>
        <v/>
      </c>
      <c r="I173" s="38" t="str">
        <f aca="false">IF($A173="","",SUMIFS(PO!$N$4:$N$203,PO!$H$4:$H$203,$A173))</f>
        <v/>
      </c>
      <c r="J173" s="38" t="str">
        <f aca="false">IF($A173="","",COUNTIFS(PO!$H$4:$H$203,$A173,PO!$S$4:$S$203,"Đúng hạn")+COUNTIFS(PO!$H$4:$H$203,$A173,PO!$S$4:$S$203,"Giao trễ")+COUNTIFS(PO!$H$4:$H$203,$A173,PO!$S$4:$S$203,"Trễ hạn"))</f>
        <v/>
      </c>
      <c r="K173" s="38" t="str">
        <f aca="false">IF($A173="","",COUNTIFS(PO!$H$4:$H$203,$A173,PO!$S$4:$S$203,"Đúng hạn"))</f>
        <v/>
      </c>
      <c r="L173" s="39" t="str">
        <f aca="false">IF($A173="","",IFERROR($K173/$J173,""))</f>
        <v/>
      </c>
      <c r="M173" s="38" t="str">
        <f aca="false">IF($A173="","",SUMIFS(PO!$U$4:$U$203,PO!$H$4:$H$203,$A173))</f>
        <v/>
      </c>
      <c r="N173" s="38" t="str">
        <f aca="false">IF($A173="","",SUMIFS(PO!$V$4:$V$203,PO!$H$4:$H$203,$A173))</f>
        <v/>
      </c>
      <c r="O173" s="39" t="str">
        <f aca="false">IF($A173="","",IFERROR($N173/$M173,""))</f>
        <v/>
      </c>
      <c r="P173" s="38" t="str">
        <f aca="false">IF($A173="","",SUMIFS('Thanh toán'!$H$4:$H$203,'Thanh toán'!$E$4:$E$203,$A173))</f>
        <v/>
      </c>
      <c r="Q173" s="38" t="str">
        <f aca="false">IF($A173="","",SUMIFS('Công nợ'!$I$4:$I$203,'Công nợ'!$D$4:$D$203,$A173))</f>
        <v/>
      </c>
      <c r="R173" s="38" t="str">
        <f aca="false">IF($A173="","",SUMIFS('Công nợ'!$I$4:$I$203,'Công nợ'!$D$4:$D$203,$A173,'Công nợ'!$K$4:$K$203,"&gt;0"))</f>
        <v/>
      </c>
    </row>
    <row r="174" customFormat="false" ht="15" hidden="false" customHeight="false" outlineLevel="0" collapsed="false">
      <c r="A174" s="37" t="str">
        <f aca="false">IF('Nhà cung cấp'!$A174="","",'Nhà cung cấp'!$A174)</f>
        <v/>
      </c>
      <c r="B174" s="37" t="str">
        <f aca="false">IF($A174="","",'Nhà cung cấp'!$B174)</f>
        <v/>
      </c>
      <c r="C174" s="37" t="str">
        <f aca="false">IF($A174="","",'Nhà cung cấp'!$H174)</f>
        <v/>
      </c>
      <c r="D174" s="38" t="str">
        <f aca="false">IF($A174="","",COUNTIFS('Báo giá'!$I$4:$I$203,$A174))</f>
        <v/>
      </c>
      <c r="E174" s="38" t="str">
        <f aca="false">IF($A174="","",COUNTIFS('Báo giá'!$I$4:$I$203,$A174,'Báo giá'!$T$4:$T$203,"x"))</f>
        <v/>
      </c>
      <c r="F174" s="39" t="str">
        <f aca="false">IF($A174="","",IFERROR($E174/$D174,""))</f>
        <v/>
      </c>
      <c r="G174" s="38" t="str">
        <f aca="false">IF($A174="","",COUNTIFS(PO!$H$4:$H$203,$A174))</f>
        <v/>
      </c>
      <c r="H174" s="38" t="str">
        <f aca="false">IF($A174="","",SUMIFS(PO!$L$4:$L$203,PO!$H$4:$H$203,$A174))</f>
        <v/>
      </c>
      <c r="I174" s="38" t="str">
        <f aca="false">IF($A174="","",SUMIFS(PO!$N$4:$N$203,PO!$H$4:$H$203,$A174))</f>
        <v/>
      </c>
      <c r="J174" s="38" t="str">
        <f aca="false">IF($A174="","",COUNTIFS(PO!$H$4:$H$203,$A174,PO!$S$4:$S$203,"Đúng hạn")+COUNTIFS(PO!$H$4:$H$203,$A174,PO!$S$4:$S$203,"Giao trễ")+COUNTIFS(PO!$H$4:$H$203,$A174,PO!$S$4:$S$203,"Trễ hạn"))</f>
        <v/>
      </c>
      <c r="K174" s="38" t="str">
        <f aca="false">IF($A174="","",COUNTIFS(PO!$H$4:$H$203,$A174,PO!$S$4:$S$203,"Đúng hạn"))</f>
        <v/>
      </c>
      <c r="L174" s="39" t="str">
        <f aca="false">IF($A174="","",IFERROR($K174/$J174,""))</f>
        <v/>
      </c>
      <c r="M174" s="38" t="str">
        <f aca="false">IF($A174="","",SUMIFS(PO!$U$4:$U$203,PO!$H$4:$H$203,$A174))</f>
        <v/>
      </c>
      <c r="N174" s="38" t="str">
        <f aca="false">IF($A174="","",SUMIFS(PO!$V$4:$V$203,PO!$H$4:$H$203,$A174))</f>
        <v/>
      </c>
      <c r="O174" s="39" t="str">
        <f aca="false">IF($A174="","",IFERROR($N174/$M174,""))</f>
        <v/>
      </c>
      <c r="P174" s="38" t="str">
        <f aca="false">IF($A174="","",SUMIFS('Thanh toán'!$H$4:$H$203,'Thanh toán'!$E$4:$E$203,$A174))</f>
        <v/>
      </c>
      <c r="Q174" s="38" t="str">
        <f aca="false">IF($A174="","",SUMIFS('Công nợ'!$I$4:$I$203,'Công nợ'!$D$4:$D$203,$A174))</f>
        <v/>
      </c>
      <c r="R174" s="38" t="str">
        <f aca="false">IF($A174="","",SUMIFS('Công nợ'!$I$4:$I$203,'Công nợ'!$D$4:$D$203,$A174,'Công nợ'!$K$4:$K$203,"&gt;0"))</f>
        <v/>
      </c>
    </row>
    <row r="175" customFormat="false" ht="15" hidden="false" customHeight="false" outlineLevel="0" collapsed="false">
      <c r="A175" s="37" t="str">
        <f aca="false">IF('Nhà cung cấp'!$A175="","",'Nhà cung cấp'!$A175)</f>
        <v/>
      </c>
      <c r="B175" s="37" t="str">
        <f aca="false">IF($A175="","",'Nhà cung cấp'!$B175)</f>
        <v/>
      </c>
      <c r="C175" s="37" t="str">
        <f aca="false">IF($A175="","",'Nhà cung cấp'!$H175)</f>
        <v/>
      </c>
      <c r="D175" s="38" t="str">
        <f aca="false">IF($A175="","",COUNTIFS('Báo giá'!$I$4:$I$203,$A175))</f>
        <v/>
      </c>
      <c r="E175" s="38" t="str">
        <f aca="false">IF($A175="","",COUNTIFS('Báo giá'!$I$4:$I$203,$A175,'Báo giá'!$T$4:$T$203,"x"))</f>
        <v/>
      </c>
      <c r="F175" s="39" t="str">
        <f aca="false">IF($A175="","",IFERROR($E175/$D175,""))</f>
        <v/>
      </c>
      <c r="G175" s="38" t="str">
        <f aca="false">IF($A175="","",COUNTIFS(PO!$H$4:$H$203,$A175))</f>
        <v/>
      </c>
      <c r="H175" s="38" t="str">
        <f aca="false">IF($A175="","",SUMIFS(PO!$L$4:$L$203,PO!$H$4:$H$203,$A175))</f>
        <v/>
      </c>
      <c r="I175" s="38" t="str">
        <f aca="false">IF($A175="","",SUMIFS(PO!$N$4:$N$203,PO!$H$4:$H$203,$A175))</f>
        <v/>
      </c>
      <c r="J175" s="38" t="str">
        <f aca="false">IF($A175="","",COUNTIFS(PO!$H$4:$H$203,$A175,PO!$S$4:$S$203,"Đúng hạn")+COUNTIFS(PO!$H$4:$H$203,$A175,PO!$S$4:$S$203,"Giao trễ")+COUNTIFS(PO!$H$4:$H$203,$A175,PO!$S$4:$S$203,"Trễ hạn"))</f>
        <v/>
      </c>
      <c r="K175" s="38" t="str">
        <f aca="false">IF($A175="","",COUNTIFS(PO!$H$4:$H$203,$A175,PO!$S$4:$S$203,"Đúng hạn"))</f>
        <v/>
      </c>
      <c r="L175" s="39" t="str">
        <f aca="false">IF($A175="","",IFERROR($K175/$J175,""))</f>
        <v/>
      </c>
      <c r="M175" s="38" t="str">
        <f aca="false">IF($A175="","",SUMIFS(PO!$U$4:$U$203,PO!$H$4:$H$203,$A175))</f>
        <v/>
      </c>
      <c r="N175" s="38" t="str">
        <f aca="false">IF($A175="","",SUMIFS(PO!$V$4:$V$203,PO!$H$4:$H$203,$A175))</f>
        <v/>
      </c>
      <c r="O175" s="39" t="str">
        <f aca="false">IF($A175="","",IFERROR($N175/$M175,""))</f>
        <v/>
      </c>
      <c r="P175" s="38" t="str">
        <f aca="false">IF($A175="","",SUMIFS('Thanh toán'!$H$4:$H$203,'Thanh toán'!$E$4:$E$203,$A175))</f>
        <v/>
      </c>
      <c r="Q175" s="38" t="str">
        <f aca="false">IF($A175="","",SUMIFS('Công nợ'!$I$4:$I$203,'Công nợ'!$D$4:$D$203,$A175))</f>
        <v/>
      </c>
      <c r="R175" s="38" t="str">
        <f aca="false">IF($A175="","",SUMIFS('Công nợ'!$I$4:$I$203,'Công nợ'!$D$4:$D$203,$A175,'Công nợ'!$K$4:$K$203,"&gt;0"))</f>
        <v/>
      </c>
    </row>
    <row r="176" customFormat="false" ht="15" hidden="false" customHeight="false" outlineLevel="0" collapsed="false">
      <c r="A176" s="37" t="str">
        <f aca="false">IF('Nhà cung cấp'!$A176="","",'Nhà cung cấp'!$A176)</f>
        <v/>
      </c>
      <c r="B176" s="37" t="str">
        <f aca="false">IF($A176="","",'Nhà cung cấp'!$B176)</f>
        <v/>
      </c>
      <c r="C176" s="37" t="str">
        <f aca="false">IF($A176="","",'Nhà cung cấp'!$H176)</f>
        <v/>
      </c>
      <c r="D176" s="38" t="str">
        <f aca="false">IF($A176="","",COUNTIFS('Báo giá'!$I$4:$I$203,$A176))</f>
        <v/>
      </c>
      <c r="E176" s="38" t="str">
        <f aca="false">IF($A176="","",COUNTIFS('Báo giá'!$I$4:$I$203,$A176,'Báo giá'!$T$4:$T$203,"x"))</f>
        <v/>
      </c>
      <c r="F176" s="39" t="str">
        <f aca="false">IF($A176="","",IFERROR($E176/$D176,""))</f>
        <v/>
      </c>
      <c r="G176" s="38" t="str">
        <f aca="false">IF($A176="","",COUNTIFS(PO!$H$4:$H$203,$A176))</f>
        <v/>
      </c>
      <c r="H176" s="38" t="str">
        <f aca="false">IF($A176="","",SUMIFS(PO!$L$4:$L$203,PO!$H$4:$H$203,$A176))</f>
        <v/>
      </c>
      <c r="I176" s="38" t="str">
        <f aca="false">IF($A176="","",SUMIFS(PO!$N$4:$N$203,PO!$H$4:$H$203,$A176))</f>
        <v/>
      </c>
      <c r="J176" s="38" t="str">
        <f aca="false">IF($A176="","",COUNTIFS(PO!$H$4:$H$203,$A176,PO!$S$4:$S$203,"Đúng hạn")+COUNTIFS(PO!$H$4:$H$203,$A176,PO!$S$4:$S$203,"Giao trễ")+COUNTIFS(PO!$H$4:$H$203,$A176,PO!$S$4:$S$203,"Trễ hạn"))</f>
        <v/>
      </c>
      <c r="K176" s="38" t="str">
        <f aca="false">IF($A176="","",COUNTIFS(PO!$H$4:$H$203,$A176,PO!$S$4:$S$203,"Đúng hạn"))</f>
        <v/>
      </c>
      <c r="L176" s="39" t="str">
        <f aca="false">IF($A176="","",IFERROR($K176/$J176,""))</f>
        <v/>
      </c>
      <c r="M176" s="38" t="str">
        <f aca="false">IF($A176="","",SUMIFS(PO!$U$4:$U$203,PO!$H$4:$H$203,$A176))</f>
        <v/>
      </c>
      <c r="N176" s="38" t="str">
        <f aca="false">IF($A176="","",SUMIFS(PO!$V$4:$V$203,PO!$H$4:$H$203,$A176))</f>
        <v/>
      </c>
      <c r="O176" s="39" t="str">
        <f aca="false">IF($A176="","",IFERROR($N176/$M176,""))</f>
        <v/>
      </c>
      <c r="P176" s="38" t="str">
        <f aca="false">IF($A176="","",SUMIFS('Thanh toán'!$H$4:$H$203,'Thanh toán'!$E$4:$E$203,$A176))</f>
        <v/>
      </c>
      <c r="Q176" s="38" t="str">
        <f aca="false">IF($A176="","",SUMIFS('Công nợ'!$I$4:$I$203,'Công nợ'!$D$4:$D$203,$A176))</f>
        <v/>
      </c>
      <c r="R176" s="38" t="str">
        <f aca="false">IF($A176="","",SUMIFS('Công nợ'!$I$4:$I$203,'Công nợ'!$D$4:$D$203,$A176,'Công nợ'!$K$4:$K$203,"&gt;0"))</f>
        <v/>
      </c>
    </row>
    <row r="177" customFormat="false" ht="15" hidden="false" customHeight="false" outlineLevel="0" collapsed="false">
      <c r="A177" s="37" t="str">
        <f aca="false">IF('Nhà cung cấp'!$A177="","",'Nhà cung cấp'!$A177)</f>
        <v/>
      </c>
      <c r="B177" s="37" t="str">
        <f aca="false">IF($A177="","",'Nhà cung cấp'!$B177)</f>
        <v/>
      </c>
      <c r="C177" s="37" t="str">
        <f aca="false">IF($A177="","",'Nhà cung cấp'!$H177)</f>
        <v/>
      </c>
      <c r="D177" s="38" t="str">
        <f aca="false">IF($A177="","",COUNTIFS('Báo giá'!$I$4:$I$203,$A177))</f>
        <v/>
      </c>
      <c r="E177" s="38" t="str">
        <f aca="false">IF($A177="","",COUNTIFS('Báo giá'!$I$4:$I$203,$A177,'Báo giá'!$T$4:$T$203,"x"))</f>
        <v/>
      </c>
      <c r="F177" s="39" t="str">
        <f aca="false">IF($A177="","",IFERROR($E177/$D177,""))</f>
        <v/>
      </c>
      <c r="G177" s="38" t="str">
        <f aca="false">IF($A177="","",COUNTIFS(PO!$H$4:$H$203,$A177))</f>
        <v/>
      </c>
      <c r="H177" s="38" t="str">
        <f aca="false">IF($A177="","",SUMIFS(PO!$L$4:$L$203,PO!$H$4:$H$203,$A177))</f>
        <v/>
      </c>
      <c r="I177" s="38" t="str">
        <f aca="false">IF($A177="","",SUMIFS(PO!$N$4:$N$203,PO!$H$4:$H$203,$A177))</f>
        <v/>
      </c>
      <c r="J177" s="38" t="str">
        <f aca="false">IF($A177="","",COUNTIFS(PO!$H$4:$H$203,$A177,PO!$S$4:$S$203,"Đúng hạn")+COUNTIFS(PO!$H$4:$H$203,$A177,PO!$S$4:$S$203,"Giao trễ")+COUNTIFS(PO!$H$4:$H$203,$A177,PO!$S$4:$S$203,"Trễ hạn"))</f>
        <v/>
      </c>
      <c r="K177" s="38" t="str">
        <f aca="false">IF($A177="","",COUNTIFS(PO!$H$4:$H$203,$A177,PO!$S$4:$S$203,"Đúng hạn"))</f>
        <v/>
      </c>
      <c r="L177" s="39" t="str">
        <f aca="false">IF($A177="","",IFERROR($K177/$J177,""))</f>
        <v/>
      </c>
      <c r="M177" s="38" t="str">
        <f aca="false">IF($A177="","",SUMIFS(PO!$U$4:$U$203,PO!$H$4:$H$203,$A177))</f>
        <v/>
      </c>
      <c r="N177" s="38" t="str">
        <f aca="false">IF($A177="","",SUMIFS(PO!$V$4:$V$203,PO!$H$4:$H$203,$A177))</f>
        <v/>
      </c>
      <c r="O177" s="39" t="str">
        <f aca="false">IF($A177="","",IFERROR($N177/$M177,""))</f>
        <v/>
      </c>
      <c r="P177" s="38" t="str">
        <f aca="false">IF($A177="","",SUMIFS('Thanh toán'!$H$4:$H$203,'Thanh toán'!$E$4:$E$203,$A177))</f>
        <v/>
      </c>
      <c r="Q177" s="38" t="str">
        <f aca="false">IF($A177="","",SUMIFS('Công nợ'!$I$4:$I$203,'Công nợ'!$D$4:$D$203,$A177))</f>
        <v/>
      </c>
      <c r="R177" s="38" t="str">
        <f aca="false">IF($A177="","",SUMIFS('Công nợ'!$I$4:$I$203,'Công nợ'!$D$4:$D$203,$A177,'Công nợ'!$K$4:$K$203,"&gt;0"))</f>
        <v/>
      </c>
    </row>
    <row r="178" customFormat="false" ht="15" hidden="false" customHeight="false" outlineLevel="0" collapsed="false">
      <c r="A178" s="37" t="str">
        <f aca="false">IF('Nhà cung cấp'!$A178="","",'Nhà cung cấp'!$A178)</f>
        <v/>
      </c>
      <c r="B178" s="37" t="str">
        <f aca="false">IF($A178="","",'Nhà cung cấp'!$B178)</f>
        <v/>
      </c>
      <c r="C178" s="37" t="str">
        <f aca="false">IF($A178="","",'Nhà cung cấp'!$H178)</f>
        <v/>
      </c>
      <c r="D178" s="38" t="str">
        <f aca="false">IF($A178="","",COUNTIFS('Báo giá'!$I$4:$I$203,$A178))</f>
        <v/>
      </c>
      <c r="E178" s="38" t="str">
        <f aca="false">IF($A178="","",COUNTIFS('Báo giá'!$I$4:$I$203,$A178,'Báo giá'!$T$4:$T$203,"x"))</f>
        <v/>
      </c>
      <c r="F178" s="39" t="str">
        <f aca="false">IF($A178="","",IFERROR($E178/$D178,""))</f>
        <v/>
      </c>
      <c r="G178" s="38" t="str">
        <f aca="false">IF($A178="","",COUNTIFS(PO!$H$4:$H$203,$A178))</f>
        <v/>
      </c>
      <c r="H178" s="38" t="str">
        <f aca="false">IF($A178="","",SUMIFS(PO!$L$4:$L$203,PO!$H$4:$H$203,$A178))</f>
        <v/>
      </c>
      <c r="I178" s="38" t="str">
        <f aca="false">IF($A178="","",SUMIFS(PO!$N$4:$N$203,PO!$H$4:$H$203,$A178))</f>
        <v/>
      </c>
      <c r="J178" s="38" t="str">
        <f aca="false">IF($A178="","",COUNTIFS(PO!$H$4:$H$203,$A178,PO!$S$4:$S$203,"Đúng hạn")+COUNTIFS(PO!$H$4:$H$203,$A178,PO!$S$4:$S$203,"Giao trễ")+COUNTIFS(PO!$H$4:$H$203,$A178,PO!$S$4:$S$203,"Trễ hạn"))</f>
        <v/>
      </c>
      <c r="K178" s="38" t="str">
        <f aca="false">IF($A178="","",COUNTIFS(PO!$H$4:$H$203,$A178,PO!$S$4:$S$203,"Đúng hạn"))</f>
        <v/>
      </c>
      <c r="L178" s="39" t="str">
        <f aca="false">IF($A178="","",IFERROR($K178/$J178,""))</f>
        <v/>
      </c>
      <c r="M178" s="38" t="str">
        <f aca="false">IF($A178="","",SUMIFS(PO!$U$4:$U$203,PO!$H$4:$H$203,$A178))</f>
        <v/>
      </c>
      <c r="N178" s="38" t="str">
        <f aca="false">IF($A178="","",SUMIFS(PO!$V$4:$V$203,PO!$H$4:$H$203,$A178))</f>
        <v/>
      </c>
      <c r="O178" s="39" t="str">
        <f aca="false">IF($A178="","",IFERROR($N178/$M178,""))</f>
        <v/>
      </c>
      <c r="P178" s="38" t="str">
        <f aca="false">IF($A178="","",SUMIFS('Thanh toán'!$H$4:$H$203,'Thanh toán'!$E$4:$E$203,$A178))</f>
        <v/>
      </c>
      <c r="Q178" s="38" t="str">
        <f aca="false">IF($A178="","",SUMIFS('Công nợ'!$I$4:$I$203,'Công nợ'!$D$4:$D$203,$A178))</f>
        <v/>
      </c>
      <c r="R178" s="38" t="str">
        <f aca="false">IF($A178="","",SUMIFS('Công nợ'!$I$4:$I$203,'Công nợ'!$D$4:$D$203,$A178,'Công nợ'!$K$4:$K$203,"&gt;0"))</f>
        <v/>
      </c>
    </row>
    <row r="179" customFormat="false" ht="15" hidden="false" customHeight="false" outlineLevel="0" collapsed="false">
      <c r="A179" s="37" t="str">
        <f aca="false">IF('Nhà cung cấp'!$A179="","",'Nhà cung cấp'!$A179)</f>
        <v/>
      </c>
      <c r="B179" s="37" t="str">
        <f aca="false">IF($A179="","",'Nhà cung cấp'!$B179)</f>
        <v/>
      </c>
      <c r="C179" s="37" t="str">
        <f aca="false">IF($A179="","",'Nhà cung cấp'!$H179)</f>
        <v/>
      </c>
      <c r="D179" s="38" t="str">
        <f aca="false">IF($A179="","",COUNTIFS('Báo giá'!$I$4:$I$203,$A179))</f>
        <v/>
      </c>
      <c r="E179" s="38" t="str">
        <f aca="false">IF($A179="","",COUNTIFS('Báo giá'!$I$4:$I$203,$A179,'Báo giá'!$T$4:$T$203,"x"))</f>
        <v/>
      </c>
      <c r="F179" s="39" t="str">
        <f aca="false">IF($A179="","",IFERROR($E179/$D179,""))</f>
        <v/>
      </c>
      <c r="G179" s="38" t="str">
        <f aca="false">IF($A179="","",COUNTIFS(PO!$H$4:$H$203,$A179))</f>
        <v/>
      </c>
      <c r="H179" s="38" t="str">
        <f aca="false">IF($A179="","",SUMIFS(PO!$L$4:$L$203,PO!$H$4:$H$203,$A179))</f>
        <v/>
      </c>
      <c r="I179" s="38" t="str">
        <f aca="false">IF($A179="","",SUMIFS(PO!$N$4:$N$203,PO!$H$4:$H$203,$A179))</f>
        <v/>
      </c>
      <c r="J179" s="38" t="str">
        <f aca="false">IF($A179="","",COUNTIFS(PO!$H$4:$H$203,$A179,PO!$S$4:$S$203,"Đúng hạn")+COUNTIFS(PO!$H$4:$H$203,$A179,PO!$S$4:$S$203,"Giao trễ")+COUNTIFS(PO!$H$4:$H$203,$A179,PO!$S$4:$S$203,"Trễ hạn"))</f>
        <v/>
      </c>
      <c r="K179" s="38" t="str">
        <f aca="false">IF($A179="","",COUNTIFS(PO!$H$4:$H$203,$A179,PO!$S$4:$S$203,"Đúng hạn"))</f>
        <v/>
      </c>
      <c r="L179" s="39" t="str">
        <f aca="false">IF($A179="","",IFERROR($K179/$J179,""))</f>
        <v/>
      </c>
      <c r="M179" s="38" t="str">
        <f aca="false">IF($A179="","",SUMIFS(PO!$U$4:$U$203,PO!$H$4:$H$203,$A179))</f>
        <v/>
      </c>
      <c r="N179" s="38" t="str">
        <f aca="false">IF($A179="","",SUMIFS(PO!$V$4:$V$203,PO!$H$4:$H$203,$A179))</f>
        <v/>
      </c>
      <c r="O179" s="39" t="str">
        <f aca="false">IF($A179="","",IFERROR($N179/$M179,""))</f>
        <v/>
      </c>
      <c r="P179" s="38" t="str">
        <f aca="false">IF($A179="","",SUMIFS('Thanh toán'!$H$4:$H$203,'Thanh toán'!$E$4:$E$203,$A179))</f>
        <v/>
      </c>
      <c r="Q179" s="38" t="str">
        <f aca="false">IF($A179="","",SUMIFS('Công nợ'!$I$4:$I$203,'Công nợ'!$D$4:$D$203,$A179))</f>
        <v/>
      </c>
      <c r="R179" s="38" t="str">
        <f aca="false">IF($A179="","",SUMIFS('Công nợ'!$I$4:$I$203,'Công nợ'!$D$4:$D$203,$A179,'Công nợ'!$K$4:$K$203,"&gt;0"))</f>
        <v/>
      </c>
    </row>
    <row r="180" customFormat="false" ht="15" hidden="false" customHeight="false" outlineLevel="0" collapsed="false">
      <c r="A180" s="37" t="str">
        <f aca="false">IF('Nhà cung cấp'!$A180="","",'Nhà cung cấp'!$A180)</f>
        <v/>
      </c>
      <c r="B180" s="37" t="str">
        <f aca="false">IF($A180="","",'Nhà cung cấp'!$B180)</f>
        <v/>
      </c>
      <c r="C180" s="37" t="str">
        <f aca="false">IF($A180="","",'Nhà cung cấp'!$H180)</f>
        <v/>
      </c>
      <c r="D180" s="38" t="str">
        <f aca="false">IF($A180="","",COUNTIFS('Báo giá'!$I$4:$I$203,$A180))</f>
        <v/>
      </c>
      <c r="E180" s="38" t="str">
        <f aca="false">IF($A180="","",COUNTIFS('Báo giá'!$I$4:$I$203,$A180,'Báo giá'!$T$4:$T$203,"x"))</f>
        <v/>
      </c>
      <c r="F180" s="39" t="str">
        <f aca="false">IF($A180="","",IFERROR($E180/$D180,""))</f>
        <v/>
      </c>
      <c r="G180" s="38" t="str">
        <f aca="false">IF($A180="","",COUNTIFS(PO!$H$4:$H$203,$A180))</f>
        <v/>
      </c>
      <c r="H180" s="38" t="str">
        <f aca="false">IF($A180="","",SUMIFS(PO!$L$4:$L$203,PO!$H$4:$H$203,$A180))</f>
        <v/>
      </c>
      <c r="I180" s="38" t="str">
        <f aca="false">IF($A180="","",SUMIFS(PO!$N$4:$N$203,PO!$H$4:$H$203,$A180))</f>
        <v/>
      </c>
      <c r="J180" s="38" t="str">
        <f aca="false">IF($A180="","",COUNTIFS(PO!$H$4:$H$203,$A180,PO!$S$4:$S$203,"Đúng hạn")+COUNTIFS(PO!$H$4:$H$203,$A180,PO!$S$4:$S$203,"Giao trễ")+COUNTIFS(PO!$H$4:$H$203,$A180,PO!$S$4:$S$203,"Trễ hạn"))</f>
        <v/>
      </c>
      <c r="K180" s="38" t="str">
        <f aca="false">IF($A180="","",COUNTIFS(PO!$H$4:$H$203,$A180,PO!$S$4:$S$203,"Đúng hạn"))</f>
        <v/>
      </c>
      <c r="L180" s="39" t="str">
        <f aca="false">IF($A180="","",IFERROR($K180/$J180,""))</f>
        <v/>
      </c>
      <c r="M180" s="38" t="str">
        <f aca="false">IF($A180="","",SUMIFS(PO!$U$4:$U$203,PO!$H$4:$H$203,$A180))</f>
        <v/>
      </c>
      <c r="N180" s="38" t="str">
        <f aca="false">IF($A180="","",SUMIFS(PO!$V$4:$V$203,PO!$H$4:$H$203,$A180))</f>
        <v/>
      </c>
      <c r="O180" s="39" t="str">
        <f aca="false">IF($A180="","",IFERROR($N180/$M180,""))</f>
        <v/>
      </c>
      <c r="P180" s="38" t="str">
        <f aca="false">IF($A180="","",SUMIFS('Thanh toán'!$H$4:$H$203,'Thanh toán'!$E$4:$E$203,$A180))</f>
        <v/>
      </c>
      <c r="Q180" s="38" t="str">
        <f aca="false">IF($A180="","",SUMIFS('Công nợ'!$I$4:$I$203,'Công nợ'!$D$4:$D$203,$A180))</f>
        <v/>
      </c>
      <c r="R180" s="38" t="str">
        <f aca="false">IF($A180="","",SUMIFS('Công nợ'!$I$4:$I$203,'Công nợ'!$D$4:$D$203,$A180,'Công nợ'!$K$4:$K$203,"&gt;0"))</f>
        <v/>
      </c>
    </row>
    <row r="181" customFormat="false" ht="15" hidden="false" customHeight="false" outlineLevel="0" collapsed="false">
      <c r="A181" s="37" t="str">
        <f aca="false">IF('Nhà cung cấp'!$A181="","",'Nhà cung cấp'!$A181)</f>
        <v/>
      </c>
      <c r="B181" s="37" t="str">
        <f aca="false">IF($A181="","",'Nhà cung cấp'!$B181)</f>
        <v/>
      </c>
      <c r="C181" s="37" t="str">
        <f aca="false">IF($A181="","",'Nhà cung cấp'!$H181)</f>
        <v/>
      </c>
      <c r="D181" s="38" t="str">
        <f aca="false">IF($A181="","",COUNTIFS('Báo giá'!$I$4:$I$203,$A181))</f>
        <v/>
      </c>
      <c r="E181" s="38" t="str">
        <f aca="false">IF($A181="","",COUNTIFS('Báo giá'!$I$4:$I$203,$A181,'Báo giá'!$T$4:$T$203,"x"))</f>
        <v/>
      </c>
      <c r="F181" s="39" t="str">
        <f aca="false">IF($A181="","",IFERROR($E181/$D181,""))</f>
        <v/>
      </c>
      <c r="G181" s="38" t="str">
        <f aca="false">IF($A181="","",COUNTIFS(PO!$H$4:$H$203,$A181))</f>
        <v/>
      </c>
      <c r="H181" s="38" t="str">
        <f aca="false">IF($A181="","",SUMIFS(PO!$L$4:$L$203,PO!$H$4:$H$203,$A181))</f>
        <v/>
      </c>
      <c r="I181" s="38" t="str">
        <f aca="false">IF($A181="","",SUMIFS(PO!$N$4:$N$203,PO!$H$4:$H$203,$A181))</f>
        <v/>
      </c>
      <c r="J181" s="38" t="str">
        <f aca="false">IF($A181="","",COUNTIFS(PO!$H$4:$H$203,$A181,PO!$S$4:$S$203,"Đúng hạn")+COUNTIFS(PO!$H$4:$H$203,$A181,PO!$S$4:$S$203,"Giao trễ")+COUNTIFS(PO!$H$4:$H$203,$A181,PO!$S$4:$S$203,"Trễ hạn"))</f>
        <v/>
      </c>
      <c r="K181" s="38" t="str">
        <f aca="false">IF($A181="","",COUNTIFS(PO!$H$4:$H$203,$A181,PO!$S$4:$S$203,"Đúng hạn"))</f>
        <v/>
      </c>
      <c r="L181" s="39" t="str">
        <f aca="false">IF($A181="","",IFERROR($K181/$J181,""))</f>
        <v/>
      </c>
      <c r="M181" s="38" t="str">
        <f aca="false">IF($A181="","",SUMIFS(PO!$U$4:$U$203,PO!$H$4:$H$203,$A181))</f>
        <v/>
      </c>
      <c r="N181" s="38" t="str">
        <f aca="false">IF($A181="","",SUMIFS(PO!$V$4:$V$203,PO!$H$4:$H$203,$A181))</f>
        <v/>
      </c>
      <c r="O181" s="39" t="str">
        <f aca="false">IF($A181="","",IFERROR($N181/$M181,""))</f>
        <v/>
      </c>
      <c r="P181" s="38" t="str">
        <f aca="false">IF($A181="","",SUMIFS('Thanh toán'!$H$4:$H$203,'Thanh toán'!$E$4:$E$203,$A181))</f>
        <v/>
      </c>
      <c r="Q181" s="38" t="str">
        <f aca="false">IF($A181="","",SUMIFS('Công nợ'!$I$4:$I$203,'Công nợ'!$D$4:$D$203,$A181))</f>
        <v/>
      </c>
      <c r="R181" s="38" t="str">
        <f aca="false">IF($A181="","",SUMIFS('Công nợ'!$I$4:$I$203,'Công nợ'!$D$4:$D$203,$A181,'Công nợ'!$K$4:$K$203,"&gt;0"))</f>
        <v/>
      </c>
    </row>
    <row r="182" customFormat="false" ht="15" hidden="false" customHeight="false" outlineLevel="0" collapsed="false">
      <c r="A182" s="37" t="str">
        <f aca="false">IF('Nhà cung cấp'!$A182="","",'Nhà cung cấp'!$A182)</f>
        <v/>
      </c>
      <c r="B182" s="37" t="str">
        <f aca="false">IF($A182="","",'Nhà cung cấp'!$B182)</f>
        <v/>
      </c>
      <c r="C182" s="37" t="str">
        <f aca="false">IF($A182="","",'Nhà cung cấp'!$H182)</f>
        <v/>
      </c>
      <c r="D182" s="38" t="str">
        <f aca="false">IF($A182="","",COUNTIFS('Báo giá'!$I$4:$I$203,$A182))</f>
        <v/>
      </c>
      <c r="E182" s="38" t="str">
        <f aca="false">IF($A182="","",COUNTIFS('Báo giá'!$I$4:$I$203,$A182,'Báo giá'!$T$4:$T$203,"x"))</f>
        <v/>
      </c>
      <c r="F182" s="39" t="str">
        <f aca="false">IF($A182="","",IFERROR($E182/$D182,""))</f>
        <v/>
      </c>
      <c r="G182" s="38" t="str">
        <f aca="false">IF($A182="","",COUNTIFS(PO!$H$4:$H$203,$A182))</f>
        <v/>
      </c>
      <c r="H182" s="38" t="str">
        <f aca="false">IF($A182="","",SUMIFS(PO!$L$4:$L$203,PO!$H$4:$H$203,$A182))</f>
        <v/>
      </c>
      <c r="I182" s="38" t="str">
        <f aca="false">IF($A182="","",SUMIFS(PO!$N$4:$N$203,PO!$H$4:$H$203,$A182))</f>
        <v/>
      </c>
      <c r="J182" s="38" t="str">
        <f aca="false">IF($A182="","",COUNTIFS(PO!$H$4:$H$203,$A182,PO!$S$4:$S$203,"Đúng hạn")+COUNTIFS(PO!$H$4:$H$203,$A182,PO!$S$4:$S$203,"Giao trễ")+COUNTIFS(PO!$H$4:$H$203,$A182,PO!$S$4:$S$203,"Trễ hạn"))</f>
        <v/>
      </c>
      <c r="K182" s="38" t="str">
        <f aca="false">IF($A182="","",COUNTIFS(PO!$H$4:$H$203,$A182,PO!$S$4:$S$203,"Đúng hạn"))</f>
        <v/>
      </c>
      <c r="L182" s="39" t="str">
        <f aca="false">IF($A182="","",IFERROR($K182/$J182,""))</f>
        <v/>
      </c>
      <c r="M182" s="38" t="str">
        <f aca="false">IF($A182="","",SUMIFS(PO!$U$4:$U$203,PO!$H$4:$H$203,$A182))</f>
        <v/>
      </c>
      <c r="N182" s="38" t="str">
        <f aca="false">IF($A182="","",SUMIFS(PO!$V$4:$V$203,PO!$H$4:$H$203,$A182))</f>
        <v/>
      </c>
      <c r="O182" s="39" t="str">
        <f aca="false">IF($A182="","",IFERROR($N182/$M182,""))</f>
        <v/>
      </c>
      <c r="P182" s="38" t="str">
        <f aca="false">IF($A182="","",SUMIFS('Thanh toán'!$H$4:$H$203,'Thanh toán'!$E$4:$E$203,$A182))</f>
        <v/>
      </c>
      <c r="Q182" s="38" t="str">
        <f aca="false">IF($A182="","",SUMIFS('Công nợ'!$I$4:$I$203,'Công nợ'!$D$4:$D$203,$A182))</f>
        <v/>
      </c>
      <c r="R182" s="38" t="str">
        <f aca="false">IF($A182="","",SUMIFS('Công nợ'!$I$4:$I$203,'Công nợ'!$D$4:$D$203,$A182,'Công nợ'!$K$4:$K$203,"&gt;0"))</f>
        <v/>
      </c>
    </row>
    <row r="183" customFormat="false" ht="15" hidden="false" customHeight="false" outlineLevel="0" collapsed="false">
      <c r="A183" s="37" t="str">
        <f aca="false">IF('Nhà cung cấp'!$A183="","",'Nhà cung cấp'!$A183)</f>
        <v/>
      </c>
      <c r="B183" s="37" t="str">
        <f aca="false">IF($A183="","",'Nhà cung cấp'!$B183)</f>
        <v/>
      </c>
      <c r="C183" s="37" t="str">
        <f aca="false">IF($A183="","",'Nhà cung cấp'!$H183)</f>
        <v/>
      </c>
      <c r="D183" s="38" t="str">
        <f aca="false">IF($A183="","",COUNTIFS('Báo giá'!$I$4:$I$203,$A183))</f>
        <v/>
      </c>
      <c r="E183" s="38" t="str">
        <f aca="false">IF($A183="","",COUNTIFS('Báo giá'!$I$4:$I$203,$A183,'Báo giá'!$T$4:$T$203,"x"))</f>
        <v/>
      </c>
      <c r="F183" s="39" t="str">
        <f aca="false">IF($A183="","",IFERROR($E183/$D183,""))</f>
        <v/>
      </c>
      <c r="G183" s="38" t="str">
        <f aca="false">IF($A183="","",COUNTIFS(PO!$H$4:$H$203,$A183))</f>
        <v/>
      </c>
      <c r="H183" s="38" t="str">
        <f aca="false">IF($A183="","",SUMIFS(PO!$L$4:$L$203,PO!$H$4:$H$203,$A183))</f>
        <v/>
      </c>
      <c r="I183" s="38" t="str">
        <f aca="false">IF($A183="","",SUMIFS(PO!$N$4:$N$203,PO!$H$4:$H$203,$A183))</f>
        <v/>
      </c>
      <c r="J183" s="38" t="str">
        <f aca="false">IF($A183="","",COUNTIFS(PO!$H$4:$H$203,$A183,PO!$S$4:$S$203,"Đúng hạn")+COUNTIFS(PO!$H$4:$H$203,$A183,PO!$S$4:$S$203,"Giao trễ")+COUNTIFS(PO!$H$4:$H$203,$A183,PO!$S$4:$S$203,"Trễ hạn"))</f>
        <v/>
      </c>
      <c r="K183" s="38" t="str">
        <f aca="false">IF($A183="","",COUNTIFS(PO!$H$4:$H$203,$A183,PO!$S$4:$S$203,"Đúng hạn"))</f>
        <v/>
      </c>
      <c r="L183" s="39" t="str">
        <f aca="false">IF($A183="","",IFERROR($K183/$J183,""))</f>
        <v/>
      </c>
      <c r="M183" s="38" t="str">
        <f aca="false">IF($A183="","",SUMIFS(PO!$U$4:$U$203,PO!$H$4:$H$203,$A183))</f>
        <v/>
      </c>
      <c r="N183" s="38" t="str">
        <f aca="false">IF($A183="","",SUMIFS(PO!$V$4:$V$203,PO!$H$4:$H$203,$A183))</f>
        <v/>
      </c>
      <c r="O183" s="39" t="str">
        <f aca="false">IF($A183="","",IFERROR($N183/$M183,""))</f>
        <v/>
      </c>
      <c r="P183" s="38" t="str">
        <f aca="false">IF($A183="","",SUMIFS('Thanh toán'!$H$4:$H$203,'Thanh toán'!$E$4:$E$203,$A183))</f>
        <v/>
      </c>
      <c r="Q183" s="38" t="str">
        <f aca="false">IF($A183="","",SUMIFS('Công nợ'!$I$4:$I$203,'Công nợ'!$D$4:$D$203,$A183))</f>
        <v/>
      </c>
      <c r="R183" s="38" t="str">
        <f aca="false">IF($A183="","",SUMIFS('Công nợ'!$I$4:$I$203,'Công nợ'!$D$4:$D$203,$A183,'Công nợ'!$K$4:$K$203,"&gt;0"))</f>
        <v/>
      </c>
    </row>
    <row r="184" customFormat="false" ht="15" hidden="false" customHeight="false" outlineLevel="0" collapsed="false">
      <c r="A184" s="37" t="str">
        <f aca="false">IF('Nhà cung cấp'!$A184="","",'Nhà cung cấp'!$A184)</f>
        <v/>
      </c>
      <c r="B184" s="37" t="str">
        <f aca="false">IF($A184="","",'Nhà cung cấp'!$B184)</f>
        <v/>
      </c>
      <c r="C184" s="37" t="str">
        <f aca="false">IF($A184="","",'Nhà cung cấp'!$H184)</f>
        <v/>
      </c>
      <c r="D184" s="38" t="str">
        <f aca="false">IF($A184="","",COUNTIFS('Báo giá'!$I$4:$I$203,$A184))</f>
        <v/>
      </c>
      <c r="E184" s="38" t="str">
        <f aca="false">IF($A184="","",COUNTIFS('Báo giá'!$I$4:$I$203,$A184,'Báo giá'!$T$4:$T$203,"x"))</f>
        <v/>
      </c>
      <c r="F184" s="39" t="str">
        <f aca="false">IF($A184="","",IFERROR($E184/$D184,""))</f>
        <v/>
      </c>
      <c r="G184" s="38" t="str">
        <f aca="false">IF($A184="","",COUNTIFS(PO!$H$4:$H$203,$A184))</f>
        <v/>
      </c>
      <c r="H184" s="38" t="str">
        <f aca="false">IF($A184="","",SUMIFS(PO!$L$4:$L$203,PO!$H$4:$H$203,$A184))</f>
        <v/>
      </c>
      <c r="I184" s="38" t="str">
        <f aca="false">IF($A184="","",SUMIFS(PO!$N$4:$N$203,PO!$H$4:$H$203,$A184))</f>
        <v/>
      </c>
      <c r="J184" s="38" t="str">
        <f aca="false">IF($A184="","",COUNTIFS(PO!$H$4:$H$203,$A184,PO!$S$4:$S$203,"Đúng hạn")+COUNTIFS(PO!$H$4:$H$203,$A184,PO!$S$4:$S$203,"Giao trễ")+COUNTIFS(PO!$H$4:$H$203,$A184,PO!$S$4:$S$203,"Trễ hạn"))</f>
        <v/>
      </c>
      <c r="K184" s="38" t="str">
        <f aca="false">IF($A184="","",COUNTIFS(PO!$H$4:$H$203,$A184,PO!$S$4:$S$203,"Đúng hạn"))</f>
        <v/>
      </c>
      <c r="L184" s="39" t="str">
        <f aca="false">IF($A184="","",IFERROR($K184/$J184,""))</f>
        <v/>
      </c>
      <c r="M184" s="38" t="str">
        <f aca="false">IF($A184="","",SUMIFS(PO!$U$4:$U$203,PO!$H$4:$H$203,$A184))</f>
        <v/>
      </c>
      <c r="N184" s="38" t="str">
        <f aca="false">IF($A184="","",SUMIFS(PO!$V$4:$V$203,PO!$H$4:$H$203,$A184))</f>
        <v/>
      </c>
      <c r="O184" s="39" t="str">
        <f aca="false">IF($A184="","",IFERROR($N184/$M184,""))</f>
        <v/>
      </c>
      <c r="P184" s="38" t="str">
        <f aca="false">IF($A184="","",SUMIFS('Thanh toán'!$H$4:$H$203,'Thanh toán'!$E$4:$E$203,$A184))</f>
        <v/>
      </c>
      <c r="Q184" s="38" t="str">
        <f aca="false">IF($A184="","",SUMIFS('Công nợ'!$I$4:$I$203,'Công nợ'!$D$4:$D$203,$A184))</f>
        <v/>
      </c>
      <c r="R184" s="38" t="str">
        <f aca="false">IF($A184="","",SUMIFS('Công nợ'!$I$4:$I$203,'Công nợ'!$D$4:$D$203,$A184,'Công nợ'!$K$4:$K$203,"&gt;0"))</f>
        <v/>
      </c>
    </row>
    <row r="185" customFormat="false" ht="15" hidden="false" customHeight="false" outlineLevel="0" collapsed="false">
      <c r="A185" s="37" t="str">
        <f aca="false">IF('Nhà cung cấp'!$A185="","",'Nhà cung cấp'!$A185)</f>
        <v/>
      </c>
      <c r="B185" s="37" t="str">
        <f aca="false">IF($A185="","",'Nhà cung cấp'!$B185)</f>
        <v/>
      </c>
      <c r="C185" s="37" t="str">
        <f aca="false">IF($A185="","",'Nhà cung cấp'!$H185)</f>
        <v/>
      </c>
      <c r="D185" s="38" t="str">
        <f aca="false">IF($A185="","",COUNTIFS('Báo giá'!$I$4:$I$203,$A185))</f>
        <v/>
      </c>
      <c r="E185" s="38" t="str">
        <f aca="false">IF($A185="","",COUNTIFS('Báo giá'!$I$4:$I$203,$A185,'Báo giá'!$T$4:$T$203,"x"))</f>
        <v/>
      </c>
      <c r="F185" s="39" t="str">
        <f aca="false">IF($A185="","",IFERROR($E185/$D185,""))</f>
        <v/>
      </c>
      <c r="G185" s="38" t="str">
        <f aca="false">IF($A185="","",COUNTIFS(PO!$H$4:$H$203,$A185))</f>
        <v/>
      </c>
      <c r="H185" s="38" t="str">
        <f aca="false">IF($A185="","",SUMIFS(PO!$L$4:$L$203,PO!$H$4:$H$203,$A185))</f>
        <v/>
      </c>
      <c r="I185" s="38" t="str">
        <f aca="false">IF($A185="","",SUMIFS(PO!$N$4:$N$203,PO!$H$4:$H$203,$A185))</f>
        <v/>
      </c>
      <c r="J185" s="38" t="str">
        <f aca="false">IF($A185="","",COUNTIFS(PO!$H$4:$H$203,$A185,PO!$S$4:$S$203,"Đúng hạn")+COUNTIFS(PO!$H$4:$H$203,$A185,PO!$S$4:$S$203,"Giao trễ")+COUNTIFS(PO!$H$4:$H$203,$A185,PO!$S$4:$S$203,"Trễ hạn"))</f>
        <v/>
      </c>
      <c r="K185" s="38" t="str">
        <f aca="false">IF($A185="","",COUNTIFS(PO!$H$4:$H$203,$A185,PO!$S$4:$S$203,"Đúng hạn"))</f>
        <v/>
      </c>
      <c r="L185" s="39" t="str">
        <f aca="false">IF($A185="","",IFERROR($K185/$J185,""))</f>
        <v/>
      </c>
      <c r="M185" s="38" t="str">
        <f aca="false">IF($A185="","",SUMIFS(PO!$U$4:$U$203,PO!$H$4:$H$203,$A185))</f>
        <v/>
      </c>
      <c r="N185" s="38" t="str">
        <f aca="false">IF($A185="","",SUMIFS(PO!$V$4:$V$203,PO!$H$4:$H$203,$A185))</f>
        <v/>
      </c>
      <c r="O185" s="39" t="str">
        <f aca="false">IF($A185="","",IFERROR($N185/$M185,""))</f>
        <v/>
      </c>
      <c r="P185" s="38" t="str">
        <f aca="false">IF($A185="","",SUMIFS('Thanh toán'!$H$4:$H$203,'Thanh toán'!$E$4:$E$203,$A185))</f>
        <v/>
      </c>
      <c r="Q185" s="38" t="str">
        <f aca="false">IF($A185="","",SUMIFS('Công nợ'!$I$4:$I$203,'Công nợ'!$D$4:$D$203,$A185))</f>
        <v/>
      </c>
      <c r="R185" s="38" t="str">
        <f aca="false">IF($A185="","",SUMIFS('Công nợ'!$I$4:$I$203,'Công nợ'!$D$4:$D$203,$A185,'Công nợ'!$K$4:$K$203,"&gt;0"))</f>
        <v/>
      </c>
    </row>
    <row r="186" customFormat="false" ht="15" hidden="false" customHeight="false" outlineLevel="0" collapsed="false">
      <c r="A186" s="37" t="str">
        <f aca="false">IF('Nhà cung cấp'!$A186="","",'Nhà cung cấp'!$A186)</f>
        <v/>
      </c>
      <c r="B186" s="37" t="str">
        <f aca="false">IF($A186="","",'Nhà cung cấp'!$B186)</f>
        <v/>
      </c>
      <c r="C186" s="37" t="str">
        <f aca="false">IF($A186="","",'Nhà cung cấp'!$H186)</f>
        <v/>
      </c>
      <c r="D186" s="38" t="str">
        <f aca="false">IF($A186="","",COUNTIFS('Báo giá'!$I$4:$I$203,$A186))</f>
        <v/>
      </c>
      <c r="E186" s="38" t="str">
        <f aca="false">IF($A186="","",COUNTIFS('Báo giá'!$I$4:$I$203,$A186,'Báo giá'!$T$4:$T$203,"x"))</f>
        <v/>
      </c>
      <c r="F186" s="39" t="str">
        <f aca="false">IF($A186="","",IFERROR($E186/$D186,""))</f>
        <v/>
      </c>
      <c r="G186" s="38" t="str">
        <f aca="false">IF($A186="","",COUNTIFS(PO!$H$4:$H$203,$A186))</f>
        <v/>
      </c>
      <c r="H186" s="38" t="str">
        <f aca="false">IF($A186="","",SUMIFS(PO!$L$4:$L$203,PO!$H$4:$H$203,$A186))</f>
        <v/>
      </c>
      <c r="I186" s="38" t="str">
        <f aca="false">IF($A186="","",SUMIFS(PO!$N$4:$N$203,PO!$H$4:$H$203,$A186))</f>
        <v/>
      </c>
      <c r="J186" s="38" t="str">
        <f aca="false">IF($A186="","",COUNTIFS(PO!$H$4:$H$203,$A186,PO!$S$4:$S$203,"Đúng hạn")+COUNTIFS(PO!$H$4:$H$203,$A186,PO!$S$4:$S$203,"Giao trễ")+COUNTIFS(PO!$H$4:$H$203,$A186,PO!$S$4:$S$203,"Trễ hạn"))</f>
        <v/>
      </c>
      <c r="K186" s="38" t="str">
        <f aca="false">IF($A186="","",COUNTIFS(PO!$H$4:$H$203,$A186,PO!$S$4:$S$203,"Đúng hạn"))</f>
        <v/>
      </c>
      <c r="L186" s="39" t="str">
        <f aca="false">IF($A186="","",IFERROR($K186/$J186,""))</f>
        <v/>
      </c>
      <c r="M186" s="38" t="str">
        <f aca="false">IF($A186="","",SUMIFS(PO!$U$4:$U$203,PO!$H$4:$H$203,$A186))</f>
        <v/>
      </c>
      <c r="N186" s="38" t="str">
        <f aca="false">IF($A186="","",SUMIFS(PO!$V$4:$V$203,PO!$H$4:$H$203,$A186))</f>
        <v/>
      </c>
      <c r="O186" s="39" t="str">
        <f aca="false">IF($A186="","",IFERROR($N186/$M186,""))</f>
        <v/>
      </c>
      <c r="P186" s="38" t="str">
        <f aca="false">IF($A186="","",SUMIFS('Thanh toán'!$H$4:$H$203,'Thanh toán'!$E$4:$E$203,$A186))</f>
        <v/>
      </c>
      <c r="Q186" s="38" t="str">
        <f aca="false">IF($A186="","",SUMIFS('Công nợ'!$I$4:$I$203,'Công nợ'!$D$4:$D$203,$A186))</f>
        <v/>
      </c>
      <c r="R186" s="38" t="str">
        <f aca="false">IF($A186="","",SUMIFS('Công nợ'!$I$4:$I$203,'Công nợ'!$D$4:$D$203,$A186,'Công nợ'!$K$4:$K$203,"&gt;0"))</f>
        <v/>
      </c>
    </row>
    <row r="187" customFormat="false" ht="15" hidden="false" customHeight="false" outlineLevel="0" collapsed="false">
      <c r="A187" s="37" t="str">
        <f aca="false">IF('Nhà cung cấp'!$A187="","",'Nhà cung cấp'!$A187)</f>
        <v/>
      </c>
      <c r="B187" s="37" t="str">
        <f aca="false">IF($A187="","",'Nhà cung cấp'!$B187)</f>
        <v/>
      </c>
      <c r="C187" s="37" t="str">
        <f aca="false">IF($A187="","",'Nhà cung cấp'!$H187)</f>
        <v/>
      </c>
      <c r="D187" s="38" t="str">
        <f aca="false">IF($A187="","",COUNTIFS('Báo giá'!$I$4:$I$203,$A187))</f>
        <v/>
      </c>
      <c r="E187" s="38" t="str">
        <f aca="false">IF($A187="","",COUNTIFS('Báo giá'!$I$4:$I$203,$A187,'Báo giá'!$T$4:$T$203,"x"))</f>
        <v/>
      </c>
      <c r="F187" s="39" t="str">
        <f aca="false">IF($A187="","",IFERROR($E187/$D187,""))</f>
        <v/>
      </c>
      <c r="G187" s="38" t="str">
        <f aca="false">IF($A187="","",COUNTIFS(PO!$H$4:$H$203,$A187))</f>
        <v/>
      </c>
      <c r="H187" s="38" t="str">
        <f aca="false">IF($A187="","",SUMIFS(PO!$L$4:$L$203,PO!$H$4:$H$203,$A187))</f>
        <v/>
      </c>
      <c r="I187" s="38" t="str">
        <f aca="false">IF($A187="","",SUMIFS(PO!$N$4:$N$203,PO!$H$4:$H$203,$A187))</f>
        <v/>
      </c>
      <c r="J187" s="38" t="str">
        <f aca="false">IF($A187="","",COUNTIFS(PO!$H$4:$H$203,$A187,PO!$S$4:$S$203,"Đúng hạn")+COUNTIFS(PO!$H$4:$H$203,$A187,PO!$S$4:$S$203,"Giao trễ")+COUNTIFS(PO!$H$4:$H$203,$A187,PO!$S$4:$S$203,"Trễ hạn"))</f>
        <v/>
      </c>
      <c r="K187" s="38" t="str">
        <f aca="false">IF($A187="","",COUNTIFS(PO!$H$4:$H$203,$A187,PO!$S$4:$S$203,"Đúng hạn"))</f>
        <v/>
      </c>
      <c r="L187" s="39" t="str">
        <f aca="false">IF($A187="","",IFERROR($K187/$J187,""))</f>
        <v/>
      </c>
      <c r="M187" s="38" t="str">
        <f aca="false">IF($A187="","",SUMIFS(PO!$U$4:$U$203,PO!$H$4:$H$203,$A187))</f>
        <v/>
      </c>
      <c r="N187" s="38" t="str">
        <f aca="false">IF($A187="","",SUMIFS(PO!$V$4:$V$203,PO!$H$4:$H$203,$A187))</f>
        <v/>
      </c>
      <c r="O187" s="39" t="str">
        <f aca="false">IF($A187="","",IFERROR($N187/$M187,""))</f>
        <v/>
      </c>
      <c r="P187" s="38" t="str">
        <f aca="false">IF($A187="","",SUMIFS('Thanh toán'!$H$4:$H$203,'Thanh toán'!$E$4:$E$203,$A187))</f>
        <v/>
      </c>
      <c r="Q187" s="38" t="str">
        <f aca="false">IF($A187="","",SUMIFS('Công nợ'!$I$4:$I$203,'Công nợ'!$D$4:$D$203,$A187))</f>
        <v/>
      </c>
      <c r="R187" s="38" t="str">
        <f aca="false">IF($A187="","",SUMIFS('Công nợ'!$I$4:$I$203,'Công nợ'!$D$4:$D$203,$A187,'Công nợ'!$K$4:$K$203,"&gt;0"))</f>
        <v/>
      </c>
    </row>
    <row r="188" customFormat="false" ht="15" hidden="false" customHeight="false" outlineLevel="0" collapsed="false">
      <c r="A188" s="37" t="str">
        <f aca="false">IF('Nhà cung cấp'!$A188="","",'Nhà cung cấp'!$A188)</f>
        <v/>
      </c>
      <c r="B188" s="37" t="str">
        <f aca="false">IF($A188="","",'Nhà cung cấp'!$B188)</f>
        <v/>
      </c>
      <c r="C188" s="37" t="str">
        <f aca="false">IF($A188="","",'Nhà cung cấp'!$H188)</f>
        <v/>
      </c>
      <c r="D188" s="38" t="str">
        <f aca="false">IF($A188="","",COUNTIFS('Báo giá'!$I$4:$I$203,$A188))</f>
        <v/>
      </c>
      <c r="E188" s="38" t="str">
        <f aca="false">IF($A188="","",COUNTIFS('Báo giá'!$I$4:$I$203,$A188,'Báo giá'!$T$4:$T$203,"x"))</f>
        <v/>
      </c>
      <c r="F188" s="39" t="str">
        <f aca="false">IF($A188="","",IFERROR($E188/$D188,""))</f>
        <v/>
      </c>
      <c r="G188" s="38" t="str">
        <f aca="false">IF($A188="","",COUNTIFS(PO!$H$4:$H$203,$A188))</f>
        <v/>
      </c>
      <c r="H188" s="38" t="str">
        <f aca="false">IF($A188="","",SUMIFS(PO!$L$4:$L$203,PO!$H$4:$H$203,$A188))</f>
        <v/>
      </c>
      <c r="I188" s="38" t="str">
        <f aca="false">IF($A188="","",SUMIFS(PO!$N$4:$N$203,PO!$H$4:$H$203,$A188))</f>
        <v/>
      </c>
      <c r="J188" s="38" t="str">
        <f aca="false">IF($A188="","",COUNTIFS(PO!$H$4:$H$203,$A188,PO!$S$4:$S$203,"Đúng hạn")+COUNTIFS(PO!$H$4:$H$203,$A188,PO!$S$4:$S$203,"Giao trễ")+COUNTIFS(PO!$H$4:$H$203,$A188,PO!$S$4:$S$203,"Trễ hạn"))</f>
        <v/>
      </c>
      <c r="K188" s="38" t="str">
        <f aca="false">IF($A188="","",COUNTIFS(PO!$H$4:$H$203,$A188,PO!$S$4:$S$203,"Đúng hạn"))</f>
        <v/>
      </c>
      <c r="L188" s="39" t="str">
        <f aca="false">IF($A188="","",IFERROR($K188/$J188,""))</f>
        <v/>
      </c>
      <c r="M188" s="38" t="str">
        <f aca="false">IF($A188="","",SUMIFS(PO!$U$4:$U$203,PO!$H$4:$H$203,$A188))</f>
        <v/>
      </c>
      <c r="N188" s="38" t="str">
        <f aca="false">IF($A188="","",SUMIFS(PO!$V$4:$V$203,PO!$H$4:$H$203,$A188))</f>
        <v/>
      </c>
      <c r="O188" s="39" t="str">
        <f aca="false">IF($A188="","",IFERROR($N188/$M188,""))</f>
        <v/>
      </c>
      <c r="P188" s="38" t="str">
        <f aca="false">IF($A188="","",SUMIFS('Thanh toán'!$H$4:$H$203,'Thanh toán'!$E$4:$E$203,$A188))</f>
        <v/>
      </c>
      <c r="Q188" s="38" t="str">
        <f aca="false">IF($A188="","",SUMIFS('Công nợ'!$I$4:$I$203,'Công nợ'!$D$4:$D$203,$A188))</f>
        <v/>
      </c>
      <c r="R188" s="38" t="str">
        <f aca="false">IF($A188="","",SUMIFS('Công nợ'!$I$4:$I$203,'Công nợ'!$D$4:$D$203,$A188,'Công nợ'!$K$4:$K$203,"&gt;0"))</f>
        <v/>
      </c>
    </row>
    <row r="189" customFormat="false" ht="15" hidden="false" customHeight="false" outlineLevel="0" collapsed="false">
      <c r="A189" s="37" t="str">
        <f aca="false">IF('Nhà cung cấp'!$A189="","",'Nhà cung cấp'!$A189)</f>
        <v/>
      </c>
      <c r="B189" s="37" t="str">
        <f aca="false">IF($A189="","",'Nhà cung cấp'!$B189)</f>
        <v/>
      </c>
      <c r="C189" s="37" t="str">
        <f aca="false">IF($A189="","",'Nhà cung cấp'!$H189)</f>
        <v/>
      </c>
      <c r="D189" s="38" t="str">
        <f aca="false">IF($A189="","",COUNTIFS('Báo giá'!$I$4:$I$203,$A189))</f>
        <v/>
      </c>
      <c r="E189" s="38" t="str">
        <f aca="false">IF($A189="","",COUNTIFS('Báo giá'!$I$4:$I$203,$A189,'Báo giá'!$T$4:$T$203,"x"))</f>
        <v/>
      </c>
      <c r="F189" s="39" t="str">
        <f aca="false">IF($A189="","",IFERROR($E189/$D189,""))</f>
        <v/>
      </c>
      <c r="G189" s="38" t="str">
        <f aca="false">IF($A189="","",COUNTIFS(PO!$H$4:$H$203,$A189))</f>
        <v/>
      </c>
      <c r="H189" s="38" t="str">
        <f aca="false">IF($A189="","",SUMIFS(PO!$L$4:$L$203,PO!$H$4:$H$203,$A189))</f>
        <v/>
      </c>
      <c r="I189" s="38" t="str">
        <f aca="false">IF($A189="","",SUMIFS(PO!$N$4:$N$203,PO!$H$4:$H$203,$A189))</f>
        <v/>
      </c>
      <c r="J189" s="38" t="str">
        <f aca="false">IF($A189="","",COUNTIFS(PO!$H$4:$H$203,$A189,PO!$S$4:$S$203,"Đúng hạn")+COUNTIFS(PO!$H$4:$H$203,$A189,PO!$S$4:$S$203,"Giao trễ")+COUNTIFS(PO!$H$4:$H$203,$A189,PO!$S$4:$S$203,"Trễ hạn"))</f>
        <v/>
      </c>
      <c r="K189" s="38" t="str">
        <f aca="false">IF($A189="","",COUNTIFS(PO!$H$4:$H$203,$A189,PO!$S$4:$S$203,"Đúng hạn"))</f>
        <v/>
      </c>
      <c r="L189" s="39" t="str">
        <f aca="false">IF($A189="","",IFERROR($K189/$J189,""))</f>
        <v/>
      </c>
      <c r="M189" s="38" t="str">
        <f aca="false">IF($A189="","",SUMIFS(PO!$U$4:$U$203,PO!$H$4:$H$203,$A189))</f>
        <v/>
      </c>
      <c r="N189" s="38" t="str">
        <f aca="false">IF($A189="","",SUMIFS(PO!$V$4:$V$203,PO!$H$4:$H$203,$A189))</f>
        <v/>
      </c>
      <c r="O189" s="39" t="str">
        <f aca="false">IF($A189="","",IFERROR($N189/$M189,""))</f>
        <v/>
      </c>
      <c r="P189" s="38" t="str">
        <f aca="false">IF($A189="","",SUMIFS('Thanh toán'!$H$4:$H$203,'Thanh toán'!$E$4:$E$203,$A189))</f>
        <v/>
      </c>
      <c r="Q189" s="38" t="str">
        <f aca="false">IF($A189="","",SUMIFS('Công nợ'!$I$4:$I$203,'Công nợ'!$D$4:$D$203,$A189))</f>
        <v/>
      </c>
      <c r="R189" s="38" t="str">
        <f aca="false">IF($A189="","",SUMIFS('Công nợ'!$I$4:$I$203,'Công nợ'!$D$4:$D$203,$A189,'Công nợ'!$K$4:$K$203,"&gt;0"))</f>
        <v/>
      </c>
    </row>
    <row r="190" customFormat="false" ht="15" hidden="false" customHeight="false" outlineLevel="0" collapsed="false">
      <c r="A190" s="37" t="str">
        <f aca="false">IF('Nhà cung cấp'!$A190="","",'Nhà cung cấp'!$A190)</f>
        <v/>
      </c>
      <c r="B190" s="37" t="str">
        <f aca="false">IF($A190="","",'Nhà cung cấp'!$B190)</f>
        <v/>
      </c>
      <c r="C190" s="37" t="str">
        <f aca="false">IF($A190="","",'Nhà cung cấp'!$H190)</f>
        <v/>
      </c>
      <c r="D190" s="38" t="str">
        <f aca="false">IF($A190="","",COUNTIFS('Báo giá'!$I$4:$I$203,$A190))</f>
        <v/>
      </c>
      <c r="E190" s="38" t="str">
        <f aca="false">IF($A190="","",COUNTIFS('Báo giá'!$I$4:$I$203,$A190,'Báo giá'!$T$4:$T$203,"x"))</f>
        <v/>
      </c>
      <c r="F190" s="39" t="str">
        <f aca="false">IF($A190="","",IFERROR($E190/$D190,""))</f>
        <v/>
      </c>
      <c r="G190" s="38" t="str">
        <f aca="false">IF($A190="","",COUNTIFS(PO!$H$4:$H$203,$A190))</f>
        <v/>
      </c>
      <c r="H190" s="38" t="str">
        <f aca="false">IF($A190="","",SUMIFS(PO!$L$4:$L$203,PO!$H$4:$H$203,$A190))</f>
        <v/>
      </c>
      <c r="I190" s="38" t="str">
        <f aca="false">IF($A190="","",SUMIFS(PO!$N$4:$N$203,PO!$H$4:$H$203,$A190))</f>
        <v/>
      </c>
      <c r="J190" s="38" t="str">
        <f aca="false">IF($A190="","",COUNTIFS(PO!$H$4:$H$203,$A190,PO!$S$4:$S$203,"Đúng hạn")+COUNTIFS(PO!$H$4:$H$203,$A190,PO!$S$4:$S$203,"Giao trễ")+COUNTIFS(PO!$H$4:$H$203,$A190,PO!$S$4:$S$203,"Trễ hạn"))</f>
        <v/>
      </c>
      <c r="K190" s="38" t="str">
        <f aca="false">IF($A190="","",COUNTIFS(PO!$H$4:$H$203,$A190,PO!$S$4:$S$203,"Đúng hạn"))</f>
        <v/>
      </c>
      <c r="L190" s="39" t="str">
        <f aca="false">IF($A190="","",IFERROR($K190/$J190,""))</f>
        <v/>
      </c>
      <c r="M190" s="38" t="str">
        <f aca="false">IF($A190="","",SUMIFS(PO!$U$4:$U$203,PO!$H$4:$H$203,$A190))</f>
        <v/>
      </c>
      <c r="N190" s="38" t="str">
        <f aca="false">IF($A190="","",SUMIFS(PO!$V$4:$V$203,PO!$H$4:$H$203,$A190))</f>
        <v/>
      </c>
      <c r="O190" s="39" t="str">
        <f aca="false">IF($A190="","",IFERROR($N190/$M190,""))</f>
        <v/>
      </c>
      <c r="P190" s="38" t="str">
        <f aca="false">IF($A190="","",SUMIFS('Thanh toán'!$H$4:$H$203,'Thanh toán'!$E$4:$E$203,$A190))</f>
        <v/>
      </c>
      <c r="Q190" s="38" t="str">
        <f aca="false">IF($A190="","",SUMIFS('Công nợ'!$I$4:$I$203,'Công nợ'!$D$4:$D$203,$A190))</f>
        <v/>
      </c>
      <c r="R190" s="38" t="str">
        <f aca="false">IF($A190="","",SUMIFS('Công nợ'!$I$4:$I$203,'Công nợ'!$D$4:$D$203,$A190,'Công nợ'!$K$4:$K$203,"&gt;0"))</f>
        <v/>
      </c>
    </row>
    <row r="191" customFormat="false" ht="15" hidden="false" customHeight="false" outlineLevel="0" collapsed="false">
      <c r="A191" s="37" t="str">
        <f aca="false">IF('Nhà cung cấp'!$A191="","",'Nhà cung cấp'!$A191)</f>
        <v/>
      </c>
      <c r="B191" s="37" t="str">
        <f aca="false">IF($A191="","",'Nhà cung cấp'!$B191)</f>
        <v/>
      </c>
      <c r="C191" s="37" t="str">
        <f aca="false">IF($A191="","",'Nhà cung cấp'!$H191)</f>
        <v/>
      </c>
      <c r="D191" s="38" t="str">
        <f aca="false">IF($A191="","",COUNTIFS('Báo giá'!$I$4:$I$203,$A191))</f>
        <v/>
      </c>
      <c r="E191" s="38" t="str">
        <f aca="false">IF($A191="","",COUNTIFS('Báo giá'!$I$4:$I$203,$A191,'Báo giá'!$T$4:$T$203,"x"))</f>
        <v/>
      </c>
      <c r="F191" s="39" t="str">
        <f aca="false">IF($A191="","",IFERROR($E191/$D191,""))</f>
        <v/>
      </c>
      <c r="G191" s="38" t="str">
        <f aca="false">IF($A191="","",COUNTIFS(PO!$H$4:$H$203,$A191))</f>
        <v/>
      </c>
      <c r="H191" s="38" t="str">
        <f aca="false">IF($A191="","",SUMIFS(PO!$L$4:$L$203,PO!$H$4:$H$203,$A191))</f>
        <v/>
      </c>
      <c r="I191" s="38" t="str">
        <f aca="false">IF($A191="","",SUMIFS(PO!$N$4:$N$203,PO!$H$4:$H$203,$A191))</f>
        <v/>
      </c>
      <c r="J191" s="38" t="str">
        <f aca="false">IF($A191="","",COUNTIFS(PO!$H$4:$H$203,$A191,PO!$S$4:$S$203,"Đúng hạn")+COUNTIFS(PO!$H$4:$H$203,$A191,PO!$S$4:$S$203,"Giao trễ")+COUNTIFS(PO!$H$4:$H$203,$A191,PO!$S$4:$S$203,"Trễ hạn"))</f>
        <v/>
      </c>
      <c r="K191" s="38" t="str">
        <f aca="false">IF($A191="","",COUNTIFS(PO!$H$4:$H$203,$A191,PO!$S$4:$S$203,"Đúng hạn"))</f>
        <v/>
      </c>
      <c r="L191" s="39" t="str">
        <f aca="false">IF($A191="","",IFERROR($K191/$J191,""))</f>
        <v/>
      </c>
      <c r="M191" s="38" t="str">
        <f aca="false">IF($A191="","",SUMIFS(PO!$U$4:$U$203,PO!$H$4:$H$203,$A191))</f>
        <v/>
      </c>
      <c r="N191" s="38" t="str">
        <f aca="false">IF($A191="","",SUMIFS(PO!$V$4:$V$203,PO!$H$4:$H$203,$A191))</f>
        <v/>
      </c>
      <c r="O191" s="39" t="str">
        <f aca="false">IF($A191="","",IFERROR($N191/$M191,""))</f>
        <v/>
      </c>
      <c r="P191" s="38" t="str">
        <f aca="false">IF($A191="","",SUMIFS('Thanh toán'!$H$4:$H$203,'Thanh toán'!$E$4:$E$203,$A191))</f>
        <v/>
      </c>
      <c r="Q191" s="38" t="str">
        <f aca="false">IF($A191="","",SUMIFS('Công nợ'!$I$4:$I$203,'Công nợ'!$D$4:$D$203,$A191))</f>
        <v/>
      </c>
      <c r="R191" s="38" t="str">
        <f aca="false">IF($A191="","",SUMIFS('Công nợ'!$I$4:$I$203,'Công nợ'!$D$4:$D$203,$A191,'Công nợ'!$K$4:$K$203,"&gt;0"))</f>
        <v/>
      </c>
    </row>
    <row r="192" customFormat="false" ht="15" hidden="false" customHeight="false" outlineLevel="0" collapsed="false">
      <c r="A192" s="37" t="str">
        <f aca="false">IF('Nhà cung cấp'!$A192="","",'Nhà cung cấp'!$A192)</f>
        <v/>
      </c>
      <c r="B192" s="37" t="str">
        <f aca="false">IF($A192="","",'Nhà cung cấp'!$B192)</f>
        <v/>
      </c>
      <c r="C192" s="37" t="str">
        <f aca="false">IF($A192="","",'Nhà cung cấp'!$H192)</f>
        <v/>
      </c>
      <c r="D192" s="38" t="str">
        <f aca="false">IF($A192="","",COUNTIFS('Báo giá'!$I$4:$I$203,$A192))</f>
        <v/>
      </c>
      <c r="E192" s="38" t="str">
        <f aca="false">IF($A192="","",COUNTIFS('Báo giá'!$I$4:$I$203,$A192,'Báo giá'!$T$4:$T$203,"x"))</f>
        <v/>
      </c>
      <c r="F192" s="39" t="str">
        <f aca="false">IF($A192="","",IFERROR($E192/$D192,""))</f>
        <v/>
      </c>
      <c r="G192" s="38" t="str">
        <f aca="false">IF($A192="","",COUNTIFS(PO!$H$4:$H$203,$A192))</f>
        <v/>
      </c>
      <c r="H192" s="38" t="str">
        <f aca="false">IF($A192="","",SUMIFS(PO!$L$4:$L$203,PO!$H$4:$H$203,$A192))</f>
        <v/>
      </c>
      <c r="I192" s="38" t="str">
        <f aca="false">IF($A192="","",SUMIFS(PO!$N$4:$N$203,PO!$H$4:$H$203,$A192))</f>
        <v/>
      </c>
      <c r="J192" s="38" t="str">
        <f aca="false">IF($A192="","",COUNTIFS(PO!$H$4:$H$203,$A192,PO!$S$4:$S$203,"Đúng hạn")+COUNTIFS(PO!$H$4:$H$203,$A192,PO!$S$4:$S$203,"Giao trễ")+COUNTIFS(PO!$H$4:$H$203,$A192,PO!$S$4:$S$203,"Trễ hạn"))</f>
        <v/>
      </c>
      <c r="K192" s="38" t="str">
        <f aca="false">IF($A192="","",COUNTIFS(PO!$H$4:$H$203,$A192,PO!$S$4:$S$203,"Đúng hạn"))</f>
        <v/>
      </c>
      <c r="L192" s="39" t="str">
        <f aca="false">IF($A192="","",IFERROR($K192/$J192,""))</f>
        <v/>
      </c>
      <c r="M192" s="38" t="str">
        <f aca="false">IF($A192="","",SUMIFS(PO!$U$4:$U$203,PO!$H$4:$H$203,$A192))</f>
        <v/>
      </c>
      <c r="N192" s="38" t="str">
        <f aca="false">IF($A192="","",SUMIFS(PO!$V$4:$V$203,PO!$H$4:$H$203,$A192))</f>
        <v/>
      </c>
      <c r="O192" s="39" t="str">
        <f aca="false">IF($A192="","",IFERROR($N192/$M192,""))</f>
        <v/>
      </c>
      <c r="P192" s="38" t="str">
        <f aca="false">IF($A192="","",SUMIFS('Thanh toán'!$H$4:$H$203,'Thanh toán'!$E$4:$E$203,$A192))</f>
        <v/>
      </c>
      <c r="Q192" s="38" t="str">
        <f aca="false">IF($A192="","",SUMIFS('Công nợ'!$I$4:$I$203,'Công nợ'!$D$4:$D$203,$A192))</f>
        <v/>
      </c>
      <c r="R192" s="38" t="str">
        <f aca="false">IF($A192="","",SUMIFS('Công nợ'!$I$4:$I$203,'Công nợ'!$D$4:$D$203,$A192,'Công nợ'!$K$4:$K$203,"&gt;0"))</f>
        <v/>
      </c>
    </row>
    <row r="193" customFormat="false" ht="15" hidden="false" customHeight="false" outlineLevel="0" collapsed="false">
      <c r="A193" s="37" t="str">
        <f aca="false">IF('Nhà cung cấp'!$A193="","",'Nhà cung cấp'!$A193)</f>
        <v/>
      </c>
      <c r="B193" s="37" t="str">
        <f aca="false">IF($A193="","",'Nhà cung cấp'!$B193)</f>
        <v/>
      </c>
      <c r="C193" s="37" t="str">
        <f aca="false">IF($A193="","",'Nhà cung cấp'!$H193)</f>
        <v/>
      </c>
      <c r="D193" s="38" t="str">
        <f aca="false">IF($A193="","",COUNTIFS('Báo giá'!$I$4:$I$203,$A193))</f>
        <v/>
      </c>
      <c r="E193" s="38" t="str">
        <f aca="false">IF($A193="","",COUNTIFS('Báo giá'!$I$4:$I$203,$A193,'Báo giá'!$T$4:$T$203,"x"))</f>
        <v/>
      </c>
      <c r="F193" s="39" t="str">
        <f aca="false">IF($A193="","",IFERROR($E193/$D193,""))</f>
        <v/>
      </c>
      <c r="G193" s="38" t="str">
        <f aca="false">IF($A193="","",COUNTIFS(PO!$H$4:$H$203,$A193))</f>
        <v/>
      </c>
      <c r="H193" s="38" t="str">
        <f aca="false">IF($A193="","",SUMIFS(PO!$L$4:$L$203,PO!$H$4:$H$203,$A193))</f>
        <v/>
      </c>
      <c r="I193" s="38" t="str">
        <f aca="false">IF($A193="","",SUMIFS(PO!$N$4:$N$203,PO!$H$4:$H$203,$A193))</f>
        <v/>
      </c>
      <c r="J193" s="38" t="str">
        <f aca="false">IF($A193="","",COUNTIFS(PO!$H$4:$H$203,$A193,PO!$S$4:$S$203,"Đúng hạn")+COUNTIFS(PO!$H$4:$H$203,$A193,PO!$S$4:$S$203,"Giao trễ")+COUNTIFS(PO!$H$4:$H$203,$A193,PO!$S$4:$S$203,"Trễ hạn"))</f>
        <v/>
      </c>
      <c r="K193" s="38" t="str">
        <f aca="false">IF($A193="","",COUNTIFS(PO!$H$4:$H$203,$A193,PO!$S$4:$S$203,"Đúng hạn"))</f>
        <v/>
      </c>
      <c r="L193" s="39" t="str">
        <f aca="false">IF($A193="","",IFERROR($K193/$J193,""))</f>
        <v/>
      </c>
      <c r="M193" s="38" t="str">
        <f aca="false">IF($A193="","",SUMIFS(PO!$U$4:$U$203,PO!$H$4:$H$203,$A193))</f>
        <v/>
      </c>
      <c r="N193" s="38" t="str">
        <f aca="false">IF($A193="","",SUMIFS(PO!$V$4:$V$203,PO!$H$4:$H$203,$A193))</f>
        <v/>
      </c>
      <c r="O193" s="39" t="str">
        <f aca="false">IF($A193="","",IFERROR($N193/$M193,""))</f>
        <v/>
      </c>
      <c r="P193" s="38" t="str">
        <f aca="false">IF($A193="","",SUMIFS('Thanh toán'!$H$4:$H$203,'Thanh toán'!$E$4:$E$203,$A193))</f>
        <v/>
      </c>
      <c r="Q193" s="38" t="str">
        <f aca="false">IF($A193="","",SUMIFS('Công nợ'!$I$4:$I$203,'Công nợ'!$D$4:$D$203,$A193))</f>
        <v/>
      </c>
      <c r="R193" s="38" t="str">
        <f aca="false">IF($A193="","",SUMIFS('Công nợ'!$I$4:$I$203,'Công nợ'!$D$4:$D$203,$A193,'Công nợ'!$K$4:$K$203,"&gt;0"))</f>
        <v/>
      </c>
    </row>
    <row r="194" customFormat="false" ht="15" hidden="false" customHeight="false" outlineLevel="0" collapsed="false">
      <c r="A194" s="37" t="str">
        <f aca="false">IF('Nhà cung cấp'!$A194="","",'Nhà cung cấp'!$A194)</f>
        <v/>
      </c>
      <c r="B194" s="37" t="str">
        <f aca="false">IF($A194="","",'Nhà cung cấp'!$B194)</f>
        <v/>
      </c>
      <c r="C194" s="37" t="str">
        <f aca="false">IF($A194="","",'Nhà cung cấp'!$H194)</f>
        <v/>
      </c>
      <c r="D194" s="38" t="str">
        <f aca="false">IF($A194="","",COUNTIFS('Báo giá'!$I$4:$I$203,$A194))</f>
        <v/>
      </c>
      <c r="E194" s="38" t="str">
        <f aca="false">IF($A194="","",COUNTIFS('Báo giá'!$I$4:$I$203,$A194,'Báo giá'!$T$4:$T$203,"x"))</f>
        <v/>
      </c>
      <c r="F194" s="39" t="str">
        <f aca="false">IF($A194="","",IFERROR($E194/$D194,""))</f>
        <v/>
      </c>
      <c r="G194" s="38" t="str">
        <f aca="false">IF($A194="","",COUNTIFS(PO!$H$4:$H$203,$A194))</f>
        <v/>
      </c>
      <c r="H194" s="38" t="str">
        <f aca="false">IF($A194="","",SUMIFS(PO!$L$4:$L$203,PO!$H$4:$H$203,$A194))</f>
        <v/>
      </c>
      <c r="I194" s="38" t="str">
        <f aca="false">IF($A194="","",SUMIFS(PO!$N$4:$N$203,PO!$H$4:$H$203,$A194))</f>
        <v/>
      </c>
      <c r="J194" s="38" t="str">
        <f aca="false">IF($A194="","",COUNTIFS(PO!$H$4:$H$203,$A194,PO!$S$4:$S$203,"Đúng hạn")+COUNTIFS(PO!$H$4:$H$203,$A194,PO!$S$4:$S$203,"Giao trễ")+COUNTIFS(PO!$H$4:$H$203,$A194,PO!$S$4:$S$203,"Trễ hạn"))</f>
        <v/>
      </c>
      <c r="K194" s="38" t="str">
        <f aca="false">IF($A194="","",COUNTIFS(PO!$H$4:$H$203,$A194,PO!$S$4:$S$203,"Đúng hạn"))</f>
        <v/>
      </c>
      <c r="L194" s="39" t="str">
        <f aca="false">IF($A194="","",IFERROR($K194/$J194,""))</f>
        <v/>
      </c>
      <c r="M194" s="38" t="str">
        <f aca="false">IF($A194="","",SUMIFS(PO!$U$4:$U$203,PO!$H$4:$H$203,$A194))</f>
        <v/>
      </c>
      <c r="N194" s="38" t="str">
        <f aca="false">IF($A194="","",SUMIFS(PO!$V$4:$V$203,PO!$H$4:$H$203,$A194))</f>
        <v/>
      </c>
      <c r="O194" s="39" t="str">
        <f aca="false">IF($A194="","",IFERROR($N194/$M194,""))</f>
        <v/>
      </c>
      <c r="P194" s="38" t="str">
        <f aca="false">IF($A194="","",SUMIFS('Thanh toán'!$H$4:$H$203,'Thanh toán'!$E$4:$E$203,$A194))</f>
        <v/>
      </c>
      <c r="Q194" s="38" t="str">
        <f aca="false">IF($A194="","",SUMIFS('Công nợ'!$I$4:$I$203,'Công nợ'!$D$4:$D$203,$A194))</f>
        <v/>
      </c>
      <c r="R194" s="38" t="str">
        <f aca="false">IF($A194="","",SUMIFS('Công nợ'!$I$4:$I$203,'Công nợ'!$D$4:$D$203,$A194,'Công nợ'!$K$4:$K$203,"&gt;0"))</f>
        <v/>
      </c>
    </row>
    <row r="195" customFormat="false" ht="15" hidden="false" customHeight="false" outlineLevel="0" collapsed="false">
      <c r="A195" s="37" t="str">
        <f aca="false">IF('Nhà cung cấp'!$A195="","",'Nhà cung cấp'!$A195)</f>
        <v/>
      </c>
      <c r="B195" s="37" t="str">
        <f aca="false">IF($A195="","",'Nhà cung cấp'!$B195)</f>
        <v/>
      </c>
      <c r="C195" s="37" t="str">
        <f aca="false">IF($A195="","",'Nhà cung cấp'!$H195)</f>
        <v/>
      </c>
      <c r="D195" s="38" t="str">
        <f aca="false">IF($A195="","",COUNTIFS('Báo giá'!$I$4:$I$203,$A195))</f>
        <v/>
      </c>
      <c r="E195" s="38" t="str">
        <f aca="false">IF($A195="","",COUNTIFS('Báo giá'!$I$4:$I$203,$A195,'Báo giá'!$T$4:$T$203,"x"))</f>
        <v/>
      </c>
      <c r="F195" s="39" t="str">
        <f aca="false">IF($A195="","",IFERROR($E195/$D195,""))</f>
        <v/>
      </c>
      <c r="G195" s="38" t="str">
        <f aca="false">IF($A195="","",COUNTIFS(PO!$H$4:$H$203,$A195))</f>
        <v/>
      </c>
      <c r="H195" s="38" t="str">
        <f aca="false">IF($A195="","",SUMIFS(PO!$L$4:$L$203,PO!$H$4:$H$203,$A195))</f>
        <v/>
      </c>
      <c r="I195" s="38" t="str">
        <f aca="false">IF($A195="","",SUMIFS(PO!$N$4:$N$203,PO!$H$4:$H$203,$A195))</f>
        <v/>
      </c>
      <c r="J195" s="38" t="str">
        <f aca="false">IF($A195="","",COUNTIFS(PO!$H$4:$H$203,$A195,PO!$S$4:$S$203,"Đúng hạn")+COUNTIFS(PO!$H$4:$H$203,$A195,PO!$S$4:$S$203,"Giao trễ")+COUNTIFS(PO!$H$4:$H$203,$A195,PO!$S$4:$S$203,"Trễ hạn"))</f>
        <v/>
      </c>
      <c r="K195" s="38" t="str">
        <f aca="false">IF($A195="","",COUNTIFS(PO!$H$4:$H$203,$A195,PO!$S$4:$S$203,"Đúng hạn"))</f>
        <v/>
      </c>
      <c r="L195" s="39" t="str">
        <f aca="false">IF($A195="","",IFERROR($K195/$J195,""))</f>
        <v/>
      </c>
      <c r="M195" s="38" t="str">
        <f aca="false">IF($A195="","",SUMIFS(PO!$U$4:$U$203,PO!$H$4:$H$203,$A195))</f>
        <v/>
      </c>
      <c r="N195" s="38" t="str">
        <f aca="false">IF($A195="","",SUMIFS(PO!$V$4:$V$203,PO!$H$4:$H$203,$A195))</f>
        <v/>
      </c>
      <c r="O195" s="39" t="str">
        <f aca="false">IF($A195="","",IFERROR($N195/$M195,""))</f>
        <v/>
      </c>
      <c r="P195" s="38" t="str">
        <f aca="false">IF($A195="","",SUMIFS('Thanh toán'!$H$4:$H$203,'Thanh toán'!$E$4:$E$203,$A195))</f>
        <v/>
      </c>
      <c r="Q195" s="38" t="str">
        <f aca="false">IF($A195="","",SUMIFS('Công nợ'!$I$4:$I$203,'Công nợ'!$D$4:$D$203,$A195))</f>
        <v/>
      </c>
      <c r="R195" s="38" t="str">
        <f aca="false">IF($A195="","",SUMIFS('Công nợ'!$I$4:$I$203,'Công nợ'!$D$4:$D$203,$A195,'Công nợ'!$K$4:$K$203,"&gt;0"))</f>
        <v/>
      </c>
    </row>
    <row r="196" customFormat="false" ht="15" hidden="false" customHeight="false" outlineLevel="0" collapsed="false">
      <c r="A196" s="37" t="str">
        <f aca="false">IF('Nhà cung cấp'!$A196="","",'Nhà cung cấp'!$A196)</f>
        <v/>
      </c>
      <c r="B196" s="37" t="str">
        <f aca="false">IF($A196="","",'Nhà cung cấp'!$B196)</f>
        <v/>
      </c>
      <c r="C196" s="37" t="str">
        <f aca="false">IF($A196="","",'Nhà cung cấp'!$H196)</f>
        <v/>
      </c>
      <c r="D196" s="38" t="str">
        <f aca="false">IF($A196="","",COUNTIFS('Báo giá'!$I$4:$I$203,$A196))</f>
        <v/>
      </c>
      <c r="E196" s="38" t="str">
        <f aca="false">IF($A196="","",COUNTIFS('Báo giá'!$I$4:$I$203,$A196,'Báo giá'!$T$4:$T$203,"x"))</f>
        <v/>
      </c>
      <c r="F196" s="39" t="str">
        <f aca="false">IF($A196="","",IFERROR($E196/$D196,""))</f>
        <v/>
      </c>
      <c r="G196" s="38" t="str">
        <f aca="false">IF($A196="","",COUNTIFS(PO!$H$4:$H$203,$A196))</f>
        <v/>
      </c>
      <c r="H196" s="38" t="str">
        <f aca="false">IF($A196="","",SUMIFS(PO!$L$4:$L$203,PO!$H$4:$H$203,$A196))</f>
        <v/>
      </c>
      <c r="I196" s="38" t="str">
        <f aca="false">IF($A196="","",SUMIFS(PO!$N$4:$N$203,PO!$H$4:$H$203,$A196))</f>
        <v/>
      </c>
      <c r="J196" s="38" t="str">
        <f aca="false">IF($A196="","",COUNTIFS(PO!$H$4:$H$203,$A196,PO!$S$4:$S$203,"Đúng hạn")+COUNTIFS(PO!$H$4:$H$203,$A196,PO!$S$4:$S$203,"Giao trễ")+COUNTIFS(PO!$H$4:$H$203,$A196,PO!$S$4:$S$203,"Trễ hạn"))</f>
        <v/>
      </c>
      <c r="K196" s="38" t="str">
        <f aca="false">IF($A196="","",COUNTIFS(PO!$H$4:$H$203,$A196,PO!$S$4:$S$203,"Đúng hạn"))</f>
        <v/>
      </c>
      <c r="L196" s="39" t="str">
        <f aca="false">IF($A196="","",IFERROR($K196/$J196,""))</f>
        <v/>
      </c>
      <c r="M196" s="38" t="str">
        <f aca="false">IF($A196="","",SUMIFS(PO!$U$4:$U$203,PO!$H$4:$H$203,$A196))</f>
        <v/>
      </c>
      <c r="N196" s="38" t="str">
        <f aca="false">IF($A196="","",SUMIFS(PO!$V$4:$V$203,PO!$H$4:$H$203,$A196))</f>
        <v/>
      </c>
      <c r="O196" s="39" t="str">
        <f aca="false">IF($A196="","",IFERROR($N196/$M196,""))</f>
        <v/>
      </c>
      <c r="P196" s="38" t="str">
        <f aca="false">IF($A196="","",SUMIFS('Thanh toán'!$H$4:$H$203,'Thanh toán'!$E$4:$E$203,$A196))</f>
        <v/>
      </c>
      <c r="Q196" s="38" t="str">
        <f aca="false">IF($A196="","",SUMIFS('Công nợ'!$I$4:$I$203,'Công nợ'!$D$4:$D$203,$A196))</f>
        <v/>
      </c>
      <c r="R196" s="38" t="str">
        <f aca="false">IF($A196="","",SUMIFS('Công nợ'!$I$4:$I$203,'Công nợ'!$D$4:$D$203,$A196,'Công nợ'!$K$4:$K$203,"&gt;0"))</f>
        <v/>
      </c>
    </row>
    <row r="197" customFormat="false" ht="15" hidden="false" customHeight="false" outlineLevel="0" collapsed="false">
      <c r="A197" s="37" t="str">
        <f aca="false">IF('Nhà cung cấp'!$A197="","",'Nhà cung cấp'!$A197)</f>
        <v/>
      </c>
      <c r="B197" s="37" t="str">
        <f aca="false">IF($A197="","",'Nhà cung cấp'!$B197)</f>
        <v/>
      </c>
      <c r="C197" s="37" t="str">
        <f aca="false">IF($A197="","",'Nhà cung cấp'!$H197)</f>
        <v/>
      </c>
      <c r="D197" s="38" t="str">
        <f aca="false">IF($A197="","",COUNTIFS('Báo giá'!$I$4:$I$203,$A197))</f>
        <v/>
      </c>
      <c r="E197" s="38" t="str">
        <f aca="false">IF($A197="","",COUNTIFS('Báo giá'!$I$4:$I$203,$A197,'Báo giá'!$T$4:$T$203,"x"))</f>
        <v/>
      </c>
      <c r="F197" s="39" t="str">
        <f aca="false">IF($A197="","",IFERROR($E197/$D197,""))</f>
        <v/>
      </c>
      <c r="G197" s="38" t="str">
        <f aca="false">IF($A197="","",COUNTIFS(PO!$H$4:$H$203,$A197))</f>
        <v/>
      </c>
      <c r="H197" s="38" t="str">
        <f aca="false">IF($A197="","",SUMIFS(PO!$L$4:$L$203,PO!$H$4:$H$203,$A197))</f>
        <v/>
      </c>
      <c r="I197" s="38" t="str">
        <f aca="false">IF($A197="","",SUMIFS(PO!$N$4:$N$203,PO!$H$4:$H$203,$A197))</f>
        <v/>
      </c>
      <c r="J197" s="38" t="str">
        <f aca="false">IF($A197="","",COUNTIFS(PO!$H$4:$H$203,$A197,PO!$S$4:$S$203,"Đúng hạn")+COUNTIFS(PO!$H$4:$H$203,$A197,PO!$S$4:$S$203,"Giao trễ")+COUNTIFS(PO!$H$4:$H$203,$A197,PO!$S$4:$S$203,"Trễ hạn"))</f>
        <v/>
      </c>
      <c r="K197" s="38" t="str">
        <f aca="false">IF($A197="","",COUNTIFS(PO!$H$4:$H$203,$A197,PO!$S$4:$S$203,"Đúng hạn"))</f>
        <v/>
      </c>
      <c r="L197" s="39" t="str">
        <f aca="false">IF($A197="","",IFERROR($K197/$J197,""))</f>
        <v/>
      </c>
      <c r="M197" s="38" t="str">
        <f aca="false">IF($A197="","",SUMIFS(PO!$U$4:$U$203,PO!$H$4:$H$203,$A197))</f>
        <v/>
      </c>
      <c r="N197" s="38" t="str">
        <f aca="false">IF($A197="","",SUMIFS(PO!$V$4:$V$203,PO!$H$4:$H$203,$A197))</f>
        <v/>
      </c>
      <c r="O197" s="39" t="str">
        <f aca="false">IF($A197="","",IFERROR($N197/$M197,""))</f>
        <v/>
      </c>
      <c r="P197" s="38" t="str">
        <f aca="false">IF($A197="","",SUMIFS('Thanh toán'!$H$4:$H$203,'Thanh toán'!$E$4:$E$203,$A197))</f>
        <v/>
      </c>
      <c r="Q197" s="38" t="str">
        <f aca="false">IF($A197="","",SUMIFS('Công nợ'!$I$4:$I$203,'Công nợ'!$D$4:$D$203,$A197))</f>
        <v/>
      </c>
      <c r="R197" s="38" t="str">
        <f aca="false">IF($A197="","",SUMIFS('Công nợ'!$I$4:$I$203,'Công nợ'!$D$4:$D$203,$A197,'Công nợ'!$K$4:$K$203,"&gt;0"))</f>
        <v/>
      </c>
    </row>
    <row r="198" customFormat="false" ht="15" hidden="false" customHeight="false" outlineLevel="0" collapsed="false">
      <c r="A198" s="37" t="str">
        <f aca="false">IF('Nhà cung cấp'!$A198="","",'Nhà cung cấp'!$A198)</f>
        <v/>
      </c>
      <c r="B198" s="37" t="str">
        <f aca="false">IF($A198="","",'Nhà cung cấp'!$B198)</f>
        <v/>
      </c>
      <c r="C198" s="37" t="str">
        <f aca="false">IF($A198="","",'Nhà cung cấp'!$H198)</f>
        <v/>
      </c>
      <c r="D198" s="38" t="str">
        <f aca="false">IF($A198="","",COUNTIFS('Báo giá'!$I$4:$I$203,$A198))</f>
        <v/>
      </c>
      <c r="E198" s="38" t="str">
        <f aca="false">IF($A198="","",COUNTIFS('Báo giá'!$I$4:$I$203,$A198,'Báo giá'!$T$4:$T$203,"x"))</f>
        <v/>
      </c>
      <c r="F198" s="39" t="str">
        <f aca="false">IF($A198="","",IFERROR($E198/$D198,""))</f>
        <v/>
      </c>
      <c r="G198" s="38" t="str">
        <f aca="false">IF($A198="","",COUNTIFS(PO!$H$4:$H$203,$A198))</f>
        <v/>
      </c>
      <c r="H198" s="38" t="str">
        <f aca="false">IF($A198="","",SUMIFS(PO!$L$4:$L$203,PO!$H$4:$H$203,$A198))</f>
        <v/>
      </c>
      <c r="I198" s="38" t="str">
        <f aca="false">IF($A198="","",SUMIFS(PO!$N$4:$N$203,PO!$H$4:$H$203,$A198))</f>
        <v/>
      </c>
      <c r="J198" s="38" t="str">
        <f aca="false">IF($A198="","",COUNTIFS(PO!$H$4:$H$203,$A198,PO!$S$4:$S$203,"Đúng hạn")+COUNTIFS(PO!$H$4:$H$203,$A198,PO!$S$4:$S$203,"Giao trễ")+COUNTIFS(PO!$H$4:$H$203,$A198,PO!$S$4:$S$203,"Trễ hạn"))</f>
        <v/>
      </c>
      <c r="K198" s="38" t="str">
        <f aca="false">IF($A198="","",COUNTIFS(PO!$H$4:$H$203,$A198,PO!$S$4:$S$203,"Đúng hạn"))</f>
        <v/>
      </c>
      <c r="L198" s="39" t="str">
        <f aca="false">IF($A198="","",IFERROR($K198/$J198,""))</f>
        <v/>
      </c>
      <c r="M198" s="38" t="str">
        <f aca="false">IF($A198="","",SUMIFS(PO!$U$4:$U$203,PO!$H$4:$H$203,$A198))</f>
        <v/>
      </c>
      <c r="N198" s="38" t="str">
        <f aca="false">IF($A198="","",SUMIFS(PO!$V$4:$V$203,PO!$H$4:$H$203,$A198))</f>
        <v/>
      </c>
      <c r="O198" s="39" t="str">
        <f aca="false">IF($A198="","",IFERROR($N198/$M198,""))</f>
        <v/>
      </c>
      <c r="P198" s="38" t="str">
        <f aca="false">IF($A198="","",SUMIFS('Thanh toán'!$H$4:$H$203,'Thanh toán'!$E$4:$E$203,$A198))</f>
        <v/>
      </c>
      <c r="Q198" s="38" t="str">
        <f aca="false">IF($A198="","",SUMIFS('Công nợ'!$I$4:$I$203,'Công nợ'!$D$4:$D$203,$A198))</f>
        <v/>
      </c>
      <c r="R198" s="38" t="str">
        <f aca="false">IF($A198="","",SUMIFS('Công nợ'!$I$4:$I$203,'Công nợ'!$D$4:$D$203,$A198,'Công nợ'!$K$4:$K$203,"&gt;0"))</f>
        <v/>
      </c>
    </row>
    <row r="199" customFormat="false" ht="15" hidden="false" customHeight="false" outlineLevel="0" collapsed="false">
      <c r="A199" s="37" t="str">
        <f aca="false">IF('Nhà cung cấp'!$A199="","",'Nhà cung cấp'!$A199)</f>
        <v/>
      </c>
      <c r="B199" s="37" t="str">
        <f aca="false">IF($A199="","",'Nhà cung cấp'!$B199)</f>
        <v/>
      </c>
      <c r="C199" s="37" t="str">
        <f aca="false">IF($A199="","",'Nhà cung cấp'!$H199)</f>
        <v/>
      </c>
      <c r="D199" s="38" t="str">
        <f aca="false">IF($A199="","",COUNTIFS('Báo giá'!$I$4:$I$203,$A199))</f>
        <v/>
      </c>
      <c r="E199" s="38" t="str">
        <f aca="false">IF($A199="","",COUNTIFS('Báo giá'!$I$4:$I$203,$A199,'Báo giá'!$T$4:$T$203,"x"))</f>
        <v/>
      </c>
      <c r="F199" s="39" t="str">
        <f aca="false">IF($A199="","",IFERROR($E199/$D199,""))</f>
        <v/>
      </c>
      <c r="G199" s="38" t="str">
        <f aca="false">IF($A199="","",COUNTIFS(PO!$H$4:$H$203,$A199))</f>
        <v/>
      </c>
      <c r="H199" s="38" t="str">
        <f aca="false">IF($A199="","",SUMIFS(PO!$L$4:$L$203,PO!$H$4:$H$203,$A199))</f>
        <v/>
      </c>
      <c r="I199" s="38" t="str">
        <f aca="false">IF($A199="","",SUMIFS(PO!$N$4:$N$203,PO!$H$4:$H$203,$A199))</f>
        <v/>
      </c>
      <c r="J199" s="38" t="str">
        <f aca="false">IF($A199="","",COUNTIFS(PO!$H$4:$H$203,$A199,PO!$S$4:$S$203,"Đúng hạn")+COUNTIFS(PO!$H$4:$H$203,$A199,PO!$S$4:$S$203,"Giao trễ")+COUNTIFS(PO!$H$4:$H$203,$A199,PO!$S$4:$S$203,"Trễ hạn"))</f>
        <v/>
      </c>
      <c r="K199" s="38" t="str">
        <f aca="false">IF($A199="","",COUNTIFS(PO!$H$4:$H$203,$A199,PO!$S$4:$S$203,"Đúng hạn"))</f>
        <v/>
      </c>
      <c r="L199" s="39" t="str">
        <f aca="false">IF($A199="","",IFERROR($K199/$J199,""))</f>
        <v/>
      </c>
      <c r="M199" s="38" t="str">
        <f aca="false">IF($A199="","",SUMIFS(PO!$U$4:$U$203,PO!$H$4:$H$203,$A199))</f>
        <v/>
      </c>
      <c r="N199" s="38" t="str">
        <f aca="false">IF($A199="","",SUMIFS(PO!$V$4:$V$203,PO!$H$4:$H$203,$A199))</f>
        <v/>
      </c>
      <c r="O199" s="39" t="str">
        <f aca="false">IF($A199="","",IFERROR($N199/$M199,""))</f>
        <v/>
      </c>
      <c r="P199" s="38" t="str">
        <f aca="false">IF($A199="","",SUMIFS('Thanh toán'!$H$4:$H$203,'Thanh toán'!$E$4:$E$203,$A199))</f>
        <v/>
      </c>
      <c r="Q199" s="38" t="str">
        <f aca="false">IF($A199="","",SUMIFS('Công nợ'!$I$4:$I$203,'Công nợ'!$D$4:$D$203,$A199))</f>
        <v/>
      </c>
      <c r="R199" s="38" t="str">
        <f aca="false">IF($A199="","",SUMIFS('Công nợ'!$I$4:$I$203,'Công nợ'!$D$4:$D$203,$A199,'Công nợ'!$K$4:$K$203,"&gt;0"))</f>
        <v/>
      </c>
    </row>
    <row r="200" customFormat="false" ht="15" hidden="false" customHeight="false" outlineLevel="0" collapsed="false">
      <c r="A200" s="37" t="str">
        <f aca="false">IF('Nhà cung cấp'!$A200="","",'Nhà cung cấp'!$A200)</f>
        <v/>
      </c>
      <c r="B200" s="37" t="str">
        <f aca="false">IF($A200="","",'Nhà cung cấp'!$B200)</f>
        <v/>
      </c>
      <c r="C200" s="37" t="str">
        <f aca="false">IF($A200="","",'Nhà cung cấp'!$H200)</f>
        <v/>
      </c>
      <c r="D200" s="38" t="str">
        <f aca="false">IF($A200="","",COUNTIFS('Báo giá'!$I$4:$I$203,$A200))</f>
        <v/>
      </c>
      <c r="E200" s="38" t="str">
        <f aca="false">IF($A200="","",COUNTIFS('Báo giá'!$I$4:$I$203,$A200,'Báo giá'!$T$4:$T$203,"x"))</f>
        <v/>
      </c>
      <c r="F200" s="39" t="str">
        <f aca="false">IF($A200="","",IFERROR($E200/$D200,""))</f>
        <v/>
      </c>
      <c r="G200" s="38" t="str">
        <f aca="false">IF($A200="","",COUNTIFS(PO!$H$4:$H$203,$A200))</f>
        <v/>
      </c>
      <c r="H200" s="38" t="str">
        <f aca="false">IF($A200="","",SUMIFS(PO!$L$4:$L$203,PO!$H$4:$H$203,$A200))</f>
        <v/>
      </c>
      <c r="I200" s="38" t="str">
        <f aca="false">IF($A200="","",SUMIFS(PO!$N$4:$N$203,PO!$H$4:$H$203,$A200))</f>
        <v/>
      </c>
      <c r="J200" s="38" t="str">
        <f aca="false">IF($A200="","",COUNTIFS(PO!$H$4:$H$203,$A200,PO!$S$4:$S$203,"Đúng hạn")+COUNTIFS(PO!$H$4:$H$203,$A200,PO!$S$4:$S$203,"Giao trễ")+COUNTIFS(PO!$H$4:$H$203,$A200,PO!$S$4:$S$203,"Trễ hạn"))</f>
        <v/>
      </c>
      <c r="K200" s="38" t="str">
        <f aca="false">IF($A200="","",COUNTIFS(PO!$H$4:$H$203,$A200,PO!$S$4:$S$203,"Đúng hạn"))</f>
        <v/>
      </c>
      <c r="L200" s="39" t="str">
        <f aca="false">IF($A200="","",IFERROR($K200/$J200,""))</f>
        <v/>
      </c>
      <c r="M200" s="38" t="str">
        <f aca="false">IF($A200="","",SUMIFS(PO!$U$4:$U$203,PO!$H$4:$H$203,$A200))</f>
        <v/>
      </c>
      <c r="N200" s="38" t="str">
        <f aca="false">IF($A200="","",SUMIFS(PO!$V$4:$V$203,PO!$H$4:$H$203,$A200))</f>
        <v/>
      </c>
      <c r="O200" s="39" t="str">
        <f aca="false">IF($A200="","",IFERROR($N200/$M200,""))</f>
        <v/>
      </c>
      <c r="P200" s="38" t="str">
        <f aca="false">IF($A200="","",SUMIFS('Thanh toán'!$H$4:$H$203,'Thanh toán'!$E$4:$E$203,$A200))</f>
        <v/>
      </c>
      <c r="Q200" s="38" t="str">
        <f aca="false">IF($A200="","",SUMIFS('Công nợ'!$I$4:$I$203,'Công nợ'!$D$4:$D$203,$A200))</f>
        <v/>
      </c>
      <c r="R200" s="38" t="str">
        <f aca="false">IF($A200="","",SUMIFS('Công nợ'!$I$4:$I$203,'Công nợ'!$D$4:$D$203,$A200,'Công nợ'!$K$4:$K$203,"&gt;0"))</f>
        <v/>
      </c>
    </row>
    <row r="201" customFormat="false" ht="15" hidden="false" customHeight="false" outlineLevel="0" collapsed="false">
      <c r="A201" s="37" t="str">
        <f aca="false">IF('Nhà cung cấp'!$A201="","",'Nhà cung cấp'!$A201)</f>
        <v/>
      </c>
      <c r="B201" s="37" t="str">
        <f aca="false">IF($A201="","",'Nhà cung cấp'!$B201)</f>
        <v/>
      </c>
      <c r="C201" s="37" t="str">
        <f aca="false">IF($A201="","",'Nhà cung cấp'!$H201)</f>
        <v/>
      </c>
      <c r="D201" s="38" t="str">
        <f aca="false">IF($A201="","",COUNTIFS('Báo giá'!$I$4:$I$203,$A201))</f>
        <v/>
      </c>
      <c r="E201" s="38" t="str">
        <f aca="false">IF($A201="","",COUNTIFS('Báo giá'!$I$4:$I$203,$A201,'Báo giá'!$T$4:$T$203,"x"))</f>
        <v/>
      </c>
      <c r="F201" s="39" t="str">
        <f aca="false">IF($A201="","",IFERROR($E201/$D201,""))</f>
        <v/>
      </c>
      <c r="G201" s="38" t="str">
        <f aca="false">IF($A201="","",COUNTIFS(PO!$H$4:$H$203,$A201))</f>
        <v/>
      </c>
      <c r="H201" s="38" t="str">
        <f aca="false">IF($A201="","",SUMIFS(PO!$L$4:$L$203,PO!$H$4:$H$203,$A201))</f>
        <v/>
      </c>
      <c r="I201" s="38" t="str">
        <f aca="false">IF($A201="","",SUMIFS(PO!$N$4:$N$203,PO!$H$4:$H$203,$A201))</f>
        <v/>
      </c>
      <c r="J201" s="38" t="str">
        <f aca="false">IF($A201="","",COUNTIFS(PO!$H$4:$H$203,$A201,PO!$S$4:$S$203,"Đúng hạn")+COUNTIFS(PO!$H$4:$H$203,$A201,PO!$S$4:$S$203,"Giao trễ")+COUNTIFS(PO!$H$4:$H$203,$A201,PO!$S$4:$S$203,"Trễ hạn"))</f>
        <v/>
      </c>
      <c r="K201" s="38" t="str">
        <f aca="false">IF($A201="","",COUNTIFS(PO!$H$4:$H$203,$A201,PO!$S$4:$S$203,"Đúng hạn"))</f>
        <v/>
      </c>
      <c r="L201" s="39" t="str">
        <f aca="false">IF($A201="","",IFERROR($K201/$J201,""))</f>
        <v/>
      </c>
      <c r="M201" s="38" t="str">
        <f aca="false">IF($A201="","",SUMIFS(PO!$U$4:$U$203,PO!$H$4:$H$203,$A201))</f>
        <v/>
      </c>
      <c r="N201" s="38" t="str">
        <f aca="false">IF($A201="","",SUMIFS(PO!$V$4:$V$203,PO!$H$4:$H$203,$A201))</f>
        <v/>
      </c>
      <c r="O201" s="39" t="str">
        <f aca="false">IF($A201="","",IFERROR($N201/$M201,""))</f>
        <v/>
      </c>
      <c r="P201" s="38" t="str">
        <f aca="false">IF($A201="","",SUMIFS('Thanh toán'!$H$4:$H$203,'Thanh toán'!$E$4:$E$203,$A201))</f>
        <v/>
      </c>
      <c r="Q201" s="38" t="str">
        <f aca="false">IF($A201="","",SUMIFS('Công nợ'!$I$4:$I$203,'Công nợ'!$D$4:$D$203,$A201))</f>
        <v/>
      </c>
      <c r="R201" s="38" t="str">
        <f aca="false">IF($A201="","",SUMIFS('Công nợ'!$I$4:$I$203,'Công nợ'!$D$4:$D$203,$A201,'Công nợ'!$K$4:$K$203,"&gt;0"))</f>
        <v/>
      </c>
    </row>
    <row r="202" customFormat="false" ht="15" hidden="false" customHeight="false" outlineLevel="0" collapsed="false">
      <c r="A202" s="37" t="str">
        <f aca="false">IF('Nhà cung cấp'!$A202="","",'Nhà cung cấp'!$A202)</f>
        <v/>
      </c>
      <c r="B202" s="37" t="str">
        <f aca="false">IF($A202="","",'Nhà cung cấp'!$B202)</f>
        <v/>
      </c>
      <c r="C202" s="37" t="str">
        <f aca="false">IF($A202="","",'Nhà cung cấp'!$H202)</f>
        <v/>
      </c>
      <c r="D202" s="38" t="str">
        <f aca="false">IF($A202="","",COUNTIFS('Báo giá'!$I$4:$I$203,$A202))</f>
        <v/>
      </c>
      <c r="E202" s="38" t="str">
        <f aca="false">IF($A202="","",COUNTIFS('Báo giá'!$I$4:$I$203,$A202,'Báo giá'!$T$4:$T$203,"x"))</f>
        <v/>
      </c>
      <c r="F202" s="39" t="str">
        <f aca="false">IF($A202="","",IFERROR($E202/$D202,""))</f>
        <v/>
      </c>
      <c r="G202" s="38" t="str">
        <f aca="false">IF($A202="","",COUNTIFS(PO!$H$4:$H$203,$A202))</f>
        <v/>
      </c>
      <c r="H202" s="38" t="str">
        <f aca="false">IF($A202="","",SUMIFS(PO!$L$4:$L$203,PO!$H$4:$H$203,$A202))</f>
        <v/>
      </c>
      <c r="I202" s="38" t="str">
        <f aca="false">IF($A202="","",SUMIFS(PO!$N$4:$N$203,PO!$H$4:$H$203,$A202))</f>
        <v/>
      </c>
      <c r="J202" s="38" t="str">
        <f aca="false">IF($A202="","",COUNTIFS(PO!$H$4:$H$203,$A202,PO!$S$4:$S$203,"Đúng hạn")+COUNTIFS(PO!$H$4:$H$203,$A202,PO!$S$4:$S$203,"Giao trễ")+COUNTIFS(PO!$H$4:$H$203,$A202,PO!$S$4:$S$203,"Trễ hạn"))</f>
        <v/>
      </c>
      <c r="K202" s="38" t="str">
        <f aca="false">IF($A202="","",COUNTIFS(PO!$H$4:$H$203,$A202,PO!$S$4:$S$203,"Đúng hạn"))</f>
        <v/>
      </c>
      <c r="L202" s="39" t="str">
        <f aca="false">IF($A202="","",IFERROR($K202/$J202,""))</f>
        <v/>
      </c>
      <c r="M202" s="38" t="str">
        <f aca="false">IF($A202="","",SUMIFS(PO!$U$4:$U$203,PO!$H$4:$H$203,$A202))</f>
        <v/>
      </c>
      <c r="N202" s="38" t="str">
        <f aca="false">IF($A202="","",SUMIFS(PO!$V$4:$V$203,PO!$H$4:$H$203,$A202))</f>
        <v/>
      </c>
      <c r="O202" s="39" t="str">
        <f aca="false">IF($A202="","",IFERROR($N202/$M202,""))</f>
        <v/>
      </c>
      <c r="P202" s="38" t="str">
        <f aca="false">IF($A202="","",SUMIFS('Thanh toán'!$H$4:$H$203,'Thanh toán'!$E$4:$E$203,$A202))</f>
        <v/>
      </c>
      <c r="Q202" s="38" t="str">
        <f aca="false">IF($A202="","",SUMIFS('Công nợ'!$I$4:$I$203,'Công nợ'!$D$4:$D$203,$A202))</f>
        <v/>
      </c>
      <c r="R202" s="38" t="str">
        <f aca="false">IF($A202="","",SUMIFS('Công nợ'!$I$4:$I$203,'Công nợ'!$D$4:$D$203,$A202,'Công nợ'!$K$4:$K$203,"&gt;0"))</f>
        <v/>
      </c>
    </row>
    <row r="203" customFormat="false" ht="15" hidden="false" customHeight="false" outlineLevel="0" collapsed="false">
      <c r="A203" s="37" t="str">
        <f aca="false">IF('Nhà cung cấp'!$A203="","",'Nhà cung cấp'!$A203)</f>
        <v/>
      </c>
      <c r="B203" s="37" t="str">
        <f aca="false">IF($A203="","",'Nhà cung cấp'!$B203)</f>
        <v/>
      </c>
      <c r="C203" s="37" t="str">
        <f aca="false">IF($A203="","",'Nhà cung cấp'!$H203)</f>
        <v/>
      </c>
      <c r="D203" s="38" t="str">
        <f aca="false">IF($A203="","",COUNTIFS('Báo giá'!$I$4:$I$203,$A203))</f>
        <v/>
      </c>
      <c r="E203" s="38" t="str">
        <f aca="false">IF($A203="","",COUNTIFS('Báo giá'!$I$4:$I$203,$A203,'Báo giá'!$T$4:$T$203,"x"))</f>
        <v/>
      </c>
      <c r="F203" s="39" t="str">
        <f aca="false">IF($A203="","",IFERROR($E203/$D203,""))</f>
        <v/>
      </c>
      <c r="G203" s="38" t="str">
        <f aca="false">IF($A203="","",COUNTIFS(PO!$H$4:$H$203,$A203))</f>
        <v/>
      </c>
      <c r="H203" s="38" t="str">
        <f aca="false">IF($A203="","",SUMIFS(PO!$L$4:$L$203,PO!$H$4:$H$203,$A203))</f>
        <v/>
      </c>
      <c r="I203" s="38" t="str">
        <f aca="false">IF($A203="","",SUMIFS(PO!$N$4:$N$203,PO!$H$4:$H$203,$A203))</f>
        <v/>
      </c>
      <c r="J203" s="38" t="str">
        <f aca="false">IF($A203="","",COUNTIFS(PO!$H$4:$H$203,$A203,PO!$S$4:$S$203,"Đúng hạn")+COUNTIFS(PO!$H$4:$H$203,$A203,PO!$S$4:$S$203,"Giao trễ")+COUNTIFS(PO!$H$4:$H$203,$A203,PO!$S$4:$S$203,"Trễ hạn"))</f>
        <v/>
      </c>
      <c r="K203" s="38" t="str">
        <f aca="false">IF($A203="","",COUNTIFS(PO!$H$4:$H$203,$A203,PO!$S$4:$S$203,"Đúng hạn"))</f>
        <v/>
      </c>
      <c r="L203" s="39" t="str">
        <f aca="false">IF($A203="","",IFERROR($K203/$J203,""))</f>
        <v/>
      </c>
      <c r="M203" s="38" t="str">
        <f aca="false">IF($A203="","",SUMIFS(PO!$U$4:$U$203,PO!$H$4:$H$203,$A203))</f>
        <v/>
      </c>
      <c r="N203" s="38" t="str">
        <f aca="false">IF($A203="","",SUMIFS(PO!$V$4:$V$203,PO!$H$4:$H$203,$A203))</f>
        <v/>
      </c>
      <c r="O203" s="39" t="str">
        <f aca="false">IF($A203="","",IFERROR($N203/$M203,""))</f>
        <v/>
      </c>
      <c r="P203" s="38" t="str">
        <f aca="false">IF($A203="","",SUMIFS('Thanh toán'!$H$4:$H$203,'Thanh toán'!$E$4:$E$203,$A203))</f>
        <v/>
      </c>
      <c r="Q203" s="38" t="str">
        <f aca="false">IF($A203="","",SUMIFS('Công nợ'!$I$4:$I$203,'Công nợ'!$D$4:$D$203,$A203))</f>
        <v/>
      </c>
      <c r="R203" s="38" t="str">
        <f aca="false">IF($A203="","",SUMIFS('Công nợ'!$I$4:$I$203,'Công nợ'!$D$4:$D$203,$A203,'Công nợ'!$K$4:$K$203,"&gt;0"))</f>
        <v/>
      </c>
    </row>
  </sheetData>
  <autoFilter ref="A3:R203"/>
  <conditionalFormatting sqref="A4:R203">
    <cfRule type="expression" priority="2" aboveAverage="0" equalAverage="0" bottom="0" percent="0" rank="0" text="" dxfId="9">
      <formula>$R4&gt;0</formula>
    </cfRule>
  </conditionalFormatting>
  <conditionalFormatting sqref="O4:O203">
    <cfRule type="expression" priority="3" aboveAverage="0" equalAverage="0" bottom="0" percent="0" rank="0" text="" dxfId="14">
      <formula>AND($A4&lt;&gt;"",$O4&gt;'Tổng quan'!$C$8)</formula>
    </cfRule>
  </conditionalFormatting>
  <conditionalFormatting sqref="L4:L203">
    <cfRule type="expression" priority="4" aboveAverage="0" equalAverage="0" bottom="0" percent="0" rank="0" text="" dxfId="14">
      <formula>AND($A4&lt;&gt;"",$J4&gt;0,$L4&lt;0.9)</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U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6"/>
    <col collapsed="false" customWidth="true" hidden="false" outlineLevel="0" max="3" min="3" style="0" width="30"/>
    <col collapsed="false" customWidth="true" hidden="false" outlineLevel="0" max="4" min="4" style="0" width="15"/>
    <col collapsed="false" customWidth="true" hidden="false" outlineLevel="0" max="5" min="5" style="0" width="18"/>
    <col collapsed="false" customWidth="true" hidden="false" outlineLevel="0" max="7" min="6" style="0" width="11"/>
    <col collapsed="false" customWidth="true" hidden="false" outlineLevel="0" max="8" min="8" style="0" width="17"/>
    <col collapsed="false" customWidth="true" hidden="false" outlineLevel="0" max="9" min="9" style="0" width="9"/>
    <col collapsed="false" customWidth="true" hidden="false" outlineLevel="0" max="10" min="10" style="0" width="17"/>
    <col collapsed="false" customWidth="true" hidden="false" outlineLevel="0" max="11" min="11" style="0" width="9"/>
    <col collapsed="false" customWidth="true" hidden="false" outlineLevel="0" max="12" min="12" style="0" width="17"/>
    <col collapsed="false" customWidth="true" hidden="false" outlineLevel="0" max="13" min="13" style="0" width="15"/>
    <col collapsed="false" customWidth="true" hidden="false" outlineLevel="0" max="14" min="14" style="0" width="12"/>
    <col collapsed="false" customWidth="true" hidden="false" outlineLevel="0" max="15" min="15" style="0" width="17"/>
    <col collapsed="false" customWidth="true" hidden="false" outlineLevel="0" max="18" min="16" style="0" width="12"/>
    <col collapsed="false" customWidth="true" hidden="false" outlineLevel="0" max="21" min="19" style="0" width="16"/>
  </cols>
  <sheetData>
    <row r="1" customFormat="false" ht="17.35" hidden="false" customHeight="false" outlineLevel="0" collapsed="false">
      <c r="A1" s="30" t="s">
        <v>335</v>
      </c>
    </row>
    <row r="2" customFormat="false" ht="15" hidden="false" customHeight="false" outlineLevel="0" collapsed="false">
      <c r="A2" s="8" t="s">
        <v>336</v>
      </c>
    </row>
    <row r="3" customFormat="false" ht="33.75" hidden="false" customHeight="true" outlineLevel="0" collapsed="false">
      <c r="A3" s="40" t="s">
        <v>116</v>
      </c>
      <c r="B3" s="40" t="s">
        <v>135</v>
      </c>
      <c r="C3" s="40" t="s">
        <v>337</v>
      </c>
      <c r="D3" s="40" t="s">
        <v>141</v>
      </c>
      <c r="E3" s="40" t="s">
        <v>140</v>
      </c>
      <c r="F3" s="40" t="s">
        <v>338</v>
      </c>
      <c r="G3" s="40" t="s">
        <v>339</v>
      </c>
      <c r="H3" s="40" t="s">
        <v>312</v>
      </c>
      <c r="I3" s="40" t="s">
        <v>313</v>
      </c>
      <c r="J3" s="40" t="s">
        <v>340</v>
      </c>
      <c r="K3" s="40" t="s">
        <v>315</v>
      </c>
      <c r="L3" s="40" t="s">
        <v>316</v>
      </c>
      <c r="M3" s="40" t="s">
        <v>266</v>
      </c>
      <c r="N3" s="40" t="s">
        <v>341</v>
      </c>
      <c r="O3" s="40" t="s">
        <v>342</v>
      </c>
      <c r="P3" s="40" t="s">
        <v>317</v>
      </c>
      <c r="Q3" s="40" t="s">
        <v>37</v>
      </c>
      <c r="R3" s="40" t="s">
        <v>318</v>
      </c>
      <c r="S3" s="40" t="s">
        <v>48</v>
      </c>
      <c r="T3" s="40" t="s">
        <v>49</v>
      </c>
      <c r="U3" s="40" t="s">
        <v>343</v>
      </c>
    </row>
    <row r="4" customFormat="false" ht="15" hidden="false" customHeight="false" outlineLevel="0" collapsed="false">
      <c r="A4" s="37" t="str">
        <f aca="false">IF('Dự án'!$A4="","",'Dự án'!$A4)</f>
        <v>DA-2026-01</v>
      </c>
      <c r="B4" s="37" t="str">
        <f aca="false">IF($A4="","",'Dự án'!$B4)</f>
        <v>Nhà máy Bao bì Tân Uyên – Giai đoạn 2</v>
      </c>
      <c r="C4" s="37" t="str">
        <f aca="false">IF($A4="","",'Dự án'!$C4)</f>
        <v>Công ty CP Bao bì Tân Uyên</v>
      </c>
      <c r="D4" s="37" t="str">
        <f aca="false">IF($A4="","",'Dự án'!$H4)</f>
        <v>Đang thực hiện</v>
      </c>
      <c r="E4" s="38" t="n">
        <f aca="false">IF($A4="","",'Dự án'!$G4)</f>
        <v>5000000000</v>
      </c>
      <c r="F4" s="38" t="n">
        <f aca="false">IF($A4="","",COUNTIFS('Check giá'!$C$4:$C$203,$A4))</f>
        <v>1</v>
      </c>
      <c r="G4" s="38" t="n">
        <f aca="false">IF($A4="","",COUNTIFS('Check giá'!$C$4:$C$203,$A4,'Check giá'!$O$4:$O$203,"Đang xử lý")+COUNTIFS('Check giá'!$C$4:$C$203,$A4,'Check giá'!$O$4:$O$203,"Quá hạn chưa trả"))</f>
        <v>0</v>
      </c>
      <c r="H4" s="38" t="n">
        <f aca="false">IF($A4="","",SUMIFS('Check giá'!$J$4:$J$203,'Check giá'!$C$4:$C$203,$A4))</f>
        <v>250000000</v>
      </c>
      <c r="I4" s="38" t="n">
        <f aca="false">IF($A4="","",COUNTIFS(PR!$D$4:$D$203,$A4))</f>
        <v>1</v>
      </c>
      <c r="J4" s="38" t="n">
        <f aca="false">IF($A4="","",SUMIFS(PR!$L$4:$L$203,PR!$D$4:$D$203,$A4))</f>
        <v>250000000</v>
      </c>
      <c r="K4" s="38" t="n">
        <f aca="false">IF($A4="","",COUNTIFS(PO!$D$4:$D$203,$A4))</f>
        <v>1</v>
      </c>
      <c r="L4" s="38" t="n">
        <f aca="false">IF($A4="","",SUMIFS(PO!$L$4:$L$203,PO!$D$4:$D$203,$A4))</f>
        <v>236000000</v>
      </c>
      <c r="M4" s="38" t="n">
        <f aca="false">IF($A4="","",SUMIFS(PO!$N$4:$N$203,PO!$D$4:$D$203,$A4))</f>
        <v>14000000</v>
      </c>
      <c r="N4" s="39" t="n">
        <f aca="false">IF($A4="","",IFERROR($L4/$E4,""))</f>
        <v>0.0472</v>
      </c>
      <c r="O4" s="38" t="n">
        <f aca="false">IF($A4="","",IFERROR($E4-$L4,""))</f>
        <v>4764000000</v>
      </c>
      <c r="P4" s="38" t="n">
        <f aca="false">IF($A4="","",COUNTIFS(PO!$D$4:$D$203,$A4,PO!$S$4:$S$203,"Đúng hạn")+COUNTIFS(PO!$D$4:$D$203,$A4,PO!$S$4:$S$203,"Giao trễ")+COUNTIFS(PO!$D$4:$D$203,$A4,PO!$S$4:$S$203,"Trễ hạn"))</f>
        <v>1</v>
      </c>
      <c r="Q4" s="38" t="n">
        <f aca="false">IF($A4="","",COUNTIFS(PO!$D$4:$D$203,$A4,PO!$S$4:$S$203,"Đúng hạn"))</f>
        <v>0</v>
      </c>
      <c r="R4" s="39" t="n">
        <f aca="false">IF($A4="","",IFERROR($Q4/$P4,""))</f>
        <v>0</v>
      </c>
      <c r="S4" s="38" t="n">
        <f aca="false">IF($A4="","",SUMIFS('Thanh toán'!$H$4:$H$203,'Thanh toán'!$D$4:$D$203,$A4))</f>
        <v>180000000</v>
      </c>
      <c r="T4" s="38" t="n">
        <f aca="false">IF($A4="","",SUMIFS('Công nợ'!$I$4:$I$203,'Công nợ'!$B$4:$B$203,$A4))</f>
        <v>56000000</v>
      </c>
      <c r="U4" s="38" t="n">
        <f aca="false">IF($A4="","",SUMIFS('Công nợ'!$I$4:$I$203,'Công nợ'!$B$4:$B$203,$A4,'Công nợ'!$K$4:$K$203,"&gt;0"))</f>
        <v>56000000</v>
      </c>
    </row>
    <row r="5" customFormat="false" ht="15" hidden="false" customHeight="false" outlineLevel="0" collapsed="false">
      <c r="A5" s="37" t="str">
        <f aca="false">IF('Dự án'!$A5="","",'Dự án'!$A5)</f>
        <v>DA-2026-02</v>
      </c>
      <c r="B5" s="37" t="str">
        <f aca="false">IF($A5="","",'Dự án'!$B5)</f>
        <v>Kho lạnh Long An</v>
      </c>
      <c r="C5" s="37" t="str">
        <f aca="false">IF($A5="","",'Dự án'!$C5)</f>
        <v>Công ty TNHH Thực phẩm Long An</v>
      </c>
      <c r="D5" s="37" t="str">
        <f aca="false">IF($A5="","",'Dự án'!$H5)</f>
        <v>Đang chào giá</v>
      </c>
      <c r="E5" s="38" t="n">
        <f aca="false">IF($A5="","",'Dự án'!$G5)</f>
        <v>3200000000</v>
      </c>
      <c r="F5" s="38" t="n">
        <f aca="false">IF($A5="","",COUNTIFS('Check giá'!$C$4:$C$203,$A5))</f>
        <v>1</v>
      </c>
      <c r="G5" s="38" t="n">
        <f aca="false">IF($A5="","",COUNTIFS('Check giá'!$C$4:$C$203,$A5,'Check giá'!$O$4:$O$203,"Đang xử lý")+COUNTIFS('Check giá'!$C$4:$C$203,$A5,'Check giá'!$O$4:$O$203,"Quá hạn chưa trả"))</f>
        <v>1</v>
      </c>
      <c r="H5" s="38" t="n">
        <f aca="false">IF($A5="","",SUMIFS('Check giá'!$J$4:$J$203,'Check giá'!$C$4:$C$203,$A5))</f>
        <v>1116000000</v>
      </c>
      <c r="I5" s="38" t="n">
        <f aca="false">IF($A5="","",COUNTIFS(PR!$D$4:$D$203,$A5))</f>
        <v>0</v>
      </c>
      <c r="J5" s="38" t="n">
        <f aca="false">IF($A5="","",SUMIFS(PR!$L$4:$L$203,PR!$D$4:$D$203,$A5))</f>
        <v>0</v>
      </c>
      <c r="K5" s="38" t="n">
        <f aca="false">IF($A5="","",COUNTIFS(PO!$D$4:$D$203,$A5))</f>
        <v>0</v>
      </c>
      <c r="L5" s="38" t="n">
        <f aca="false">IF($A5="","",SUMIFS(PO!$L$4:$L$203,PO!$D$4:$D$203,$A5))</f>
        <v>0</v>
      </c>
      <c r="M5" s="38" t="n">
        <f aca="false">IF($A5="","",SUMIFS(PO!$N$4:$N$203,PO!$D$4:$D$203,$A5))</f>
        <v>0</v>
      </c>
      <c r="N5" s="39" t="n">
        <f aca="false">IF($A5="","",IFERROR($L5/$E5,""))</f>
        <v>0</v>
      </c>
      <c r="O5" s="38" t="n">
        <f aca="false">IF($A5="","",IFERROR($E5-$L5,""))</f>
        <v>3200000000</v>
      </c>
      <c r="P5" s="38" t="n">
        <f aca="false">IF($A5="","",COUNTIFS(PO!$D$4:$D$203,$A5,PO!$S$4:$S$203,"Đúng hạn")+COUNTIFS(PO!$D$4:$D$203,$A5,PO!$S$4:$S$203,"Giao trễ")+COUNTIFS(PO!$D$4:$D$203,$A5,PO!$S$4:$S$203,"Trễ hạn"))</f>
        <v>0</v>
      </c>
      <c r="Q5" s="38" t="n">
        <f aca="false">IF($A5="","",COUNTIFS(PO!$D$4:$D$203,$A5,PO!$S$4:$S$203,"Đúng hạn"))</f>
        <v>0</v>
      </c>
      <c r="R5" s="39" t="str">
        <f aca="false">IF($A5="","",IFERROR($Q5/$P5,""))</f>
        <v/>
      </c>
      <c r="S5" s="38" t="n">
        <f aca="false">IF($A5="","",SUMIFS('Thanh toán'!$H$4:$H$203,'Thanh toán'!$D$4:$D$203,$A5))</f>
        <v>0</v>
      </c>
      <c r="T5" s="38" t="n">
        <f aca="false">IF($A5="","",SUMIFS('Công nợ'!$I$4:$I$203,'Công nợ'!$B$4:$B$203,$A5))</f>
        <v>0</v>
      </c>
      <c r="U5" s="38" t="n">
        <f aca="false">IF($A5="","",SUMIFS('Công nợ'!$I$4:$I$203,'Công nợ'!$B$4:$B$203,$A5,'Công nợ'!$K$4:$K$203,"&gt;0"))</f>
        <v>0</v>
      </c>
    </row>
    <row r="6" customFormat="false" ht="15" hidden="false" customHeight="false" outlineLevel="0" collapsed="false">
      <c r="A6" s="37" t="str">
        <f aca="false">IF('Dự án'!$A6="","",'Dự án'!$A6)</f>
        <v/>
      </c>
      <c r="B6" s="37" t="str">
        <f aca="false">IF($A6="","",'Dự án'!$B6)</f>
        <v/>
      </c>
      <c r="C6" s="37" t="str">
        <f aca="false">IF($A6="","",'Dự án'!$C6)</f>
        <v/>
      </c>
      <c r="D6" s="37" t="str">
        <f aca="false">IF($A6="","",'Dự án'!$H6)</f>
        <v/>
      </c>
      <c r="E6" s="38" t="str">
        <f aca="false">IF($A6="","",'Dự án'!$G6)</f>
        <v/>
      </c>
      <c r="F6" s="38" t="str">
        <f aca="false">IF($A6="","",COUNTIFS('Check giá'!$C$4:$C$203,$A6))</f>
        <v/>
      </c>
      <c r="G6" s="38" t="str">
        <f aca="false">IF($A6="","",COUNTIFS('Check giá'!$C$4:$C$203,$A6,'Check giá'!$O$4:$O$203,"Đang xử lý")+COUNTIFS('Check giá'!$C$4:$C$203,$A6,'Check giá'!$O$4:$O$203,"Quá hạn chưa trả"))</f>
        <v/>
      </c>
      <c r="H6" s="38" t="str">
        <f aca="false">IF($A6="","",SUMIFS('Check giá'!$J$4:$J$203,'Check giá'!$C$4:$C$203,$A6))</f>
        <v/>
      </c>
      <c r="I6" s="38" t="str">
        <f aca="false">IF($A6="","",COUNTIFS(PR!$D$4:$D$203,$A6))</f>
        <v/>
      </c>
      <c r="J6" s="38" t="str">
        <f aca="false">IF($A6="","",SUMIFS(PR!$L$4:$L$203,PR!$D$4:$D$203,$A6))</f>
        <v/>
      </c>
      <c r="K6" s="38" t="str">
        <f aca="false">IF($A6="","",COUNTIFS(PO!$D$4:$D$203,$A6))</f>
        <v/>
      </c>
      <c r="L6" s="38" t="str">
        <f aca="false">IF($A6="","",SUMIFS(PO!$L$4:$L$203,PO!$D$4:$D$203,$A6))</f>
        <v/>
      </c>
      <c r="M6" s="38" t="str">
        <f aca="false">IF($A6="","",SUMIFS(PO!$N$4:$N$203,PO!$D$4:$D$203,$A6))</f>
        <v/>
      </c>
      <c r="N6" s="39" t="str">
        <f aca="false">IF($A6="","",IFERROR($L6/$E6,""))</f>
        <v/>
      </c>
      <c r="O6" s="38" t="str">
        <f aca="false">IF($A6="","",IFERROR($E6-$L6,""))</f>
        <v/>
      </c>
      <c r="P6" s="38" t="str">
        <f aca="false">IF($A6="","",COUNTIFS(PO!$D$4:$D$203,$A6,PO!$S$4:$S$203,"Đúng hạn")+COUNTIFS(PO!$D$4:$D$203,$A6,PO!$S$4:$S$203,"Giao trễ")+COUNTIFS(PO!$D$4:$D$203,$A6,PO!$S$4:$S$203,"Trễ hạn"))</f>
        <v/>
      </c>
      <c r="Q6" s="38" t="str">
        <f aca="false">IF($A6="","",COUNTIFS(PO!$D$4:$D$203,$A6,PO!$S$4:$S$203,"Đúng hạn"))</f>
        <v/>
      </c>
      <c r="R6" s="39" t="str">
        <f aca="false">IF($A6="","",IFERROR($Q6/$P6,""))</f>
        <v/>
      </c>
      <c r="S6" s="38" t="str">
        <f aca="false">IF($A6="","",SUMIFS('Thanh toán'!$H$4:$H$203,'Thanh toán'!$D$4:$D$203,$A6))</f>
        <v/>
      </c>
      <c r="T6" s="38" t="str">
        <f aca="false">IF($A6="","",SUMIFS('Công nợ'!$I$4:$I$203,'Công nợ'!$B$4:$B$203,$A6))</f>
        <v/>
      </c>
      <c r="U6" s="38" t="str">
        <f aca="false">IF($A6="","",SUMIFS('Công nợ'!$I$4:$I$203,'Công nợ'!$B$4:$B$203,$A6,'Công nợ'!$K$4:$K$203,"&gt;0"))</f>
        <v/>
      </c>
    </row>
    <row r="7" customFormat="false" ht="15" hidden="false" customHeight="false" outlineLevel="0" collapsed="false">
      <c r="A7" s="37" t="str">
        <f aca="false">IF('Dự án'!$A7="","",'Dự án'!$A7)</f>
        <v/>
      </c>
      <c r="B7" s="37" t="str">
        <f aca="false">IF($A7="","",'Dự án'!$B7)</f>
        <v/>
      </c>
      <c r="C7" s="37" t="str">
        <f aca="false">IF($A7="","",'Dự án'!$C7)</f>
        <v/>
      </c>
      <c r="D7" s="37" t="str">
        <f aca="false">IF($A7="","",'Dự án'!$H7)</f>
        <v/>
      </c>
      <c r="E7" s="38" t="str">
        <f aca="false">IF($A7="","",'Dự án'!$G7)</f>
        <v/>
      </c>
      <c r="F7" s="38" t="str">
        <f aca="false">IF($A7="","",COUNTIFS('Check giá'!$C$4:$C$203,$A7))</f>
        <v/>
      </c>
      <c r="G7" s="38" t="str">
        <f aca="false">IF($A7="","",COUNTIFS('Check giá'!$C$4:$C$203,$A7,'Check giá'!$O$4:$O$203,"Đang xử lý")+COUNTIFS('Check giá'!$C$4:$C$203,$A7,'Check giá'!$O$4:$O$203,"Quá hạn chưa trả"))</f>
        <v/>
      </c>
      <c r="H7" s="38" t="str">
        <f aca="false">IF($A7="","",SUMIFS('Check giá'!$J$4:$J$203,'Check giá'!$C$4:$C$203,$A7))</f>
        <v/>
      </c>
      <c r="I7" s="38" t="str">
        <f aca="false">IF($A7="","",COUNTIFS(PR!$D$4:$D$203,$A7))</f>
        <v/>
      </c>
      <c r="J7" s="38" t="str">
        <f aca="false">IF($A7="","",SUMIFS(PR!$L$4:$L$203,PR!$D$4:$D$203,$A7))</f>
        <v/>
      </c>
      <c r="K7" s="38" t="str">
        <f aca="false">IF($A7="","",COUNTIFS(PO!$D$4:$D$203,$A7))</f>
        <v/>
      </c>
      <c r="L7" s="38" t="str">
        <f aca="false">IF($A7="","",SUMIFS(PO!$L$4:$L$203,PO!$D$4:$D$203,$A7))</f>
        <v/>
      </c>
      <c r="M7" s="38" t="str">
        <f aca="false">IF($A7="","",SUMIFS(PO!$N$4:$N$203,PO!$D$4:$D$203,$A7))</f>
        <v/>
      </c>
      <c r="N7" s="39" t="str">
        <f aca="false">IF($A7="","",IFERROR($L7/$E7,""))</f>
        <v/>
      </c>
      <c r="O7" s="38" t="str">
        <f aca="false">IF($A7="","",IFERROR($E7-$L7,""))</f>
        <v/>
      </c>
      <c r="P7" s="38" t="str">
        <f aca="false">IF($A7="","",COUNTIFS(PO!$D$4:$D$203,$A7,PO!$S$4:$S$203,"Đúng hạn")+COUNTIFS(PO!$D$4:$D$203,$A7,PO!$S$4:$S$203,"Giao trễ")+COUNTIFS(PO!$D$4:$D$203,$A7,PO!$S$4:$S$203,"Trễ hạn"))</f>
        <v/>
      </c>
      <c r="Q7" s="38" t="str">
        <f aca="false">IF($A7="","",COUNTIFS(PO!$D$4:$D$203,$A7,PO!$S$4:$S$203,"Đúng hạn"))</f>
        <v/>
      </c>
      <c r="R7" s="39" t="str">
        <f aca="false">IF($A7="","",IFERROR($Q7/$P7,""))</f>
        <v/>
      </c>
      <c r="S7" s="38" t="str">
        <f aca="false">IF($A7="","",SUMIFS('Thanh toán'!$H$4:$H$203,'Thanh toán'!$D$4:$D$203,$A7))</f>
        <v/>
      </c>
      <c r="T7" s="38" t="str">
        <f aca="false">IF($A7="","",SUMIFS('Công nợ'!$I$4:$I$203,'Công nợ'!$B$4:$B$203,$A7))</f>
        <v/>
      </c>
      <c r="U7" s="38" t="str">
        <f aca="false">IF($A7="","",SUMIFS('Công nợ'!$I$4:$I$203,'Công nợ'!$B$4:$B$203,$A7,'Công nợ'!$K$4:$K$203,"&gt;0"))</f>
        <v/>
      </c>
    </row>
    <row r="8" customFormat="false" ht="15" hidden="false" customHeight="false" outlineLevel="0" collapsed="false">
      <c r="A8" s="37" t="str">
        <f aca="false">IF('Dự án'!$A8="","",'Dự án'!$A8)</f>
        <v/>
      </c>
      <c r="B8" s="37" t="str">
        <f aca="false">IF($A8="","",'Dự án'!$B8)</f>
        <v/>
      </c>
      <c r="C8" s="37" t="str">
        <f aca="false">IF($A8="","",'Dự án'!$C8)</f>
        <v/>
      </c>
      <c r="D8" s="37" t="str">
        <f aca="false">IF($A8="","",'Dự án'!$H8)</f>
        <v/>
      </c>
      <c r="E8" s="38" t="str">
        <f aca="false">IF($A8="","",'Dự án'!$G8)</f>
        <v/>
      </c>
      <c r="F8" s="38" t="str">
        <f aca="false">IF($A8="","",COUNTIFS('Check giá'!$C$4:$C$203,$A8))</f>
        <v/>
      </c>
      <c r="G8" s="38" t="str">
        <f aca="false">IF($A8="","",COUNTIFS('Check giá'!$C$4:$C$203,$A8,'Check giá'!$O$4:$O$203,"Đang xử lý")+COUNTIFS('Check giá'!$C$4:$C$203,$A8,'Check giá'!$O$4:$O$203,"Quá hạn chưa trả"))</f>
        <v/>
      </c>
      <c r="H8" s="38" t="str">
        <f aca="false">IF($A8="","",SUMIFS('Check giá'!$J$4:$J$203,'Check giá'!$C$4:$C$203,$A8))</f>
        <v/>
      </c>
      <c r="I8" s="38" t="str">
        <f aca="false">IF($A8="","",COUNTIFS(PR!$D$4:$D$203,$A8))</f>
        <v/>
      </c>
      <c r="J8" s="38" t="str">
        <f aca="false">IF($A8="","",SUMIFS(PR!$L$4:$L$203,PR!$D$4:$D$203,$A8))</f>
        <v/>
      </c>
      <c r="K8" s="38" t="str">
        <f aca="false">IF($A8="","",COUNTIFS(PO!$D$4:$D$203,$A8))</f>
        <v/>
      </c>
      <c r="L8" s="38" t="str">
        <f aca="false">IF($A8="","",SUMIFS(PO!$L$4:$L$203,PO!$D$4:$D$203,$A8))</f>
        <v/>
      </c>
      <c r="M8" s="38" t="str">
        <f aca="false">IF($A8="","",SUMIFS(PO!$N$4:$N$203,PO!$D$4:$D$203,$A8))</f>
        <v/>
      </c>
      <c r="N8" s="39" t="str">
        <f aca="false">IF($A8="","",IFERROR($L8/$E8,""))</f>
        <v/>
      </c>
      <c r="O8" s="38" t="str">
        <f aca="false">IF($A8="","",IFERROR($E8-$L8,""))</f>
        <v/>
      </c>
      <c r="P8" s="38" t="str">
        <f aca="false">IF($A8="","",COUNTIFS(PO!$D$4:$D$203,$A8,PO!$S$4:$S$203,"Đúng hạn")+COUNTIFS(PO!$D$4:$D$203,$A8,PO!$S$4:$S$203,"Giao trễ")+COUNTIFS(PO!$D$4:$D$203,$A8,PO!$S$4:$S$203,"Trễ hạn"))</f>
        <v/>
      </c>
      <c r="Q8" s="38" t="str">
        <f aca="false">IF($A8="","",COUNTIFS(PO!$D$4:$D$203,$A8,PO!$S$4:$S$203,"Đúng hạn"))</f>
        <v/>
      </c>
      <c r="R8" s="39" t="str">
        <f aca="false">IF($A8="","",IFERROR($Q8/$P8,""))</f>
        <v/>
      </c>
      <c r="S8" s="38" t="str">
        <f aca="false">IF($A8="","",SUMIFS('Thanh toán'!$H$4:$H$203,'Thanh toán'!$D$4:$D$203,$A8))</f>
        <v/>
      </c>
      <c r="T8" s="38" t="str">
        <f aca="false">IF($A8="","",SUMIFS('Công nợ'!$I$4:$I$203,'Công nợ'!$B$4:$B$203,$A8))</f>
        <v/>
      </c>
      <c r="U8" s="38" t="str">
        <f aca="false">IF($A8="","",SUMIFS('Công nợ'!$I$4:$I$203,'Công nợ'!$B$4:$B$203,$A8,'Công nợ'!$K$4:$K$203,"&gt;0"))</f>
        <v/>
      </c>
    </row>
    <row r="9" customFormat="false" ht="15" hidden="false" customHeight="false" outlineLevel="0" collapsed="false">
      <c r="A9" s="37" t="str">
        <f aca="false">IF('Dự án'!$A9="","",'Dự án'!$A9)</f>
        <v/>
      </c>
      <c r="B9" s="37" t="str">
        <f aca="false">IF($A9="","",'Dự án'!$B9)</f>
        <v/>
      </c>
      <c r="C9" s="37" t="str">
        <f aca="false">IF($A9="","",'Dự án'!$C9)</f>
        <v/>
      </c>
      <c r="D9" s="37" t="str">
        <f aca="false">IF($A9="","",'Dự án'!$H9)</f>
        <v/>
      </c>
      <c r="E9" s="38" t="str">
        <f aca="false">IF($A9="","",'Dự án'!$G9)</f>
        <v/>
      </c>
      <c r="F9" s="38" t="str">
        <f aca="false">IF($A9="","",COUNTIFS('Check giá'!$C$4:$C$203,$A9))</f>
        <v/>
      </c>
      <c r="G9" s="38" t="str">
        <f aca="false">IF($A9="","",COUNTIFS('Check giá'!$C$4:$C$203,$A9,'Check giá'!$O$4:$O$203,"Đang xử lý")+COUNTIFS('Check giá'!$C$4:$C$203,$A9,'Check giá'!$O$4:$O$203,"Quá hạn chưa trả"))</f>
        <v/>
      </c>
      <c r="H9" s="38" t="str">
        <f aca="false">IF($A9="","",SUMIFS('Check giá'!$J$4:$J$203,'Check giá'!$C$4:$C$203,$A9))</f>
        <v/>
      </c>
      <c r="I9" s="38" t="str">
        <f aca="false">IF($A9="","",COUNTIFS(PR!$D$4:$D$203,$A9))</f>
        <v/>
      </c>
      <c r="J9" s="38" t="str">
        <f aca="false">IF($A9="","",SUMIFS(PR!$L$4:$L$203,PR!$D$4:$D$203,$A9))</f>
        <v/>
      </c>
      <c r="K9" s="38" t="str">
        <f aca="false">IF($A9="","",COUNTIFS(PO!$D$4:$D$203,$A9))</f>
        <v/>
      </c>
      <c r="L9" s="38" t="str">
        <f aca="false">IF($A9="","",SUMIFS(PO!$L$4:$L$203,PO!$D$4:$D$203,$A9))</f>
        <v/>
      </c>
      <c r="M9" s="38" t="str">
        <f aca="false">IF($A9="","",SUMIFS(PO!$N$4:$N$203,PO!$D$4:$D$203,$A9))</f>
        <v/>
      </c>
      <c r="N9" s="39" t="str">
        <f aca="false">IF($A9="","",IFERROR($L9/$E9,""))</f>
        <v/>
      </c>
      <c r="O9" s="38" t="str">
        <f aca="false">IF($A9="","",IFERROR($E9-$L9,""))</f>
        <v/>
      </c>
      <c r="P9" s="38" t="str">
        <f aca="false">IF($A9="","",COUNTIFS(PO!$D$4:$D$203,$A9,PO!$S$4:$S$203,"Đúng hạn")+COUNTIFS(PO!$D$4:$D$203,$A9,PO!$S$4:$S$203,"Giao trễ")+COUNTIFS(PO!$D$4:$D$203,$A9,PO!$S$4:$S$203,"Trễ hạn"))</f>
        <v/>
      </c>
      <c r="Q9" s="38" t="str">
        <f aca="false">IF($A9="","",COUNTIFS(PO!$D$4:$D$203,$A9,PO!$S$4:$S$203,"Đúng hạn"))</f>
        <v/>
      </c>
      <c r="R9" s="39" t="str">
        <f aca="false">IF($A9="","",IFERROR($Q9/$P9,""))</f>
        <v/>
      </c>
      <c r="S9" s="38" t="str">
        <f aca="false">IF($A9="","",SUMIFS('Thanh toán'!$H$4:$H$203,'Thanh toán'!$D$4:$D$203,$A9))</f>
        <v/>
      </c>
      <c r="T9" s="38" t="str">
        <f aca="false">IF($A9="","",SUMIFS('Công nợ'!$I$4:$I$203,'Công nợ'!$B$4:$B$203,$A9))</f>
        <v/>
      </c>
      <c r="U9" s="38" t="str">
        <f aca="false">IF($A9="","",SUMIFS('Công nợ'!$I$4:$I$203,'Công nợ'!$B$4:$B$203,$A9,'Công nợ'!$K$4:$K$203,"&gt;0"))</f>
        <v/>
      </c>
    </row>
    <row r="10" customFormat="false" ht="15" hidden="false" customHeight="false" outlineLevel="0" collapsed="false">
      <c r="A10" s="37" t="str">
        <f aca="false">IF('Dự án'!$A10="","",'Dự án'!$A10)</f>
        <v/>
      </c>
      <c r="B10" s="37" t="str">
        <f aca="false">IF($A10="","",'Dự án'!$B10)</f>
        <v/>
      </c>
      <c r="C10" s="37" t="str">
        <f aca="false">IF($A10="","",'Dự án'!$C10)</f>
        <v/>
      </c>
      <c r="D10" s="37" t="str">
        <f aca="false">IF($A10="","",'Dự án'!$H10)</f>
        <v/>
      </c>
      <c r="E10" s="38" t="str">
        <f aca="false">IF($A10="","",'Dự án'!$G10)</f>
        <v/>
      </c>
      <c r="F10" s="38" t="str">
        <f aca="false">IF($A10="","",COUNTIFS('Check giá'!$C$4:$C$203,$A10))</f>
        <v/>
      </c>
      <c r="G10" s="38" t="str">
        <f aca="false">IF($A10="","",COUNTIFS('Check giá'!$C$4:$C$203,$A10,'Check giá'!$O$4:$O$203,"Đang xử lý")+COUNTIFS('Check giá'!$C$4:$C$203,$A10,'Check giá'!$O$4:$O$203,"Quá hạn chưa trả"))</f>
        <v/>
      </c>
      <c r="H10" s="38" t="str">
        <f aca="false">IF($A10="","",SUMIFS('Check giá'!$J$4:$J$203,'Check giá'!$C$4:$C$203,$A10))</f>
        <v/>
      </c>
      <c r="I10" s="38" t="str">
        <f aca="false">IF($A10="","",COUNTIFS(PR!$D$4:$D$203,$A10))</f>
        <v/>
      </c>
      <c r="J10" s="38" t="str">
        <f aca="false">IF($A10="","",SUMIFS(PR!$L$4:$L$203,PR!$D$4:$D$203,$A10))</f>
        <v/>
      </c>
      <c r="K10" s="38" t="str">
        <f aca="false">IF($A10="","",COUNTIFS(PO!$D$4:$D$203,$A10))</f>
        <v/>
      </c>
      <c r="L10" s="38" t="str">
        <f aca="false">IF($A10="","",SUMIFS(PO!$L$4:$L$203,PO!$D$4:$D$203,$A10))</f>
        <v/>
      </c>
      <c r="M10" s="38" t="str">
        <f aca="false">IF($A10="","",SUMIFS(PO!$N$4:$N$203,PO!$D$4:$D$203,$A10))</f>
        <v/>
      </c>
      <c r="N10" s="39" t="str">
        <f aca="false">IF($A10="","",IFERROR($L10/$E10,""))</f>
        <v/>
      </c>
      <c r="O10" s="38" t="str">
        <f aca="false">IF($A10="","",IFERROR($E10-$L10,""))</f>
        <v/>
      </c>
      <c r="P10" s="38" t="str">
        <f aca="false">IF($A10="","",COUNTIFS(PO!$D$4:$D$203,$A10,PO!$S$4:$S$203,"Đúng hạn")+COUNTIFS(PO!$D$4:$D$203,$A10,PO!$S$4:$S$203,"Giao trễ")+COUNTIFS(PO!$D$4:$D$203,$A10,PO!$S$4:$S$203,"Trễ hạn"))</f>
        <v/>
      </c>
      <c r="Q10" s="38" t="str">
        <f aca="false">IF($A10="","",COUNTIFS(PO!$D$4:$D$203,$A10,PO!$S$4:$S$203,"Đúng hạn"))</f>
        <v/>
      </c>
      <c r="R10" s="39" t="str">
        <f aca="false">IF($A10="","",IFERROR($Q10/$P10,""))</f>
        <v/>
      </c>
      <c r="S10" s="38" t="str">
        <f aca="false">IF($A10="","",SUMIFS('Thanh toán'!$H$4:$H$203,'Thanh toán'!$D$4:$D$203,$A10))</f>
        <v/>
      </c>
      <c r="T10" s="38" t="str">
        <f aca="false">IF($A10="","",SUMIFS('Công nợ'!$I$4:$I$203,'Công nợ'!$B$4:$B$203,$A10))</f>
        <v/>
      </c>
      <c r="U10" s="38" t="str">
        <f aca="false">IF($A10="","",SUMIFS('Công nợ'!$I$4:$I$203,'Công nợ'!$B$4:$B$203,$A10,'Công nợ'!$K$4:$K$203,"&gt;0"))</f>
        <v/>
      </c>
    </row>
    <row r="11" customFormat="false" ht="15" hidden="false" customHeight="false" outlineLevel="0" collapsed="false">
      <c r="A11" s="37" t="str">
        <f aca="false">IF('Dự án'!$A11="","",'Dự án'!$A11)</f>
        <v/>
      </c>
      <c r="B11" s="37" t="str">
        <f aca="false">IF($A11="","",'Dự án'!$B11)</f>
        <v/>
      </c>
      <c r="C11" s="37" t="str">
        <f aca="false">IF($A11="","",'Dự án'!$C11)</f>
        <v/>
      </c>
      <c r="D11" s="37" t="str">
        <f aca="false">IF($A11="","",'Dự án'!$H11)</f>
        <v/>
      </c>
      <c r="E11" s="38" t="str">
        <f aca="false">IF($A11="","",'Dự án'!$G11)</f>
        <v/>
      </c>
      <c r="F11" s="38" t="str">
        <f aca="false">IF($A11="","",COUNTIFS('Check giá'!$C$4:$C$203,$A11))</f>
        <v/>
      </c>
      <c r="G11" s="38" t="str">
        <f aca="false">IF($A11="","",COUNTIFS('Check giá'!$C$4:$C$203,$A11,'Check giá'!$O$4:$O$203,"Đang xử lý")+COUNTIFS('Check giá'!$C$4:$C$203,$A11,'Check giá'!$O$4:$O$203,"Quá hạn chưa trả"))</f>
        <v/>
      </c>
      <c r="H11" s="38" t="str">
        <f aca="false">IF($A11="","",SUMIFS('Check giá'!$J$4:$J$203,'Check giá'!$C$4:$C$203,$A11))</f>
        <v/>
      </c>
      <c r="I11" s="38" t="str">
        <f aca="false">IF($A11="","",COUNTIFS(PR!$D$4:$D$203,$A11))</f>
        <v/>
      </c>
      <c r="J11" s="38" t="str">
        <f aca="false">IF($A11="","",SUMIFS(PR!$L$4:$L$203,PR!$D$4:$D$203,$A11))</f>
        <v/>
      </c>
      <c r="K11" s="38" t="str">
        <f aca="false">IF($A11="","",COUNTIFS(PO!$D$4:$D$203,$A11))</f>
        <v/>
      </c>
      <c r="L11" s="38" t="str">
        <f aca="false">IF($A11="","",SUMIFS(PO!$L$4:$L$203,PO!$D$4:$D$203,$A11))</f>
        <v/>
      </c>
      <c r="M11" s="38" t="str">
        <f aca="false">IF($A11="","",SUMIFS(PO!$N$4:$N$203,PO!$D$4:$D$203,$A11))</f>
        <v/>
      </c>
      <c r="N11" s="39" t="str">
        <f aca="false">IF($A11="","",IFERROR($L11/$E11,""))</f>
        <v/>
      </c>
      <c r="O11" s="38" t="str">
        <f aca="false">IF($A11="","",IFERROR($E11-$L11,""))</f>
        <v/>
      </c>
      <c r="P11" s="38" t="str">
        <f aca="false">IF($A11="","",COUNTIFS(PO!$D$4:$D$203,$A11,PO!$S$4:$S$203,"Đúng hạn")+COUNTIFS(PO!$D$4:$D$203,$A11,PO!$S$4:$S$203,"Giao trễ")+COUNTIFS(PO!$D$4:$D$203,$A11,PO!$S$4:$S$203,"Trễ hạn"))</f>
        <v/>
      </c>
      <c r="Q11" s="38" t="str">
        <f aca="false">IF($A11="","",COUNTIFS(PO!$D$4:$D$203,$A11,PO!$S$4:$S$203,"Đúng hạn"))</f>
        <v/>
      </c>
      <c r="R11" s="39" t="str">
        <f aca="false">IF($A11="","",IFERROR($Q11/$P11,""))</f>
        <v/>
      </c>
      <c r="S11" s="38" t="str">
        <f aca="false">IF($A11="","",SUMIFS('Thanh toán'!$H$4:$H$203,'Thanh toán'!$D$4:$D$203,$A11))</f>
        <v/>
      </c>
      <c r="T11" s="38" t="str">
        <f aca="false">IF($A11="","",SUMIFS('Công nợ'!$I$4:$I$203,'Công nợ'!$B$4:$B$203,$A11))</f>
        <v/>
      </c>
      <c r="U11" s="38" t="str">
        <f aca="false">IF($A11="","",SUMIFS('Công nợ'!$I$4:$I$203,'Công nợ'!$B$4:$B$203,$A11,'Công nợ'!$K$4:$K$203,"&gt;0"))</f>
        <v/>
      </c>
    </row>
    <row r="12" customFormat="false" ht="15" hidden="false" customHeight="false" outlineLevel="0" collapsed="false">
      <c r="A12" s="37" t="str">
        <f aca="false">IF('Dự án'!$A12="","",'Dự án'!$A12)</f>
        <v/>
      </c>
      <c r="B12" s="37" t="str">
        <f aca="false">IF($A12="","",'Dự án'!$B12)</f>
        <v/>
      </c>
      <c r="C12" s="37" t="str">
        <f aca="false">IF($A12="","",'Dự án'!$C12)</f>
        <v/>
      </c>
      <c r="D12" s="37" t="str">
        <f aca="false">IF($A12="","",'Dự án'!$H12)</f>
        <v/>
      </c>
      <c r="E12" s="38" t="str">
        <f aca="false">IF($A12="","",'Dự án'!$G12)</f>
        <v/>
      </c>
      <c r="F12" s="38" t="str">
        <f aca="false">IF($A12="","",COUNTIFS('Check giá'!$C$4:$C$203,$A12))</f>
        <v/>
      </c>
      <c r="G12" s="38" t="str">
        <f aca="false">IF($A12="","",COUNTIFS('Check giá'!$C$4:$C$203,$A12,'Check giá'!$O$4:$O$203,"Đang xử lý")+COUNTIFS('Check giá'!$C$4:$C$203,$A12,'Check giá'!$O$4:$O$203,"Quá hạn chưa trả"))</f>
        <v/>
      </c>
      <c r="H12" s="38" t="str">
        <f aca="false">IF($A12="","",SUMIFS('Check giá'!$J$4:$J$203,'Check giá'!$C$4:$C$203,$A12))</f>
        <v/>
      </c>
      <c r="I12" s="38" t="str">
        <f aca="false">IF($A12="","",COUNTIFS(PR!$D$4:$D$203,$A12))</f>
        <v/>
      </c>
      <c r="J12" s="38" t="str">
        <f aca="false">IF($A12="","",SUMIFS(PR!$L$4:$L$203,PR!$D$4:$D$203,$A12))</f>
        <v/>
      </c>
      <c r="K12" s="38" t="str">
        <f aca="false">IF($A12="","",COUNTIFS(PO!$D$4:$D$203,$A12))</f>
        <v/>
      </c>
      <c r="L12" s="38" t="str">
        <f aca="false">IF($A12="","",SUMIFS(PO!$L$4:$L$203,PO!$D$4:$D$203,$A12))</f>
        <v/>
      </c>
      <c r="M12" s="38" t="str">
        <f aca="false">IF($A12="","",SUMIFS(PO!$N$4:$N$203,PO!$D$4:$D$203,$A12))</f>
        <v/>
      </c>
      <c r="N12" s="39" t="str">
        <f aca="false">IF($A12="","",IFERROR($L12/$E12,""))</f>
        <v/>
      </c>
      <c r="O12" s="38" t="str">
        <f aca="false">IF($A12="","",IFERROR($E12-$L12,""))</f>
        <v/>
      </c>
      <c r="P12" s="38" t="str">
        <f aca="false">IF($A12="","",COUNTIFS(PO!$D$4:$D$203,$A12,PO!$S$4:$S$203,"Đúng hạn")+COUNTIFS(PO!$D$4:$D$203,$A12,PO!$S$4:$S$203,"Giao trễ")+COUNTIFS(PO!$D$4:$D$203,$A12,PO!$S$4:$S$203,"Trễ hạn"))</f>
        <v/>
      </c>
      <c r="Q12" s="38" t="str">
        <f aca="false">IF($A12="","",COUNTIFS(PO!$D$4:$D$203,$A12,PO!$S$4:$S$203,"Đúng hạn"))</f>
        <v/>
      </c>
      <c r="R12" s="39" t="str">
        <f aca="false">IF($A12="","",IFERROR($Q12/$P12,""))</f>
        <v/>
      </c>
      <c r="S12" s="38" t="str">
        <f aca="false">IF($A12="","",SUMIFS('Thanh toán'!$H$4:$H$203,'Thanh toán'!$D$4:$D$203,$A12))</f>
        <v/>
      </c>
      <c r="T12" s="38" t="str">
        <f aca="false">IF($A12="","",SUMIFS('Công nợ'!$I$4:$I$203,'Công nợ'!$B$4:$B$203,$A12))</f>
        <v/>
      </c>
      <c r="U12" s="38" t="str">
        <f aca="false">IF($A12="","",SUMIFS('Công nợ'!$I$4:$I$203,'Công nợ'!$B$4:$B$203,$A12,'Công nợ'!$K$4:$K$203,"&gt;0"))</f>
        <v/>
      </c>
    </row>
    <row r="13" customFormat="false" ht="15" hidden="false" customHeight="false" outlineLevel="0" collapsed="false">
      <c r="A13" s="37" t="str">
        <f aca="false">IF('Dự án'!$A13="","",'Dự án'!$A13)</f>
        <v/>
      </c>
      <c r="B13" s="37" t="str">
        <f aca="false">IF($A13="","",'Dự án'!$B13)</f>
        <v/>
      </c>
      <c r="C13" s="37" t="str">
        <f aca="false">IF($A13="","",'Dự án'!$C13)</f>
        <v/>
      </c>
      <c r="D13" s="37" t="str">
        <f aca="false">IF($A13="","",'Dự án'!$H13)</f>
        <v/>
      </c>
      <c r="E13" s="38" t="str">
        <f aca="false">IF($A13="","",'Dự án'!$G13)</f>
        <v/>
      </c>
      <c r="F13" s="38" t="str">
        <f aca="false">IF($A13="","",COUNTIFS('Check giá'!$C$4:$C$203,$A13))</f>
        <v/>
      </c>
      <c r="G13" s="38" t="str">
        <f aca="false">IF($A13="","",COUNTIFS('Check giá'!$C$4:$C$203,$A13,'Check giá'!$O$4:$O$203,"Đang xử lý")+COUNTIFS('Check giá'!$C$4:$C$203,$A13,'Check giá'!$O$4:$O$203,"Quá hạn chưa trả"))</f>
        <v/>
      </c>
      <c r="H13" s="38" t="str">
        <f aca="false">IF($A13="","",SUMIFS('Check giá'!$J$4:$J$203,'Check giá'!$C$4:$C$203,$A13))</f>
        <v/>
      </c>
      <c r="I13" s="38" t="str">
        <f aca="false">IF($A13="","",COUNTIFS(PR!$D$4:$D$203,$A13))</f>
        <v/>
      </c>
      <c r="J13" s="38" t="str">
        <f aca="false">IF($A13="","",SUMIFS(PR!$L$4:$L$203,PR!$D$4:$D$203,$A13))</f>
        <v/>
      </c>
      <c r="K13" s="38" t="str">
        <f aca="false">IF($A13="","",COUNTIFS(PO!$D$4:$D$203,$A13))</f>
        <v/>
      </c>
      <c r="L13" s="38" t="str">
        <f aca="false">IF($A13="","",SUMIFS(PO!$L$4:$L$203,PO!$D$4:$D$203,$A13))</f>
        <v/>
      </c>
      <c r="M13" s="38" t="str">
        <f aca="false">IF($A13="","",SUMIFS(PO!$N$4:$N$203,PO!$D$4:$D$203,$A13))</f>
        <v/>
      </c>
      <c r="N13" s="39" t="str">
        <f aca="false">IF($A13="","",IFERROR($L13/$E13,""))</f>
        <v/>
      </c>
      <c r="O13" s="38" t="str">
        <f aca="false">IF($A13="","",IFERROR($E13-$L13,""))</f>
        <v/>
      </c>
      <c r="P13" s="38" t="str">
        <f aca="false">IF($A13="","",COUNTIFS(PO!$D$4:$D$203,$A13,PO!$S$4:$S$203,"Đúng hạn")+COUNTIFS(PO!$D$4:$D$203,$A13,PO!$S$4:$S$203,"Giao trễ")+COUNTIFS(PO!$D$4:$D$203,$A13,PO!$S$4:$S$203,"Trễ hạn"))</f>
        <v/>
      </c>
      <c r="Q13" s="38" t="str">
        <f aca="false">IF($A13="","",COUNTIFS(PO!$D$4:$D$203,$A13,PO!$S$4:$S$203,"Đúng hạn"))</f>
        <v/>
      </c>
      <c r="R13" s="39" t="str">
        <f aca="false">IF($A13="","",IFERROR($Q13/$P13,""))</f>
        <v/>
      </c>
      <c r="S13" s="38" t="str">
        <f aca="false">IF($A13="","",SUMIFS('Thanh toán'!$H$4:$H$203,'Thanh toán'!$D$4:$D$203,$A13))</f>
        <v/>
      </c>
      <c r="T13" s="38" t="str">
        <f aca="false">IF($A13="","",SUMIFS('Công nợ'!$I$4:$I$203,'Công nợ'!$B$4:$B$203,$A13))</f>
        <v/>
      </c>
      <c r="U13" s="38" t="str">
        <f aca="false">IF($A13="","",SUMIFS('Công nợ'!$I$4:$I$203,'Công nợ'!$B$4:$B$203,$A13,'Công nợ'!$K$4:$K$203,"&gt;0"))</f>
        <v/>
      </c>
    </row>
    <row r="14" customFormat="false" ht="15" hidden="false" customHeight="false" outlineLevel="0" collapsed="false">
      <c r="A14" s="37" t="str">
        <f aca="false">IF('Dự án'!$A14="","",'Dự án'!$A14)</f>
        <v/>
      </c>
      <c r="B14" s="37" t="str">
        <f aca="false">IF($A14="","",'Dự án'!$B14)</f>
        <v/>
      </c>
      <c r="C14" s="37" t="str">
        <f aca="false">IF($A14="","",'Dự án'!$C14)</f>
        <v/>
      </c>
      <c r="D14" s="37" t="str">
        <f aca="false">IF($A14="","",'Dự án'!$H14)</f>
        <v/>
      </c>
      <c r="E14" s="38" t="str">
        <f aca="false">IF($A14="","",'Dự án'!$G14)</f>
        <v/>
      </c>
      <c r="F14" s="38" t="str">
        <f aca="false">IF($A14="","",COUNTIFS('Check giá'!$C$4:$C$203,$A14))</f>
        <v/>
      </c>
      <c r="G14" s="38" t="str">
        <f aca="false">IF($A14="","",COUNTIFS('Check giá'!$C$4:$C$203,$A14,'Check giá'!$O$4:$O$203,"Đang xử lý")+COUNTIFS('Check giá'!$C$4:$C$203,$A14,'Check giá'!$O$4:$O$203,"Quá hạn chưa trả"))</f>
        <v/>
      </c>
      <c r="H14" s="38" t="str">
        <f aca="false">IF($A14="","",SUMIFS('Check giá'!$J$4:$J$203,'Check giá'!$C$4:$C$203,$A14))</f>
        <v/>
      </c>
      <c r="I14" s="38" t="str">
        <f aca="false">IF($A14="","",COUNTIFS(PR!$D$4:$D$203,$A14))</f>
        <v/>
      </c>
      <c r="J14" s="38" t="str">
        <f aca="false">IF($A14="","",SUMIFS(PR!$L$4:$L$203,PR!$D$4:$D$203,$A14))</f>
        <v/>
      </c>
      <c r="K14" s="38" t="str">
        <f aca="false">IF($A14="","",COUNTIFS(PO!$D$4:$D$203,$A14))</f>
        <v/>
      </c>
      <c r="L14" s="38" t="str">
        <f aca="false">IF($A14="","",SUMIFS(PO!$L$4:$L$203,PO!$D$4:$D$203,$A14))</f>
        <v/>
      </c>
      <c r="M14" s="38" t="str">
        <f aca="false">IF($A14="","",SUMIFS(PO!$N$4:$N$203,PO!$D$4:$D$203,$A14))</f>
        <v/>
      </c>
      <c r="N14" s="39" t="str">
        <f aca="false">IF($A14="","",IFERROR($L14/$E14,""))</f>
        <v/>
      </c>
      <c r="O14" s="38" t="str">
        <f aca="false">IF($A14="","",IFERROR($E14-$L14,""))</f>
        <v/>
      </c>
      <c r="P14" s="38" t="str">
        <f aca="false">IF($A14="","",COUNTIFS(PO!$D$4:$D$203,$A14,PO!$S$4:$S$203,"Đúng hạn")+COUNTIFS(PO!$D$4:$D$203,$A14,PO!$S$4:$S$203,"Giao trễ")+COUNTIFS(PO!$D$4:$D$203,$A14,PO!$S$4:$S$203,"Trễ hạn"))</f>
        <v/>
      </c>
      <c r="Q14" s="38" t="str">
        <f aca="false">IF($A14="","",COUNTIFS(PO!$D$4:$D$203,$A14,PO!$S$4:$S$203,"Đúng hạn"))</f>
        <v/>
      </c>
      <c r="R14" s="39" t="str">
        <f aca="false">IF($A14="","",IFERROR($Q14/$P14,""))</f>
        <v/>
      </c>
      <c r="S14" s="38" t="str">
        <f aca="false">IF($A14="","",SUMIFS('Thanh toán'!$H$4:$H$203,'Thanh toán'!$D$4:$D$203,$A14))</f>
        <v/>
      </c>
      <c r="T14" s="38" t="str">
        <f aca="false">IF($A14="","",SUMIFS('Công nợ'!$I$4:$I$203,'Công nợ'!$B$4:$B$203,$A14))</f>
        <v/>
      </c>
      <c r="U14" s="38" t="str">
        <f aca="false">IF($A14="","",SUMIFS('Công nợ'!$I$4:$I$203,'Công nợ'!$B$4:$B$203,$A14,'Công nợ'!$K$4:$K$203,"&gt;0"))</f>
        <v/>
      </c>
    </row>
    <row r="15" customFormat="false" ht="15" hidden="false" customHeight="false" outlineLevel="0" collapsed="false">
      <c r="A15" s="37" t="str">
        <f aca="false">IF('Dự án'!$A15="","",'Dự án'!$A15)</f>
        <v/>
      </c>
      <c r="B15" s="37" t="str">
        <f aca="false">IF($A15="","",'Dự án'!$B15)</f>
        <v/>
      </c>
      <c r="C15" s="37" t="str">
        <f aca="false">IF($A15="","",'Dự án'!$C15)</f>
        <v/>
      </c>
      <c r="D15" s="37" t="str">
        <f aca="false">IF($A15="","",'Dự án'!$H15)</f>
        <v/>
      </c>
      <c r="E15" s="38" t="str">
        <f aca="false">IF($A15="","",'Dự án'!$G15)</f>
        <v/>
      </c>
      <c r="F15" s="38" t="str">
        <f aca="false">IF($A15="","",COUNTIFS('Check giá'!$C$4:$C$203,$A15))</f>
        <v/>
      </c>
      <c r="G15" s="38" t="str">
        <f aca="false">IF($A15="","",COUNTIFS('Check giá'!$C$4:$C$203,$A15,'Check giá'!$O$4:$O$203,"Đang xử lý")+COUNTIFS('Check giá'!$C$4:$C$203,$A15,'Check giá'!$O$4:$O$203,"Quá hạn chưa trả"))</f>
        <v/>
      </c>
      <c r="H15" s="38" t="str">
        <f aca="false">IF($A15="","",SUMIFS('Check giá'!$J$4:$J$203,'Check giá'!$C$4:$C$203,$A15))</f>
        <v/>
      </c>
      <c r="I15" s="38" t="str">
        <f aca="false">IF($A15="","",COUNTIFS(PR!$D$4:$D$203,$A15))</f>
        <v/>
      </c>
      <c r="J15" s="38" t="str">
        <f aca="false">IF($A15="","",SUMIFS(PR!$L$4:$L$203,PR!$D$4:$D$203,$A15))</f>
        <v/>
      </c>
      <c r="K15" s="38" t="str">
        <f aca="false">IF($A15="","",COUNTIFS(PO!$D$4:$D$203,$A15))</f>
        <v/>
      </c>
      <c r="L15" s="38" t="str">
        <f aca="false">IF($A15="","",SUMIFS(PO!$L$4:$L$203,PO!$D$4:$D$203,$A15))</f>
        <v/>
      </c>
      <c r="M15" s="38" t="str">
        <f aca="false">IF($A15="","",SUMIFS(PO!$N$4:$N$203,PO!$D$4:$D$203,$A15))</f>
        <v/>
      </c>
      <c r="N15" s="39" t="str">
        <f aca="false">IF($A15="","",IFERROR($L15/$E15,""))</f>
        <v/>
      </c>
      <c r="O15" s="38" t="str">
        <f aca="false">IF($A15="","",IFERROR($E15-$L15,""))</f>
        <v/>
      </c>
      <c r="P15" s="38" t="str">
        <f aca="false">IF($A15="","",COUNTIFS(PO!$D$4:$D$203,$A15,PO!$S$4:$S$203,"Đúng hạn")+COUNTIFS(PO!$D$4:$D$203,$A15,PO!$S$4:$S$203,"Giao trễ")+COUNTIFS(PO!$D$4:$D$203,$A15,PO!$S$4:$S$203,"Trễ hạn"))</f>
        <v/>
      </c>
      <c r="Q15" s="38" t="str">
        <f aca="false">IF($A15="","",COUNTIFS(PO!$D$4:$D$203,$A15,PO!$S$4:$S$203,"Đúng hạn"))</f>
        <v/>
      </c>
      <c r="R15" s="39" t="str">
        <f aca="false">IF($A15="","",IFERROR($Q15/$P15,""))</f>
        <v/>
      </c>
      <c r="S15" s="38" t="str">
        <f aca="false">IF($A15="","",SUMIFS('Thanh toán'!$H$4:$H$203,'Thanh toán'!$D$4:$D$203,$A15))</f>
        <v/>
      </c>
      <c r="T15" s="38" t="str">
        <f aca="false">IF($A15="","",SUMIFS('Công nợ'!$I$4:$I$203,'Công nợ'!$B$4:$B$203,$A15))</f>
        <v/>
      </c>
      <c r="U15" s="38" t="str">
        <f aca="false">IF($A15="","",SUMIFS('Công nợ'!$I$4:$I$203,'Công nợ'!$B$4:$B$203,$A15,'Công nợ'!$K$4:$K$203,"&gt;0"))</f>
        <v/>
      </c>
    </row>
    <row r="16" customFormat="false" ht="15" hidden="false" customHeight="false" outlineLevel="0" collapsed="false">
      <c r="A16" s="37" t="str">
        <f aca="false">IF('Dự án'!$A16="","",'Dự án'!$A16)</f>
        <v/>
      </c>
      <c r="B16" s="37" t="str">
        <f aca="false">IF($A16="","",'Dự án'!$B16)</f>
        <v/>
      </c>
      <c r="C16" s="37" t="str">
        <f aca="false">IF($A16="","",'Dự án'!$C16)</f>
        <v/>
      </c>
      <c r="D16" s="37" t="str">
        <f aca="false">IF($A16="","",'Dự án'!$H16)</f>
        <v/>
      </c>
      <c r="E16" s="38" t="str">
        <f aca="false">IF($A16="","",'Dự án'!$G16)</f>
        <v/>
      </c>
      <c r="F16" s="38" t="str">
        <f aca="false">IF($A16="","",COUNTIFS('Check giá'!$C$4:$C$203,$A16))</f>
        <v/>
      </c>
      <c r="G16" s="38" t="str">
        <f aca="false">IF($A16="","",COUNTIFS('Check giá'!$C$4:$C$203,$A16,'Check giá'!$O$4:$O$203,"Đang xử lý")+COUNTIFS('Check giá'!$C$4:$C$203,$A16,'Check giá'!$O$4:$O$203,"Quá hạn chưa trả"))</f>
        <v/>
      </c>
      <c r="H16" s="38" t="str">
        <f aca="false">IF($A16="","",SUMIFS('Check giá'!$J$4:$J$203,'Check giá'!$C$4:$C$203,$A16))</f>
        <v/>
      </c>
      <c r="I16" s="38" t="str">
        <f aca="false">IF($A16="","",COUNTIFS(PR!$D$4:$D$203,$A16))</f>
        <v/>
      </c>
      <c r="J16" s="38" t="str">
        <f aca="false">IF($A16="","",SUMIFS(PR!$L$4:$L$203,PR!$D$4:$D$203,$A16))</f>
        <v/>
      </c>
      <c r="K16" s="38" t="str">
        <f aca="false">IF($A16="","",COUNTIFS(PO!$D$4:$D$203,$A16))</f>
        <v/>
      </c>
      <c r="L16" s="38" t="str">
        <f aca="false">IF($A16="","",SUMIFS(PO!$L$4:$L$203,PO!$D$4:$D$203,$A16))</f>
        <v/>
      </c>
      <c r="M16" s="38" t="str">
        <f aca="false">IF($A16="","",SUMIFS(PO!$N$4:$N$203,PO!$D$4:$D$203,$A16))</f>
        <v/>
      </c>
      <c r="N16" s="39" t="str">
        <f aca="false">IF($A16="","",IFERROR($L16/$E16,""))</f>
        <v/>
      </c>
      <c r="O16" s="38" t="str">
        <f aca="false">IF($A16="","",IFERROR($E16-$L16,""))</f>
        <v/>
      </c>
      <c r="P16" s="38" t="str">
        <f aca="false">IF($A16="","",COUNTIFS(PO!$D$4:$D$203,$A16,PO!$S$4:$S$203,"Đúng hạn")+COUNTIFS(PO!$D$4:$D$203,$A16,PO!$S$4:$S$203,"Giao trễ")+COUNTIFS(PO!$D$4:$D$203,$A16,PO!$S$4:$S$203,"Trễ hạn"))</f>
        <v/>
      </c>
      <c r="Q16" s="38" t="str">
        <f aca="false">IF($A16="","",COUNTIFS(PO!$D$4:$D$203,$A16,PO!$S$4:$S$203,"Đúng hạn"))</f>
        <v/>
      </c>
      <c r="R16" s="39" t="str">
        <f aca="false">IF($A16="","",IFERROR($Q16/$P16,""))</f>
        <v/>
      </c>
      <c r="S16" s="38" t="str">
        <f aca="false">IF($A16="","",SUMIFS('Thanh toán'!$H$4:$H$203,'Thanh toán'!$D$4:$D$203,$A16))</f>
        <v/>
      </c>
      <c r="T16" s="38" t="str">
        <f aca="false">IF($A16="","",SUMIFS('Công nợ'!$I$4:$I$203,'Công nợ'!$B$4:$B$203,$A16))</f>
        <v/>
      </c>
      <c r="U16" s="38" t="str">
        <f aca="false">IF($A16="","",SUMIFS('Công nợ'!$I$4:$I$203,'Công nợ'!$B$4:$B$203,$A16,'Công nợ'!$K$4:$K$203,"&gt;0"))</f>
        <v/>
      </c>
    </row>
    <row r="17" customFormat="false" ht="15" hidden="false" customHeight="false" outlineLevel="0" collapsed="false">
      <c r="A17" s="37" t="str">
        <f aca="false">IF('Dự án'!$A17="","",'Dự án'!$A17)</f>
        <v/>
      </c>
      <c r="B17" s="37" t="str">
        <f aca="false">IF($A17="","",'Dự án'!$B17)</f>
        <v/>
      </c>
      <c r="C17" s="37" t="str">
        <f aca="false">IF($A17="","",'Dự án'!$C17)</f>
        <v/>
      </c>
      <c r="D17" s="37" t="str">
        <f aca="false">IF($A17="","",'Dự án'!$H17)</f>
        <v/>
      </c>
      <c r="E17" s="38" t="str">
        <f aca="false">IF($A17="","",'Dự án'!$G17)</f>
        <v/>
      </c>
      <c r="F17" s="38" t="str">
        <f aca="false">IF($A17="","",COUNTIFS('Check giá'!$C$4:$C$203,$A17))</f>
        <v/>
      </c>
      <c r="G17" s="38" t="str">
        <f aca="false">IF($A17="","",COUNTIFS('Check giá'!$C$4:$C$203,$A17,'Check giá'!$O$4:$O$203,"Đang xử lý")+COUNTIFS('Check giá'!$C$4:$C$203,$A17,'Check giá'!$O$4:$O$203,"Quá hạn chưa trả"))</f>
        <v/>
      </c>
      <c r="H17" s="38" t="str">
        <f aca="false">IF($A17="","",SUMIFS('Check giá'!$J$4:$J$203,'Check giá'!$C$4:$C$203,$A17))</f>
        <v/>
      </c>
      <c r="I17" s="38" t="str">
        <f aca="false">IF($A17="","",COUNTIFS(PR!$D$4:$D$203,$A17))</f>
        <v/>
      </c>
      <c r="J17" s="38" t="str">
        <f aca="false">IF($A17="","",SUMIFS(PR!$L$4:$L$203,PR!$D$4:$D$203,$A17))</f>
        <v/>
      </c>
      <c r="K17" s="38" t="str">
        <f aca="false">IF($A17="","",COUNTIFS(PO!$D$4:$D$203,$A17))</f>
        <v/>
      </c>
      <c r="L17" s="38" t="str">
        <f aca="false">IF($A17="","",SUMIFS(PO!$L$4:$L$203,PO!$D$4:$D$203,$A17))</f>
        <v/>
      </c>
      <c r="M17" s="38" t="str">
        <f aca="false">IF($A17="","",SUMIFS(PO!$N$4:$N$203,PO!$D$4:$D$203,$A17))</f>
        <v/>
      </c>
      <c r="N17" s="39" t="str">
        <f aca="false">IF($A17="","",IFERROR($L17/$E17,""))</f>
        <v/>
      </c>
      <c r="O17" s="38" t="str">
        <f aca="false">IF($A17="","",IFERROR($E17-$L17,""))</f>
        <v/>
      </c>
      <c r="P17" s="38" t="str">
        <f aca="false">IF($A17="","",COUNTIFS(PO!$D$4:$D$203,$A17,PO!$S$4:$S$203,"Đúng hạn")+COUNTIFS(PO!$D$4:$D$203,$A17,PO!$S$4:$S$203,"Giao trễ")+COUNTIFS(PO!$D$4:$D$203,$A17,PO!$S$4:$S$203,"Trễ hạn"))</f>
        <v/>
      </c>
      <c r="Q17" s="38" t="str">
        <f aca="false">IF($A17="","",COUNTIFS(PO!$D$4:$D$203,$A17,PO!$S$4:$S$203,"Đúng hạn"))</f>
        <v/>
      </c>
      <c r="R17" s="39" t="str">
        <f aca="false">IF($A17="","",IFERROR($Q17/$P17,""))</f>
        <v/>
      </c>
      <c r="S17" s="38" t="str">
        <f aca="false">IF($A17="","",SUMIFS('Thanh toán'!$H$4:$H$203,'Thanh toán'!$D$4:$D$203,$A17))</f>
        <v/>
      </c>
      <c r="T17" s="38" t="str">
        <f aca="false">IF($A17="","",SUMIFS('Công nợ'!$I$4:$I$203,'Công nợ'!$B$4:$B$203,$A17))</f>
        <v/>
      </c>
      <c r="U17" s="38" t="str">
        <f aca="false">IF($A17="","",SUMIFS('Công nợ'!$I$4:$I$203,'Công nợ'!$B$4:$B$203,$A17,'Công nợ'!$K$4:$K$203,"&gt;0"))</f>
        <v/>
      </c>
    </row>
    <row r="18" customFormat="false" ht="15" hidden="false" customHeight="false" outlineLevel="0" collapsed="false">
      <c r="A18" s="37" t="str">
        <f aca="false">IF('Dự án'!$A18="","",'Dự án'!$A18)</f>
        <v/>
      </c>
      <c r="B18" s="37" t="str">
        <f aca="false">IF($A18="","",'Dự án'!$B18)</f>
        <v/>
      </c>
      <c r="C18" s="37" t="str">
        <f aca="false">IF($A18="","",'Dự án'!$C18)</f>
        <v/>
      </c>
      <c r="D18" s="37" t="str">
        <f aca="false">IF($A18="","",'Dự án'!$H18)</f>
        <v/>
      </c>
      <c r="E18" s="38" t="str">
        <f aca="false">IF($A18="","",'Dự án'!$G18)</f>
        <v/>
      </c>
      <c r="F18" s="38" t="str">
        <f aca="false">IF($A18="","",COUNTIFS('Check giá'!$C$4:$C$203,$A18))</f>
        <v/>
      </c>
      <c r="G18" s="38" t="str">
        <f aca="false">IF($A18="","",COUNTIFS('Check giá'!$C$4:$C$203,$A18,'Check giá'!$O$4:$O$203,"Đang xử lý")+COUNTIFS('Check giá'!$C$4:$C$203,$A18,'Check giá'!$O$4:$O$203,"Quá hạn chưa trả"))</f>
        <v/>
      </c>
      <c r="H18" s="38" t="str">
        <f aca="false">IF($A18="","",SUMIFS('Check giá'!$J$4:$J$203,'Check giá'!$C$4:$C$203,$A18))</f>
        <v/>
      </c>
      <c r="I18" s="38" t="str">
        <f aca="false">IF($A18="","",COUNTIFS(PR!$D$4:$D$203,$A18))</f>
        <v/>
      </c>
      <c r="J18" s="38" t="str">
        <f aca="false">IF($A18="","",SUMIFS(PR!$L$4:$L$203,PR!$D$4:$D$203,$A18))</f>
        <v/>
      </c>
      <c r="K18" s="38" t="str">
        <f aca="false">IF($A18="","",COUNTIFS(PO!$D$4:$D$203,$A18))</f>
        <v/>
      </c>
      <c r="L18" s="38" t="str">
        <f aca="false">IF($A18="","",SUMIFS(PO!$L$4:$L$203,PO!$D$4:$D$203,$A18))</f>
        <v/>
      </c>
      <c r="M18" s="38" t="str">
        <f aca="false">IF($A18="","",SUMIFS(PO!$N$4:$N$203,PO!$D$4:$D$203,$A18))</f>
        <v/>
      </c>
      <c r="N18" s="39" t="str">
        <f aca="false">IF($A18="","",IFERROR($L18/$E18,""))</f>
        <v/>
      </c>
      <c r="O18" s="38" t="str">
        <f aca="false">IF($A18="","",IFERROR($E18-$L18,""))</f>
        <v/>
      </c>
      <c r="P18" s="38" t="str">
        <f aca="false">IF($A18="","",COUNTIFS(PO!$D$4:$D$203,$A18,PO!$S$4:$S$203,"Đúng hạn")+COUNTIFS(PO!$D$4:$D$203,$A18,PO!$S$4:$S$203,"Giao trễ")+COUNTIFS(PO!$D$4:$D$203,$A18,PO!$S$4:$S$203,"Trễ hạn"))</f>
        <v/>
      </c>
      <c r="Q18" s="38" t="str">
        <f aca="false">IF($A18="","",COUNTIFS(PO!$D$4:$D$203,$A18,PO!$S$4:$S$203,"Đúng hạn"))</f>
        <v/>
      </c>
      <c r="R18" s="39" t="str">
        <f aca="false">IF($A18="","",IFERROR($Q18/$P18,""))</f>
        <v/>
      </c>
      <c r="S18" s="38" t="str">
        <f aca="false">IF($A18="","",SUMIFS('Thanh toán'!$H$4:$H$203,'Thanh toán'!$D$4:$D$203,$A18))</f>
        <v/>
      </c>
      <c r="T18" s="38" t="str">
        <f aca="false">IF($A18="","",SUMIFS('Công nợ'!$I$4:$I$203,'Công nợ'!$B$4:$B$203,$A18))</f>
        <v/>
      </c>
      <c r="U18" s="38" t="str">
        <f aca="false">IF($A18="","",SUMIFS('Công nợ'!$I$4:$I$203,'Công nợ'!$B$4:$B$203,$A18,'Công nợ'!$K$4:$K$203,"&gt;0"))</f>
        <v/>
      </c>
    </row>
    <row r="19" customFormat="false" ht="15" hidden="false" customHeight="false" outlineLevel="0" collapsed="false">
      <c r="A19" s="37" t="str">
        <f aca="false">IF('Dự án'!$A19="","",'Dự án'!$A19)</f>
        <v/>
      </c>
      <c r="B19" s="37" t="str">
        <f aca="false">IF($A19="","",'Dự án'!$B19)</f>
        <v/>
      </c>
      <c r="C19" s="37" t="str">
        <f aca="false">IF($A19="","",'Dự án'!$C19)</f>
        <v/>
      </c>
      <c r="D19" s="37" t="str">
        <f aca="false">IF($A19="","",'Dự án'!$H19)</f>
        <v/>
      </c>
      <c r="E19" s="38" t="str">
        <f aca="false">IF($A19="","",'Dự án'!$G19)</f>
        <v/>
      </c>
      <c r="F19" s="38" t="str">
        <f aca="false">IF($A19="","",COUNTIFS('Check giá'!$C$4:$C$203,$A19))</f>
        <v/>
      </c>
      <c r="G19" s="38" t="str">
        <f aca="false">IF($A19="","",COUNTIFS('Check giá'!$C$4:$C$203,$A19,'Check giá'!$O$4:$O$203,"Đang xử lý")+COUNTIFS('Check giá'!$C$4:$C$203,$A19,'Check giá'!$O$4:$O$203,"Quá hạn chưa trả"))</f>
        <v/>
      </c>
      <c r="H19" s="38" t="str">
        <f aca="false">IF($A19="","",SUMIFS('Check giá'!$J$4:$J$203,'Check giá'!$C$4:$C$203,$A19))</f>
        <v/>
      </c>
      <c r="I19" s="38" t="str">
        <f aca="false">IF($A19="","",COUNTIFS(PR!$D$4:$D$203,$A19))</f>
        <v/>
      </c>
      <c r="J19" s="38" t="str">
        <f aca="false">IF($A19="","",SUMIFS(PR!$L$4:$L$203,PR!$D$4:$D$203,$A19))</f>
        <v/>
      </c>
      <c r="K19" s="38" t="str">
        <f aca="false">IF($A19="","",COUNTIFS(PO!$D$4:$D$203,$A19))</f>
        <v/>
      </c>
      <c r="L19" s="38" t="str">
        <f aca="false">IF($A19="","",SUMIFS(PO!$L$4:$L$203,PO!$D$4:$D$203,$A19))</f>
        <v/>
      </c>
      <c r="M19" s="38" t="str">
        <f aca="false">IF($A19="","",SUMIFS(PO!$N$4:$N$203,PO!$D$4:$D$203,$A19))</f>
        <v/>
      </c>
      <c r="N19" s="39" t="str">
        <f aca="false">IF($A19="","",IFERROR($L19/$E19,""))</f>
        <v/>
      </c>
      <c r="O19" s="38" t="str">
        <f aca="false">IF($A19="","",IFERROR($E19-$L19,""))</f>
        <v/>
      </c>
      <c r="P19" s="38" t="str">
        <f aca="false">IF($A19="","",COUNTIFS(PO!$D$4:$D$203,$A19,PO!$S$4:$S$203,"Đúng hạn")+COUNTIFS(PO!$D$4:$D$203,$A19,PO!$S$4:$S$203,"Giao trễ")+COUNTIFS(PO!$D$4:$D$203,$A19,PO!$S$4:$S$203,"Trễ hạn"))</f>
        <v/>
      </c>
      <c r="Q19" s="38" t="str">
        <f aca="false">IF($A19="","",COUNTIFS(PO!$D$4:$D$203,$A19,PO!$S$4:$S$203,"Đúng hạn"))</f>
        <v/>
      </c>
      <c r="R19" s="39" t="str">
        <f aca="false">IF($A19="","",IFERROR($Q19/$P19,""))</f>
        <v/>
      </c>
      <c r="S19" s="38" t="str">
        <f aca="false">IF($A19="","",SUMIFS('Thanh toán'!$H$4:$H$203,'Thanh toán'!$D$4:$D$203,$A19))</f>
        <v/>
      </c>
      <c r="T19" s="38" t="str">
        <f aca="false">IF($A19="","",SUMIFS('Công nợ'!$I$4:$I$203,'Công nợ'!$B$4:$B$203,$A19))</f>
        <v/>
      </c>
      <c r="U19" s="38" t="str">
        <f aca="false">IF($A19="","",SUMIFS('Công nợ'!$I$4:$I$203,'Công nợ'!$B$4:$B$203,$A19,'Công nợ'!$K$4:$K$203,"&gt;0"))</f>
        <v/>
      </c>
    </row>
    <row r="20" customFormat="false" ht="15" hidden="false" customHeight="false" outlineLevel="0" collapsed="false">
      <c r="A20" s="37" t="str">
        <f aca="false">IF('Dự án'!$A20="","",'Dự án'!$A20)</f>
        <v/>
      </c>
      <c r="B20" s="37" t="str">
        <f aca="false">IF($A20="","",'Dự án'!$B20)</f>
        <v/>
      </c>
      <c r="C20" s="37" t="str">
        <f aca="false">IF($A20="","",'Dự án'!$C20)</f>
        <v/>
      </c>
      <c r="D20" s="37" t="str">
        <f aca="false">IF($A20="","",'Dự án'!$H20)</f>
        <v/>
      </c>
      <c r="E20" s="38" t="str">
        <f aca="false">IF($A20="","",'Dự án'!$G20)</f>
        <v/>
      </c>
      <c r="F20" s="38" t="str">
        <f aca="false">IF($A20="","",COUNTIFS('Check giá'!$C$4:$C$203,$A20))</f>
        <v/>
      </c>
      <c r="G20" s="38" t="str">
        <f aca="false">IF($A20="","",COUNTIFS('Check giá'!$C$4:$C$203,$A20,'Check giá'!$O$4:$O$203,"Đang xử lý")+COUNTIFS('Check giá'!$C$4:$C$203,$A20,'Check giá'!$O$4:$O$203,"Quá hạn chưa trả"))</f>
        <v/>
      </c>
      <c r="H20" s="38" t="str">
        <f aca="false">IF($A20="","",SUMIFS('Check giá'!$J$4:$J$203,'Check giá'!$C$4:$C$203,$A20))</f>
        <v/>
      </c>
      <c r="I20" s="38" t="str">
        <f aca="false">IF($A20="","",COUNTIFS(PR!$D$4:$D$203,$A20))</f>
        <v/>
      </c>
      <c r="J20" s="38" t="str">
        <f aca="false">IF($A20="","",SUMIFS(PR!$L$4:$L$203,PR!$D$4:$D$203,$A20))</f>
        <v/>
      </c>
      <c r="K20" s="38" t="str">
        <f aca="false">IF($A20="","",COUNTIFS(PO!$D$4:$D$203,$A20))</f>
        <v/>
      </c>
      <c r="L20" s="38" t="str">
        <f aca="false">IF($A20="","",SUMIFS(PO!$L$4:$L$203,PO!$D$4:$D$203,$A20))</f>
        <v/>
      </c>
      <c r="M20" s="38" t="str">
        <f aca="false">IF($A20="","",SUMIFS(PO!$N$4:$N$203,PO!$D$4:$D$203,$A20))</f>
        <v/>
      </c>
      <c r="N20" s="39" t="str">
        <f aca="false">IF($A20="","",IFERROR($L20/$E20,""))</f>
        <v/>
      </c>
      <c r="O20" s="38" t="str">
        <f aca="false">IF($A20="","",IFERROR($E20-$L20,""))</f>
        <v/>
      </c>
      <c r="P20" s="38" t="str">
        <f aca="false">IF($A20="","",COUNTIFS(PO!$D$4:$D$203,$A20,PO!$S$4:$S$203,"Đúng hạn")+COUNTIFS(PO!$D$4:$D$203,$A20,PO!$S$4:$S$203,"Giao trễ")+COUNTIFS(PO!$D$4:$D$203,$A20,PO!$S$4:$S$203,"Trễ hạn"))</f>
        <v/>
      </c>
      <c r="Q20" s="38" t="str">
        <f aca="false">IF($A20="","",COUNTIFS(PO!$D$4:$D$203,$A20,PO!$S$4:$S$203,"Đúng hạn"))</f>
        <v/>
      </c>
      <c r="R20" s="39" t="str">
        <f aca="false">IF($A20="","",IFERROR($Q20/$P20,""))</f>
        <v/>
      </c>
      <c r="S20" s="38" t="str">
        <f aca="false">IF($A20="","",SUMIFS('Thanh toán'!$H$4:$H$203,'Thanh toán'!$D$4:$D$203,$A20))</f>
        <v/>
      </c>
      <c r="T20" s="38" t="str">
        <f aca="false">IF($A20="","",SUMIFS('Công nợ'!$I$4:$I$203,'Công nợ'!$B$4:$B$203,$A20))</f>
        <v/>
      </c>
      <c r="U20" s="38" t="str">
        <f aca="false">IF($A20="","",SUMIFS('Công nợ'!$I$4:$I$203,'Công nợ'!$B$4:$B$203,$A20,'Công nợ'!$K$4:$K$203,"&gt;0"))</f>
        <v/>
      </c>
    </row>
    <row r="21" customFormat="false" ht="15" hidden="false" customHeight="false" outlineLevel="0" collapsed="false">
      <c r="A21" s="37" t="str">
        <f aca="false">IF('Dự án'!$A21="","",'Dự án'!$A21)</f>
        <v/>
      </c>
      <c r="B21" s="37" t="str">
        <f aca="false">IF($A21="","",'Dự án'!$B21)</f>
        <v/>
      </c>
      <c r="C21" s="37" t="str">
        <f aca="false">IF($A21="","",'Dự án'!$C21)</f>
        <v/>
      </c>
      <c r="D21" s="37" t="str">
        <f aca="false">IF($A21="","",'Dự án'!$H21)</f>
        <v/>
      </c>
      <c r="E21" s="38" t="str">
        <f aca="false">IF($A21="","",'Dự án'!$G21)</f>
        <v/>
      </c>
      <c r="F21" s="38" t="str">
        <f aca="false">IF($A21="","",COUNTIFS('Check giá'!$C$4:$C$203,$A21))</f>
        <v/>
      </c>
      <c r="G21" s="38" t="str">
        <f aca="false">IF($A21="","",COUNTIFS('Check giá'!$C$4:$C$203,$A21,'Check giá'!$O$4:$O$203,"Đang xử lý")+COUNTIFS('Check giá'!$C$4:$C$203,$A21,'Check giá'!$O$4:$O$203,"Quá hạn chưa trả"))</f>
        <v/>
      </c>
      <c r="H21" s="38" t="str">
        <f aca="false">IF($A21="","",SUMIFS('Check giá'!$J$4:$J$203,'Check giá'!$C$4:$C$203,$A21))</f>
        <v/>
      </c>
      <c r="I21" s="38" t="str">
        <f aca="false">IF($A21="","",COUNTIFS(PR!$D$4:$D$203,$A21))</f>
        <v/>
      </c>
      <c r="J21" s="38" t="str">
        <f aca="false">IF($A21="","",SUMIFS(PR!$L$4:$L$203,PR!$D$4:$D$203,$A21))</f>
        <v/>
      </c>
      <c r="K21" s="38" t="str">
        <f aca="false">IF($A21="","",COUNTIFS(PO!$D$4:$D$203,$A21))</f>
        <v/>
      </c>
      <c r="L21" s="38" t="str">
        <f aca="false">IF($A21="","",SUMIFS(PO!$L$4:$L$203,PO!$D$4:$D$203,$A21))</f>
        <v/>
      </c>
      <c r="M21" s="38" t="str">
        <f aca="false">IF($A21="","",SUMIFS(PO!$N$4:$N$203,PO!$D$4:$D$203,$A21))</f>
        <v/>
      </c>
      <c r="N21" s="39" t="str">
        <f aca="false">IF($A21="","",IFERROR($L21/$E21,""))</f>
        <v/>
      </c>
      <c r="O21" s="38" t="str">
        <f aca="false">IF($A21="","",IFERROR($E21-$L21,""))</f>
        <v/>
      </c>
      <c r="P21" s="38" t="str">
        <f aca="false">IF($A21="","",COUNTIFS(PO!$D$4:$D$203,$A21,PO!$S$4:$S$203,"Đúng hạn")+COUNTIFS(PO!$D$4:$D$203,$A21,PO!$S$4:$S$203,"Giao trễ")+COUNTIFS(PO!$D$4:$D$203,$A21,PO!$S$4:$S$203,"Trễ hạn"))</f>
        <v/>
      </c>
      <c r="Q21" s="38" t="str">
        <f aca="false">IF($A21="","",COUNTIFS(PO!$D$4:$D$203,$A21,PO!$S$4:$S$203,"Đúng hạn"))</f>
        <v/>
      </c>
      <c r="R21" s="39" t="str">
        <f aca="false">IF($A21="","",IFERROR($Q21/$P21,""))</f>
        <v/>
      </c>
      <c r="S21" s="38" t="str">
        <f aca="false">IF($A21="","",SUMIFS('Thanh toán'!$H$4:$H$203,'Thanh toán'!$D$4:$D$203,$A21))</f>
        <v/>
      </c>
      <c r="T21" s="38" t="str">
        <f aca="false">IF($A21="","",SUMIFS('Công nợ'!$I$4:$I$203,'Công nợ'!$B$4:$B$203,$A21))</f>
        <v/>
      </c>
      <c r="U21" s="38" t="str">
        <f aca="false">IF($A21="","",SUMIFS('Công nợ'!$I$4:$I$203,'Công nợ'!$B$4:$B$203,$A21,'Công nợ'!$K$4:$K$203,"&gt;0"))</f>
        <v/>
      </c>
    </row>
    <row r="22" customFormat="false" ht="15" hidden="false" customHeight="false" outlineLevel="0" collapsed="false">
      <c r="A22" s="37" t="str">
        <f aca="false">IF('Dự án'!$A22="","",'Dự án'!$A22)</f>
        <v/>
      </c>
      <c r="B22" s="37" t="str">
        <f aca="false">IF($A22="","",'Dự án'!$B22)</f>
        <v/>
      </c>
      <c r="C22" s="37" t="str">
        <f aca="false">IF($A22="","",'Dự án'!$C22)</f>
        <v/>
      </c>
      <c r="D22" s="37" t="str">
        <f aca="false">IF($A22="","",'Dự án'!$H22)</f>
        <v/>
      </c>
      <c r="E22" s="38" t="str">
        <f aca="false">IF($A22="","",'Dự án'!$G22)</f>
        <v/>
      </c>
      <c r="F22" s="38" t="str">
        <f aca="false">IF($A22="","",COUNTIFS('Check giá'!$C$4:$C$203,$A22))</f>
        <v/>
      </c>
      <c r="G22" s="38" t="str">
        <f aca="false">IF($A22="","",COUNTIFS('Check giá'!$C$4:$C$203,$A22,'Check giá'!$O$4:$O$203,"Đang xử lý")+COUNTIFS('Check giá'!$C$4:$C$203,$A22,'Check giá'!$O$4:$O$203,"Quá hạn chưa trả"))</f>
        <v/>
      </c>
      <c r="H22" s="38" t="str">
        <f aca="false">IF($A22="","",SUMIFS('Check giá'!$J$4:$J$203,'Check giá'!$C$4:$C$203,$A22))</f>
        <v/>
      </c>
      <c r="I22" s="38" t="str">
        <f aca="false">IF($A22="","",COUNTIFS(PR!$D$4:$D$203,$A22))</f>
        <v/>
      </c>
      <c r="J22" s="38" t="str">
        <f aca="false">IF($A22="","",SUMIFS(PR!$L$4:$L$203,PR!$D$4:$D$203,$A22))</f>
        <v/>
      </c>
      <c r="K22" s="38" t="str">
        <f aca="false">IF($A22="","",COUNTIFS(PO!$D$4:$D$203,$A22))</f>
        <v/>
      </c>
      <c r="L22" s="38" t="str">
        <f aca="false">IF($A22="","",SUMIFS(PO!$L$4:$L$203,PO!$D$4:$D$203,$A22))</f>
        <v/>
      </c>
      <c r="M22" s="38" t="str">
        <f aca="false">IF($A22="","",SUMIFS(PO!$N$4:$N$203,PO!$D$4:$D$203,$A22))</f>
        <v/>
      </c>
      <c r="N22" s="39" t="str">
        <f aca="false">IF($A22="","",IFERROR($L22/$E22,""))</f>
        <v/>
      </c>
      <c r="O22" s="38" t="str">
        <f aca="false">IF($A22="","",IFERROR($E22-$L22,""))</f>
        <v/>
      </c>
      <c r="P22" s="38" t="str">
        <f aca="false">IF($A22="","",COUNTIFS(PO!$D$4:$D$203,$A22,PO!$S$4:$S$203,"Đúng hạn")+COUNTIFS(PO!$D$4:$D$203,$A22,PO!$S$4:$S$203,"Giao trễ")+COUNTIFS(PO!$D$4:$D$203,$A22,PO!$S$4:$S$203,"Trễ hạn"))</f>
        <v/>
      </c>
      <c r="Q22" s="38" t="str">
        <f aca="false">IF($A22="","",COUNTIFS(PO!$D$4:$D$203,$A22,PO!$S$4:$S$203,"Đúng hạn"))</f>
        <v/>
      </c>
      <c r="R22" s="39" t="str">
        <f aca="false">IF($A22="","",IFERROR($Q22/$P22,""))</f>
        <v/>
      </c>
      <c r="S22" s="38" t="str">
        <f aca="false">IF($A22="","",SUMIFS('Thanh toán'!$H$4:$H$203,'Thanh toán'!$D$4:$D$203,$A22))</f>
        <v/>
      </c>
      <c r="T22" s="38" t="str">
        <f aca="false">IF($A22="","",SUMIFS('Công nợ'!$I$4:$I$203,'Công nợ'!$B$4:$B$203,$A22))</f>
        <v/>
      </c>
      <c r="U22" s="38" t="str">
        <f aca="false">IF($A22="","",SUMIFS('Công nợ'!$I$4:$I$203,'Công nợ'!$B$4:$B$203,$A22,'Công nợ'!$K$4:$K$203,"&gt;0"))</f>
        <v/>
      </c>
    </row>
    <row r="23" customFormat="false" ht="15" hidden="false" customHeight="false" outlineLevel="0" collapsed="false">
      <c r="A23" s="37" t="str">
        <f aca="false">IF('Dự án'!$A23="","",'Dự án'!$A23)</f>
        <v/>
      </c>
      <c r="B23" s="37" t="str">
        <f aca="false">IF($A23="","",'Dự án'!$B23)</f>
        <v/>
      </c>
      <c r="C23" s="37" t="str">
        <f aca="false">IF($A23="","",'Dự án'!$C23)</f>
        <v/>
      </c>
      <c r="D23" s="37" t="str">
        <f aca="false">IF($A23="","",'Dự án'!$H23)</f>
        <v/>
      </c>
      <c r="E23" s="38" t="str">
        <f aca="false">IF($A23="","",'Dự án'!$G23)</f>
        <v/>
      </c>
      <c r="F23" s="38" t="str">
        <f aca="false">IF($A23="","",COUNTIFS('Check giá'!$C$4:$C$203,$A23))</f>
        <v/>
      </c>
      <c r="G23" s="38" t="str">
        <f aca="false">IF($A23="","",COUNTIFS('Check giá'!$C$4:$C$203,$A23,'Check giá'!$O$4:$O$203,"Đang xử lý")+COUNTIFS('Check giá'!$C$4:$C$203,$A23,'Check giá'!$O$4:$O$203,"Quá hạn chưa trả"))</f>
        <v/>
      </c>
      <c r="H23" s="38" t="str">
        <f aca="false">IF($A23="","",SUMIFS('Check giá'!$J$4:$J$203,'Check giá'!$C$4:$C$203,$A23))</f>
        <v/>
      </c>
      <c r="I23" s="38" t="str">
        <f aca="false">IF($A23="","",COUNTIFS(PR!$D$4:$D$203,$A23))</f>
        <v/>
      </c>
      <c r="J23" s="38" t="str">
        <f aca="false">IF($A23="","",SUMIFS(PR!$L$4:$L$203,PR!$D$4:$D$203,$A23))</f>
        <v/>
      </c>
      <c r="K23" s="38" t="str">
        <f aca="false">IF($A23="","",COUNTIFS(PO!$D$4:$D$203,$A23))</f>
        <v/>
      </c>
      <c r="L23" s="38" t="str">
        <f aca="false">IF($A23="","",SUMIFS(PO!$L$4:$L$203,PO!$D$4:$D$203,$A23))</f>
        <v/>
      </c>
      <c r="M23" s="38" t="str">
        <f aca="false">IF($A23="","",SUMIFS(PO!$N$4:$N$203,PO!$D$4:$D$203,$A23))</f>
        <v/>
      </c>
      <c r="N23" s="39" t="str">
        <f aca="false">IF($A23="","",IFERROR($L23/$E23,""))</f>
        <v/>
      </c>
      <c r="O23" s="38" t="str">
        <f aca="false">IF($A23="","",IFERROR($E23-$L23,""))</f>
        <v/>
      </c>
      <c r="P23" s="38" t="str">
        <f aca="false">IF($A23="","",COUNTIFS(PO!$D$4:$D$203,$A23,PO!$S$4:$S$203,"Đúng hạn")+COUNTIFS(PO!$D$4:$D$203,$A23,PO!$S$4:$S$203,"Giao trễ")+COUNTIFS(PO!$D$4:$D$203,$A23,PO!$S$4:$S$203,"Trễ hạn"))</f>
        <v/>
      </c>
      <c r="Q23" s="38" t="str">
        <f aca="false">IF($A23="","",COUNTIFS(PO!$D$4:$D$203,$A23,PO!$S$4:$S$203,"Đúng hạn"))</f>
        <v/>
      </c>
      <c r="R23" s="39" t="str">
        <f aca="false">IF($A23="","",IFERROR($Q23/$P23,""))</f>
        <v/>
      </c>
      <c r="S23" s="38" t="str">
        <f aca="false">IF($A23="","",SUMIFS('Thanh toán'!$H$4:$H$203,'Thanh toán'!$D$4:$D$203,$A23))</f>
        <v/>
      </c>
      <c r="T23" s="38" t="str">
        <f aca="false">IF($A23="","",SUMIFS('Công nợ'!$I$4:$I$203,'Công nợ'!$B$4:$B$203,$A23))</f>
        <v/>
      </c>
      <c r="U23" s="38" t="str">
        <f aca="false">IF($A23="","",SUMIFS('Công nợ'!$I$4:$I$203,'Công nợ'!$B$4:$B$203,$A23,'Công nợ'!$K$4:$K$203,"&gt;0"))</f>
        <v/>
      </c>
    </row>
    <row r="24" customFormat="false" ht="15" hidden="false" customHeight="false" outlineLevel="0" collapsed="false">
      <c r="A24" s="37" t="str">
        <f aca="false">IF('Dự án'!$A24="","",'Dự án'!$A24)</f>
        <v/>
      </c>
      <c r="B24" s="37" t="str">
        <f aca="false">IF($A24="","",'Dự án'!$B24)</f>
        <v/>
      </c>
      <c r="C24" s="37" t="str">
        <f aca="false">IF($A24="","",'Dự án'!$C24)</f>
        <v/>
      </c>
      <c r="D24" s="37" t="str">
        <f aca="false">IF($A24="","",'Dự án'!$H24)</f>
        <v/>
      </c>
      <c r="E24" s="38" t="str">
        <f aca="false">IF($A24="","",'Dự án'!$G24)</f>
        <v/>
      </c>
      <c r="F24" s="38" t="str">
        <f aca="false">IF($A24="","",COUNTIFS('Check giá'!$C$4:$C$203,$A24))</f>
        <v/>
      </c>
      <c r="G24" s="38" t="str">
        <f aca="false">IF($A24="","",COUNTIFS('Check giá'!$C$4:$C$203,$A24,'Check giá'!$O$4:$O$203,"Đang xử lý")+COUNTIFS('Check giá'!$C$4:$C$203,$A24,'Check giá'!$O$4:$O$203,"Quá hạn chưa trả"))</f>
        <v/>
      </c>
      <c r="H24" s="38" t="str">
        <f aca="false">IF($A24="","",SUMIFS('Check giá'!$J$4:$J$203,'Check giá'!$C$4:$C$203,$A24))</f>
        <v/>
      </c>
      <c r="I24" s="38" t="str">
        <f aca="false">IF($A24="","",COUNTIFS(PR!$D$4:$D$203,$A24))</f>
        <v/>
      </c>
      <c r="J24" s="38" t="str">
        <f aca="false">IF($A24="","",SUMIFS(PR!$L$4:$L$203,PR!$D$4:$D$203,$A24))</f>
        <v/>
      </c>
      <c r="K24" s="38" t="str">
        <f aca="false">IF($A24="","",COUNTIFS(PO!$D$4:$D$203,$A24))</f>
        <v/>
      </c>
      <c r="L24" s="38" t="str">
        <f aca="false">IF($A24="","",SUMIFS(PO!$L$4:$L$203,PO!$D$4:$D$203,$A24))</f>
        <v/>
      </c>
      <c r="M24" s="38" t="str">
        <f aca="false">IF($A24="","",SUMIFS(PO!$N$4:$N$203,PO!$D$4:$D$203,$A24))</f>
        <v/>
      </c>
      <c r="N24" s="39" t="str">
        <f aca="false">IF($A24="","",IFERROR($L24/$E24,""))</f>
        <v/>
      </c>
      <c r="O24" s="38" t="str">
        <f aca="false">IF($A24="","",IFERROR($E24-$L24,""))</f>
        <v/>
      </c>
      <c r="P24" s="38" t="str">
        <f aca="false">IF($A24="","",COUNTIFS(PO!$D$4:$D$203,$A24,PO!$S$4:$S$203,"Đúng hạn")+COUNTIFS(PO!$D$4:$D$203,$A24,PO!$S$4:$S$203,"Giao trễ")+COUNTIFS(PO!$D$4:$D$203,$A24,PO!$S$4:$S$203,"Trễ hạn"))</f>
        <v/>
      </c>
      <c r="Q24" s="38" t="str">
        <f aca="false">IF($A24="","",COUNTIFS(PO!$D$4:$D$203,$A24,PO!$S$4:$S$203,"Đúng hạn"))</f>
        <v/>
      </c>
      <c r="R24" s="39" t="str">
        <f aca="false">IF($A24="","",IFERROR($Q24/$P24,""))</f>
        <v/>
      </c>
      <c r="S24" s="38" t="str">
        <f aca="false">IF($A24="","",SUMIFS('Thanh toán'!$H$4:$H$203,'Thanh toán'!$D$4:$D$203,$A24))</f>
        <v/>
      </c>
      <c r="T24" s="38" t="str">
        <f aca="false">IF($A24="","",SUMIFS('Công nợ'!$I$4:$I$203,'Công nợ'!$B$4:$B$203,$A24))</f>
        <v/>
      </c>
      <c r="U24" s="38" t="str">
        <f aca="false">IF($A24="","",SUMIFS('Công nợ'!$I$4:$I$203,'Công nợ'!$B$4:$B$203,$A24,'Công nợ'!$K$4:$K$203,"&gt;0"))</f>
        <v/>
      </c>
    </row>
    <row r="25" customFormat="false" ht="15" hidden="false" customHeight="false" outlineLevel="0" collapsed="false">
      <c r="A25" s="37" t="str">
        <f aca="false">IF('Dự án'!$A25="","",'Dự án'!$A25)</f>
        <v/>
      </c>
      <c r="B25" s="37" t="str">
        <f aca="false">IF($A25="","",'Dự án'!$B25)</f>
        <v/>
      </c>
      <c r="C25" s="37" t="str">
        <f aca="false">IF($A25="","",'Dự án'!$C25)</f>
        <v/>
      </c>
      <c r="D25" s="37" t="str">
        <f aca="false">IF($A25="","",'Dự án'!$H25)</f>
        <v/>
      </c>
      <c r="E25" s="38" t="str">
        <f aca="false">IF($A25="","",'Dự án'!$G25)</f>
        <v/>
      </c>
      <c r="F25" s="38" t="str">
        <f aca="false">IF($A25="","",COUNTIFS('Check giá'!$C$4:$C$203,$A25))</f>
        <v/>
      </c>
      <c r="G25" s="38" t="str">
        <f aca="false">IF($A25="","",COUNTIFS('Check giá'!$C$4:$C$203,$A25,'Check giá'!$O$4:$O$203,"Đang xử lý")+COUNTIFS('Check giá'!$C$4:$C$203,$A25,'Check giá'!$O$4:$O$203,"Quá hạn chưa trả"))</f>
        <v/>
      </c>
      <c r="H25" s="38" t="str">
        <f aca="false">IF($A25="","",SUMIFS('Check giá'!$J$4:$J$203,'Check giá'!$C$4:$C$203,$A25))</f>
        <v/>
      </c>
      <c r="I25" s="38" t="str">
        <f aca="false">IF($A25="","",COUNTIFS(PR!$D$4:$D$203,$A25))</f>
        <v/>
      </c>
      <c r="J25" s="38" t="str">
        <f aca="false">IF($A25="","",SUMIFS(PR!$L$4:$L$203,PR!$D$4:$D$203,$A25))</f>
        <v/>
      </c>
      <c r="K25" s="38" t="str">
        <f aca="false">IF($A25="","",COUNTIFS(PO!$D$4:$D$203,$A25))</f>
        <v/>
      </c>
      <c r="L25" s="38" t="str">
        <f aca="false">IF($A25="","",SUMIFS(PO!$L$4:$L$203,PO!$D$4:$D$203,$A25))</f>
        <v/>
      </c>
      <c r="M25" s="38" t="str">
        <f aca="false">IF($A25="","",SUMIFS(PO!$N$4:$N$203,PO!$D$4:$D$203,$A25))</f>
        <v/>
      </c>
      <c r="N25" s="39" t="str">
        <f aca="false">IF($A25="","",IFERROR($L25/$E25,""))</f>
        <v/>
      </c>
      <c r="O25" s="38" t="str">
        <f aca="false">IF($A25="","",IFERROR($E25-$L25,""))</f>
        <v/>
      </c>
      <c r="P25" s="38" t="str">
        <f aca="false">IF($A25="","",COUNTIFS(PO!$D$4:$D$203,$A25,PO!$S$4:$S$203,"Đúng hạn")+COUNTIFS(PO!$D$4:$D$203,$A25,PO!$S$4:$S$203,"Giao trễ")+COUNTIFS(PO!$D$4:$D$203,$A25,PO!$S$4:$S$203,"Trễ hạn"))</f>
        <v/>
      </c>
      <c r="Q25" s="38" t="str">
        <f aca="false">IF($A25="","",COUNTIFS(PO!$D$4:$D$203,$A25,PO!$S$4:$S$203,"Đúng hạn"))</f>
        <v/>
      </c>
      <c r="R25" s="39" t="str">
        <f aca="false">IF($A25="","",IFERROR($Q25/$P25,""))</f>
        <v/>
      </c>
      <c r="S25" s="38" t="str">
        <f aca="false">IF($A25="","",SUMIFS('Thanh toán'!$H$4:$H$203,'Thanh toán'!$D$4:$D$203,$A25))</f>
        <v/>
      </c>
      <c r="T25" s="38" t="str">
        <f aca="false">IF($A25="","",SUMIFS('Công nợ'!$I$4:$I$203,'Công nợ'!$B$4:$B$203,$A25))</f>
        <v/>
      </c>
      <c r="U25" s="38" t="str">
        <f aca="false">IF($A25="","",SUMIFS('Công nợ'!$I$4:$I$203,'Công nợ'!$B$4:$B$203,$A25,'Công nợ'!$K$4:$K$203,"&gt;0"))</f>
        <v/>
      </c>
    </row>
    <row r="26" customFormat="false" ht="15" hidden="false" customHeight="false" outlineLevel="0" collapsed="false">
      <c r="A26" s="37" t="str">
        <f aca="false">IF('Dự án'!$A26="","",'Dự án'!$A26)</f>
        <v/>
      </c>
      <c r="B26" s="37" t="str">
        <f aca="false">IF($A26="","",'Dự án'!$B26)</f>
        <v/>
      </c>
      <c r="C26" s="37" t="str">
        <f aca="false">IF($A26="","",'Dự án'!$C26)</f>
        <v/>
      </c>
      <c r="D26" s="37" t="str">
        <f aca="false">IF($A26="","",'Dự án'!$H26)</f>
        <v/>
      </c>
      <c r="E26" s="38" t="str">
        <f aca="false">IF($A26="","",'Dự án'!$G26)</f>
        <v/>
      </c>
      <c r="F26" s="38" t="str">
        <f aca="false">IF($A26="","",COUNTIFS('Check giá'!$C$4:$C$203,$A26))</f>
        <v/>
      </c>
      <c r="G26" s="38" t="str">
        <f aca="false">IF($A26="","",COUNTIFS('Check giá'!$C$4:$C$203,$A26,'Check giá'!$O$4:$O$203,"Đang xử lý")+COUNTIFS('Check giá'!$C$4:$C$203,$A26,'Check giá'!$O$4:$O$203,"Quá hạn chưa trả"))</f>
        <v/>
      </c>
      <c r="H26" s="38" t="str">
        <f aca="false">IF($A26="","",SUMIFS('Check giá'!$J$4:$J$203,'Check giá'!$C$4:$C$203,$A26))</f>
        <v/>
      </c>
      <c r="I26" s="38" t="str">
        <f aca="false">IF($A26="","",COUNTIFS(PR!$D$4:$D$203,$A26))</f>
        <v/>
      </c>
      <c r="J26" s="38" t="str">
        <f aca="false">IF($A26="","",SUMIFS(PR!$L$4:$L$203,PR!$D$4:$D$203,$A26))</f>
        <v/>
      </c>
      <c r="K26" s="38" t="str">
        <f aca="false">IF($A26="","",COUNTIFS(PO!$D$4:$D$203,$A26))</f>
        <v/>
      </c>
      <c r="L26" s="38" t="str">
        <f aca="false">IF($A26="","",SUMIFS(PO!$L$4:$L$203,PO!$D$4:$D$203,$A26))</f>
        <v/>
      </c>
      <c r="M26" s="38" t="str">
        <f aca="false">IF($A26="","",SUMIFS(PO!$N$4:$N$203,PO!$D$4:$D$203,$A26))</f>
        <v/>
      </c>
      <c r="N26" s="39" t="str">
        <f aca="false">IF($A26="","",IFERROR($L26/$E26,""))</f>
        <v/>
      </c>
      <c r="O26" s="38" t="str">
        <f aca="false">IF($A26="","",IFERROR($E26-$L26,""))</f>
        <v/>
      </c>
      <c r="P26" s="38" t="str">
        <f aca="false">IF($A26="","",COUNTIFS(PO!$D$4:$D$203,$A26,PO!$S$4:$S$203,"Đúng hạn")+COUNTIFS(PO!$D$4:$D$203,$A26,PO!$S$4:$S$203,"Giao trễ")+COUNTIFS(PO!$D$4:$D$203,$A26,PO!$S$4:$S$203,"Trễ hạn"))</f>
        <v/>
      </c>
      <c r="Q26" s="38" t="str">
        <f aca="false">IF($A26="","",COUNTIFS(PO!$D$4:$D$203,$A26,PO!$S$4:$S$203,"Đúng hạn"))</f>
        <v/>
      </c>
      <c r="R26" s="39" t="str">
        <f aca="false">IF($A26="","",IFERROR($Q26/$P26,""))</f>
        <v/>
      </c>
      <c r="S26" s="38" t="str">
        <f aca="false">IF($A26="","",SUMIFS('Thanh toán'!$H$4:$H$203,'Thanh toán'!$D$4:$D$203,$A26))</f>
        <v/>
      </c>
      <c r="T26" s="38" t="str">
        <f aca="false">IF($A26="","",SUMIFS('Công nợ'!$I$4:$I$203,'Công nợ'!$B$4:$B$203,$A26))</f>
        <v/>
      </c>
      <c r="U26" s="38" t="str">
        <f aca="false">IF($A26="","",SUMIFS('Công nợ'!$I$4:$I$203,'Công nợ'!$B$4:$B$203,$A26,'Công nợ'!$K$4:$K$203,"&gt;0"))</f>
        <v/>
      </c>
    </row>
    <row r="27" customFormat="false" ht="15" hidden="false" customHeight="false" outlineLevel="0" collapsed="false">
      <c r="A27" s="37" t="str">
        <f aca="false">IF('Dự án'!$A27="","",'Dự án'!$A27)</f>
        <v/>
      </c>
      <c r="B27" s="37" t="str">
        <f aca="false">IF($A27="","",'Dự án'!$B27)</f>
        <v/>
      </c>
      <c r="C27" s="37" t="str">
        <f aca="false">IF($A27="","",'Dự án'!$C27)</f>
        <v/>
      </c>
      <c r="D27" s="37" t="str">
        <f aca="false">IF($A27="","",'Dự án'!$H27)</f>
        <v/>
      </c>
      <c r="E27" s="38" t="str">
        <f aca="false">IF($A27="","",'Dự án'!$G27)</f>
        <v/>
      </c>
      <c r="F27" s="38" t="str">
        <f aca="false">IF($A27="","",COUNTIFS('Check giá'!$C$4:$C$203,$A27))</f>
        <v/>
      </c>
      <c r="G27" s="38" t="str">
        <f aca="false">IF($A27="","",COUNTIFS('Check giá'!$C$4:$C$203,$A27,'Check giá'!$O$4:$O$203,"Đang xử lý")+COUNTIFS('Check giá'!$C$4:$C$203,$A27,'Check giá'!$O$4:$O$203,"Quá hạn chưa trả"))</f>
        <v/>
      </c>
      <c r="H27" s="38" t="str">
        <f aca="false">IF($A27="","",SUMIFS('Check giá'!$J$4:$J$203,'Check giá'!$C$4:$C$203,$A27))</f>
        <v/>
      </c>
      <c r="I27" s="38" t="str">
        <f aca="false">IF($A27="","",COUNTIFS(PR!$D$4:$D$203,$A27))</f>
        <v/>
      </c>
      <c r="J27" s="38" t="str">
        <f aca="false">IF($A27="","",SUMIFS(PR!$L$4:$L$203,PR!$D$4:$D$203,$A27))</f>
        <v/>
      </c>
      <c r="K27" s="38" t="str">
        <f aca="false">IF($A27="","",COUNTIFS(PO!$D$4:$D$203,$A27))</f>
        <v/>
      </c>
      <c r="L27" s="38" t="str">
        <f aca="false">IF($A27="","",SUMIFS(PO!$L$4:$L$203,PO!$D$4:$D$203,$A27))</f>
        <v/>
      </c>
      <c r="M27" s="38" t="str">
        <f aca="false">IF($A27="","",SUMIFS(PO!$N$4:$N$203,PO!$D$4:$D$203,$A27))</f>
        <v/>
      </c>
      <c r="N27" s="39" t="str">
        <f aca="false">IF($A27="","",IFERROR($L27/$E27,""))</f>
        <v/>
      </c>
      <c r="O27" s="38" t="str">
        <f aca="false">IF($A27="","",IFERROR($E27-$L27,""))</f>
        <v/>
      </c>
      <c r="P27" s="38" t="str">
        <f aca="false">IF($A27="","",COUNTIFS(PO!$D$4:$D$203,$A27,PO!$S$4:$S$203,"Đúng hạn")+COUNTIFS(PO!$D$4:$D$203,$A27,PO!$S$4:$S$203,"Giao trễ")+COUNTIFS(PO!$D$4:$D$203,$A27,PO!$S$4:$S$203,"Trễ hạn"))</f>
        <v/>
      </c>
      <c r="Q27" s="38" t="str">
        <f aca="false">IF($A27="","",COUNTIFS(PO!$D$4:$D$203,$A27,PO!$S$4:$S$203,"Đúng hạn"))</f>
        <v/>
      </c>
      <c r="R27" s="39" t="str">
        <f aca="false">IF($A27="","",IFERROR($Q27/$P27,""))</f>
        <v/>
      </c>
      <c r="S27" s="38" t="str">
        <f aca="false">IF($A27="","",SUMIFS('Thanh toán'!$H$4:$H$203,'Thanh toán'!$D$4:$D$203,$A27))</f>
        <v/>
      </c>
      <c r="T27" s="38" t="str">
        <f aca="false">IF($A27="","",SUMIFS('Công nợ'!$I$4:$I$203,'Công nợ'!$B$4:$B$203,$A27))</f>
        <v/>
      </c>
      <c r="U27" s="38" t="str">
        <f aca="false">IF($A27="","",SUMIFS('Công nợ'!$I$4:$I$203,'Công nợ'!$B$4:$B$203,$A27,'Công nợ'!$K$4:$K$203,"&gt;0"))</f>
        <v/>
      </c>
    </row>
    <row r="28" customFormat="false" ht="15" hidden="false" customHeight="false" outlineLevel="0" collapsed="false">
      <c r="A28" s="37" t="str">
        <f aca="false">IF('Dự án'!$A28="","",'Dự án'!$A28)</f>
        <v/>
      </c>
      <c r="B28" s="37" t="str">
        <f aca="false">IF($A28="","",'Dự án'!$B28)</f>
        <v/>
      </c>
      <c r="C28" s="37" t="str">
        <f aca="false">IF($A28="","",'Dự án'!$C28)</f>
        <v/>
      </c>
      <c r="D28" s="37" t="str">
        <f aca="false">IF($A28="","",'Dự án'!$H28)</f>
        <v/>
      </c>
      <c r="E28" s="38" t="str">
        <f aca="false">IF($A28="","",'Dự án'!$G28)</f>
        <v/>
      </c>
      <c r="F28" s="38" t="str">
        <f aca="false">IF($A28="","",COUNTIFS('Check giá'!$C$4:$C$203,$A28))</f>
        <v/>
      </c>
      <c r="G28" s="38" t="str">
        <f aca="false">IF($A28="","",COUNTIFS('Check giá'!$C$4:$C$203,$A28,'Check giá'!$O$4:$O$203,"Đang xử lý")+COUNTIFS('Check giá'!$C$4:$C$203,$A28,'Check giá'!$O$4:$O$203,"Quá hạn chưa trả"))</f>
        <v/>
      </c>
      <c r="H28" s="38" t="str">
        <f aca="false">IF($A28="","",SUMIFS('Check giá'!$J$4:$J$203,'Check giá'!$C$4:$C$203,$A28))</f>
        <v/>
      </c>
      <c r="I28" s="38" t="str">
        <f aca="false">IF($A28="","",COUNTIFS(PR!$D$4:$D$203,$A28))</f>
        <v/>
      </c>
      <c r="J28" s="38" t="str">
        <f aca="false">IF($A28="","",SUMIFS(PR!$L$4:$L$203,PR!$D$4:$D$203,$A28))</f>
        <v/>
      </c>
      <c r="K28" s="38" t="str">
        <f aca="false">IF($A28="","",COUNTIFS(PO!$D$4:$D$203,$A28))</f>
        <v/>
      </c>
      <c r="L28" s="38" t="str">
        <f aca="false">IF($A28="","",SUMIFS(PO!$L$4:$L$203,PO!$D$4:$D$203,$A28))</f>
        <v/>
      </c>
      <c r="M28" s="38" t="str">
        <f aca="false">IF($A28="","",SUMIFS(PO!$N$4:$N$203,PO!$D$4:$D$203,$A28))</f>
        <v/>
      </c>
      <c r="N28" s="39" t="str">
        <f aca="false">IF($A28="","",IFERROR($L28/$E28,""))</f>
        <v/>
      </c>
      <c r="O28" s="38" t="str">
        <f aca="false">IF($A28="","",IFERROR($E28-$L28,""))</f>
        <v/>
      </c>
      <c r="P28" s="38" t="str">
        <f aca="false">IF($A28="","",COUNTIFS(PO!$D$4:$D$203,$A28,PO!$S$4:$S$203,"Đúng hạn")+COUNTIFS(PO!$D$4:$D$203,$A28,PO!$S$4:$S$203,"Giao trễ")+COUNTIFS(PO!$D$4:$D$203,$A28,PO!$S$4:$S$203,"Trễ hạn"))</f>
        <v/>
      </c>
      <c r="Q28" s="38" t="str">
        <f aca="false">IF($A28="","",COUNTIFS(PO!$D$4:$D$203,$A28,PO!$S$4:$S$203,"Đúng hạn"))</f>
        <v/>
      </c>
      <c r="R28" s="39" t="str">
        <f aca="false">IF($A28="","",IFERROR($Q28/$P28,""))</f>
        <v/>
      </c>
      <c r="S28" s="38" t="str">
        <f aca="false">IF($A28="","",SUMIFS('Thanh toán'!$H$4:$H$203,'Thanh toán'!$D$4:$D$203,$A28))</f>
        <v/>
      </c>
      <c r="T28" s="38" t="str">
        <f aca="false">IF($A28="","",SUMIFS('Công nợ'!$I$4:$I$203,'Công nợ'!$B$4:$B$203,$A28))</f>
        <v/>
      </c>
      <c r="U28" s="38" t="str">
        <f aca="false">IF($A28="","",SUMIFS('Công nợ'!$I$4:$I$203,'Công nợ'!$B$4:$B$203,$A28,'Công nợ'!$K$4:$K$203,"&gt;0"))</f>
        <v/>
      </c>
    </row>
    <row r="29" customFormat="false" ht="15" hidden="false" customHeight="false" outlineLevel="0" collapsed="false">
      <c r="A29" s="37" t="str">
        <f aca="false">IF('Dự án'!$A29="","",'Dự án'!$A29)</f>
        <v/>
      </c>
      <c r="B29" s="37" t="str">
        <f aca="false">IF($A29="","",'Dự án'!$B29)</f>
        <v/>
      </c>
      <c r="C29" s="37" t="str">
        <f aca="false">IF($A29="","",'Dự án'!$C29)</f>
        <v/>
      </c>
      <c r="D29" s="37" t="str">
        <f aca="false">IF($A29="","",'Dự án'!$H29)</f>
        <v/>
      </c>
      <c r="E29" s="38" t="str">
        <f aca="false">IF($A29="","",'Dự án'!$G29)</f>
        <v/>
      </c>
      <c r="F29" s="38" t="str">
        <f aca="false">IF($A29="","",COUNTIFS('Check giá'!$C$4:$C$203,$A29))</f>
        <v/>
      </c>
      <c r="G29" s="38" t="str">
        <f aca="false">IF($A29="","",COUNTIFS('Check giá'!$C$4:$C$203,$A29,'Check giá'!$O$4:$O$203,"Đang xử lý")+COUNTIFS('Check giá'!$C$4:$C$203,$A29,'Check giá'!$O$4:$O$203,"Quá hạn chưa trả"))</f>
        <v/>
      </c>
      <c r="H29" s="38" t="str">
        <f aca="false">IF($A29="","",SUMIFS('Check giá'!$J$4:$J$203,'Check giá'!$C$4:$C$203,$A29))</f>
        <v/>
      </c>
      <c r="I29" s="38" t="str">
        <f aca="false">IF($A29="","",COUNTIFS(PR!$D$4:$D$203,$A29))</f>
        <v/>
      </c>
      <c r="J29" s="38" t="str">
        <f aca="false">IF($A29="","",SUMIFS(PR!$L$4:$L$203,PR!$D$4:$D$203,$A29))</f>
        <v/>
      </c>
      <c r="K29" s="38" t="str">
        <f aca="false">IF($A29="","",COUNTIFS(PO!$D$4:$D$203,$A29))</f>
        <v/>
      </c>
      <c r="L29" s="38" t="str">
        <f aca="false">IF($A29="","",SUMIFS(PO!$L$4:$L$203,PO!$D$4:$D$203,$A29))</f>
        <v/>
      </c>
      <c r="M29" s="38" t="str">
        <f aca="false">IF($A29="","",SUMIFS(PO!$N$4:$N$203,PO!$D$4:$D$203,$A29))</f>
        <v/>
      </c>
      <c r="N29" s="39" t="str">
        <f aca="false">IF($A29="","",IFERROR($L29/$E29,""))</f>
        <v/>
      </c>
      <c r="O29" s="38" t="str">
        <f aca="false">IF($A29="","",IFERROR($E29-$L29,""))</f>
        <v/>
      </c>
      <c r="P29" s="38" t="str">
        <f aca="false">IF($A29="","",COUNTIFS(PO!$D$4:$D$203,$A29,PO!$S$4:$S$203,"Đúng hạn")+COUNTIFS(PO!$D$4:$D$203,$A29,PO!$S$4:$S$203,"Giao trễ")+COUNTIFS(PO!$D$4:$D$203,$A29,PO!$S$4:$S$203,"Trễ hạn"))</f>
        <v/>
      </c>
      <c r="Q29" s="38" t="str">
        <f aca="false">IF($A29="","",COUNTIFS(PO!$D$4:$D$203,$A29,PO!$S$4:$S$203,"Đúng hạn"))</f>
        <v/>
      </c>
      <c r="R29" s="39" t="str">
        <f aca="false">IF($A29="","",IFERROR($Q29/$P29,""))</f>
        <v/>
      </c>
      <c r="S29" s="38" t="str">
        <f aca="false">IF($A29="","",SUMIFS('Thanh toán'!$H$4:$H$203,'Thanh toán'!$D$4:$D$203,$A29))</f>
        <v/>
      </c>
      <c r="T29" s="38" t="str">
        <f aca="false">IF($A29="","",SUMIFS('Công nợ'!$I$4:$I$203,'Công nợ'!$B$4:$B$203,$A29))</f>
        <v/>
      </c>
      <c r="U29" s="38" t="str">
        <f aca="false">IF($A29="","",SUMIFS('Công nợ'!$I$4:$I$203,'Công nợ'!$B$4:$B$203,$A29,'Công nợ'!$K$4:$K$203,"&gt;0"))</f>
        <v/>
      </c>
    </row>
    <row r="30" customFormat="false" ht="15" hidden="false" customHeight="false" outlineLevel="0" collapsed="false">
      <c r="A30" s="37" t="str">
        <f aca="false">IF('Dự án'!$A30="","",'Dự án'!$A30)</f>
        <v/>
      </c>
      <c r="B30" s="37" t="str">
        <f aca="false">IF($A30="","",'Dự án'!$B30)</f>
        <v/>
      </c>
      <c r="C30" s="37" t="str">
        <f aca="false">IF($A30="","",'Dự án'!$C30)</f>
        <v/>
      </c>
      <c r="D30" s="37" t="str">
        <f aca="false">IF($A30="","",'Dự án'!$H30)</f>
        <v/>
      </c>
      <c r="E30" s="38" t="str">
        <f aca="false">IF($A30="","",'Dự án'!$G30)</f>
        <v/>
      </c>
      <c r="F30" s="38" t="str">
        <f aca="false">IF($A30="","",COUNTIFS('Check giá'!$C$4:$C$203,$A30))</f>
        <v/>
      </c>
      <c r="G30" s="38" t="str">
        <f aca="false">IF($A30="","",COUNTIFS('Check giá'!$C$4:$C$203,$A30,'Check giá'!$O$4:$O$203,"Đang xử lý")+COUNTIFS('Check giá'!$C$4:$C$203,$A30,'Check giá'!$O$4:$O$203,"Quá hạn chưa trả"))</f>
        <v/>
      </c>
      <c r="H30" s="38" t="str">
        <f aca="false">IF($A30="","",SUMIFS('Check giá'!$J$4:$J$203,'Check giá'!$C$4:$C$203,$A30))</f>
        <v/>
      </c>
      <c r="I30" s="38" t="str">
        <f aca="false">IF($A30="","",COUNTIFS(PR!$D$4:$D$203,$A30))</f>
        <v/>
      </c>
      <c r="J30" s="38" t="str">
        <f aca="false">IF($A30="","",SUMIFS(PR!$L$4:$L$203,PR!$D$4:$D$203,$A30))</f>
        <v/>
      </c>
      <c r="K30" s="38" t="str">
        <f aca="false">IF($A30="","",COUNTIFS(PO!$D$4:$D$203,$A30))</f>
        <v/>
      </c>
      <c r="L30" s="38" t="str">
        <f aca="false">IF($A30="","",SUMIFS(PO!$L$4:$L$203,PO!$D$4:$D$203,$A30))</f>
        <v/>
      </c>
      <c r="M30" s="38" t="str">
        <f aca="false">IF($A30="","",SUMIFS(PO!$N$4:$N$203,PO!$D$4:$D$203,$A30))</f>
        <v/>
      </c>
      <c r="N30" s="39" t="str">
        <f aca="false">IF($A30="","",IFERROR($L30/$E30,""))</f>
        <v/>
      </c>
      <c r="O30" s="38" t="str">
        <f aca="false">IF($A30="","",IFERROR($E30-$L30,""))</f>
        <v/>
      </c>
      <c r="P30" s="38" t="str">
        <f aca="false">IF($A30="","",COUNTIFS(PO!$D$4:$D$203,$A30,PO!$S$4:$S$203,"Đúng hạn")+COUNTIFS(PO!$D$4:$D$203,$A30,PO!$S$4:$S$203,"Giao trễ")+COUNTIFS(PO!$D$4:$D$203,$A30,PO!$S$4:$S$203,"Trễ hạn"))</f>
        <v/>
      </c>
      <c r="Q30" s="38" t="str">
        <f aca="false">IF($A30="","",COUNTIFS(PO!$D$4:$D$203,$A30,PO!$S$4:$S$203,"Đúng hạn"))</f>
        <v/>
      </c>
      <c r="R30" s="39" t="str">
        <f aca="false">IF($A30="","",IFERROR($Q30/$P30,""))</f>
        <v/>
      </c>
      <c r="S30" s="38" t="str">
        <f aca="false">IF($A30="","",SUMIFS('Thanh toán'!$H$4:$H$203,'Thanh toán'!$D$4:$D$203,$A30))</f>
        <v/>
      </c>
      <c r="T30" s="38" t="str">
        <f aca="false">IF($A30="","",SUMIFS('Công nợ'!$I$4:$I$203,'Công nợ'!$B$4:$B$203,$A30))</f>
        <v/>
      </c>
      <c r="U30" s="38" t="str">
        <f aca="false">IF($A30="","",SUMIFS('Công nợ'!$I$4:$I$203,'Công nợ'!$B$4:$B$203,$A30,'Công nợ'!$K$4:$K$203,"&gt;0"))</f>
        <v/>
      </c>
    </row>
    <row r="31" customFormat="false" ht="15" hidden="false" customHeight="false" outlineLevel="0" collapsed="false">
      <c r="A31" s="37" t="str">
        <f aca="false">IF('Dự án'!$A31="","",'Dự án'!$A31)</f>
        <v/>
      </c>
      <c r="B31" s="37" t="str">
        <f aca="false">IF($A31="","",'Dự án'!$B31)</f>
        <v/>
      </c>
      <c r="C31" s="37" t="str">
        <f aca="false">IF($A31="","",'Dự án'!$C31)</f>
        <v/>
      </c>
      <c r="D31" s="37" t="str">
        <f aca="false">IF($A31="","",'Dự án'!$H31)</f>
        <v/>
      </c>
      <c r="E31" s="38" t="str">
        <f aca="false">IF($A31="","",'Dự án'!$G31)</f>
        <v/>
      </c>
      <c r="F31" s="38" t="str">
        <f aca="false">IF($A31="","",COUNTIFS('Check giá'!$C$4:$C$203,$A31))</f>
        <v/>
      </c>
      <c r="G31" s="38" t="str">
        <f aca="false">IF($A31="","",COUNTIFS('Check giá'!$C$4:$C$203,$A31,'Check giá'!$O$4:$O$203,"Đang xử lý")+COUNTIFS('Check giá'!$C$4:$C$203,$A31,'Check giá'!$O$4:$O$203,"Quá hạn chưa trả"))</f>
        <v/>
      </c>
      <c r="H31" s="38" t="str">
        <f aca="false">IF($A31="","",SUMIFS('Check giá'!$J$4:$J$203,'Check giá'!$C$4:$C$203,$A31))</f>
        <v/>
      </c>
      <c r="I31" s="38" t="str">
        <f aca="false">IF($A31="","",COUNTIFS(PR!$D$4:$D$203,$A31))</f>
        <v/>
      </c>
      <c r="J31" s="38" t="str">
        <f aca="false">IF($A31="","",SUMIFS(PR!$L$4:$L$203,PR!$D$4:$D$203,$A31))</f>
        <v/>
      </c>
      <c r="K31" s="38" t="str">
        <f aca="false">IF($A31="","",COUNTIFS(PO!$D$4:$D$203,$A31))</f>
        <v/>
      </c>
      <c r="L31" s="38" t="str">
        <f aca="false">IF($A31="","",SUMIFS(PO!$L$4:$L$203,PO!$D$4:$D$203,$A31))</f>
        <v/>
      </c>
      <c r="M31" s="38" t="str">
        <f aca="false">IF($A31="","",SUMIFS(PO!$N$4:$N$203,PO!$D$4:$D$203,$A31))</f>
        <v/>
      </c>
      <c r="N31" s="39" t="str">
        <f aca="false">IF($A31="","",IFERROR($L31/$E31,""))</f>
        <v/>
      </c>
      <c r="O31" s="38" t="str">
        <f aca="false">IF($A31="","",IFERROR($E31-$L31,""))</f>
        <v/>
      </c>
      <c r="P31" s="38" t="str">
        <f aca="false">IF($A31="","",COUNTIFS(PO!$D$4:$D$203,$A31,PO!$S$4:$S$203,"Đúng hạn")+COUNTIFS(PO!$D$4:$D$203,$A31,PO!$S$4:$S$203,"Giao trễ")+COUNTIFS(PO!$D$4:$D$203,$A31,PO!$S$4:$S$203,"Trễ hạn"))</f>
        <v/>
      </c>
      <c r="Q31" s="38" t="str">
        <f aca="false">IF($A31="","",COUNTIFS(PO!$D$4:$D$203,$A31,PO!$S$4:$S$203,"Đúng hạn"))</f>
        <v/>
      </c>
      <c r="R31" s="39" t="str">
        <f aca="false">IF($A31="","",IFERROR($Q31/$P31,""))</f>
        <v/>
      </c>
      <c r="S31" s="38" t="str">
        <f aca="false">IF($A31="","",SUMIFS('Thanh toán'!$H$4:$H$203,'Thanh toán'!$D$4:$D$203,$A31))</f>
        <v/>
      </c>
      <c r="T31" s="38" t="str">
        <f aca="false">IF($A31="","",SUMIFS('Công nợ'!$I$4:$I$203,'Công nợ'!$B$4:$B$203,$A31))</f>
        <v/>
      </c>
      <c r="U31" s="38" t="str">
        <f aca="false">IF($A31="","",SUMIFS('Công nợ'!$I$4:$I$203,'Công nợ'!$B$4:$B$203,$A31,'Công nợ'!$K$4:$K$203,"&gt;0"))</f>
        <v/>
      </c>
    </row>
    <row r="32" customFormat="false" ht="15" hidden="false" customHeight="false" outlineLevel="0" collapsed="false">
      <c r="A32" s="37" t="str">
        <f aca="false">IF('Dự án'!$A32="","",'Dự án'!$A32)</f>
        <v/>
      </c>
      <c r="B32" s="37" t="str">
        <f aca="false">IF($A32="","",'Dự án'!$B32)</f>
        <v/>
      </c>
      <c r="C32" s="37" t="str">
        <f aca="false">IF($A32="","",'Dự án'!$C32)</f>
        <v/>
      </c>
      <c r="D32" s="37" t="str">
        <f aca="false">IF($A32="","",'Dự án'!$H32)</f>
        <v/>
      </c>
      <c r="E32" s="38" t="str">
        <f aca="false">IF($A32="","",'Dự án'!$G32)</f>
        <v/>
      </c>
      <c r="F32" s="38" t="str">
        <f aca="false">IF($A32="","",COUNTIFS('Check giá'!$C$4:$C$203,$A32))</f>
        <v/>
      </c>
      <c r="G32" s="38" t="str">
        <f aca="false">IF($A32="","",COUNTIFS('Check giá'!$C$4:$C$203,$A32,'Check giá'!$O$4:$O$203,"Đang xử lý")+COUNTIFS('Check giá'!$C$4:$C$203,$A32,'Check giá'!$O$4:$O$203,"Quá hạn chưa trả"))</f>
        <v/>
      </c>
      <c r="H32" s="38" t="str">
        <f aca="false">IF($A32="","",SUMIFS('Check giá'!$J$4:$J$203,'Check giá'!$C$4:$C$203,$A32))</f>
        <v/>
      </c>
      <c r="I32" s="38" t="str">
        <f aca="false">IF($A32="","",COUNTIFS(PR!$D$4:$D$203,$A32))</f>
        <v/>
      </c>
      <c r="J32" s="38" t="str">
        <f aca="false">IF($A32="","",SUMIFS(PR!$L$4:$L$203,PR!$D$4:$D$203,$A32))</f>
        <v/>
      </c>
      <c r="K32" s="38" t="str">
        <f aca="false">IF($A32="","",COUNTIFS(PO!$D$4:$D$203,$A32))</f>
        <v/>
      </c>
      <c r="L32" s="38" t="str">
        <f aca="false">IF($A32="","",SUMIFS(PO!$L$4:$L$203,PO!$D$4:$D$203,$A32))</f>
        <v/>
      </c>
      <c r="M32" s="38" t="str">
        <f aca="false">IF($A32="","",SUMIFS(PO!$N$4:$N$203,PO!$D$4:$D$203,$A32))</f>
        <v/>
      </c>
      <c r="N32" s="39" t="str">
        <f aca="false">IF($A32="","",IFERROR($L32/$E32,""))</f>
        <v/>
      </c>
      <c r="O32" s="38" t="str">
        <f aca="false">IF($A32="","",IFERROR($E32-$L32,""))</f>
        <v/>
      </c>
      <c r="P32" s="38" t="str">
        <f aca="false">IF($A32="","",COUNTIFS(PO!$D$4:$D$203,$A32,PO!$S$4:$S$203,"Đúng hạn")+COUNTIFS(PO!$D$4:$D$203,$A32,PO!$S$4:$S$203,"Giao trễ")+COUNTIFS(PO!$D$4:$D$203,$A32,PO!$S$4:$S$203,"Trễ hạn"))</f>
        <v/>
      </c>
      <c r="Q32" s="38" t="str">
        <f aca="false">IF($A32="","",COUNTIFS(PO!$D$4:$D$203,$A32,PO!$S$4:$S$203,"Đúng hạn"))</f>
        <v/>
      </c>
      <c r="R32" s="39" t="str">
        <f aca="false">IF($A32="","",IFERROR($Q32/$P32,""))</f>
        <v/>
      </c>
      <c r="S32" s="38" t="str">
        <f aca="false">IF($A32="","",SUMIFS('Thanh toán'!$H$4:$H$203,'Thanh toán'!$D$4:$D$203,$A32))</f>
        <v/>
      </c>
      <c r="T32" s="38" t="str">
        <f aca="false">IF($A32="","",SUMIFS('Công nợ'!$I$4:$I$203,'Công nợ'!$B$4:$B$203,$A32))</f>
        <v/>
      </c>
      <c r="U32" s="38" t="str">
        <f aca="false">IF($A32="","",SUMIFS('Công nợ'!$I$4:$I$203,'Công nợ'!$B$4:$B$203,$A32,'Công nợ'!$K$4:$K$203,"&gt;0"))</f>
        <v/>
      </c>
    </row>
    <row r="33" customFormat="false" ht="15" hidden="false" customHeight="false" outlineLevel="0" collapsed="false">
      <c r="A33" s="37" t="str">
        <f aca="false">IF('Dự án'!$A33="","",'Dự án'!$A33)</f>
        <v/>
      </c>
      <c r="B33" s="37" t="str">
        <f aca="false">IF($A33="","",'Dự án'!$B33)</f>
        <v/>
      </c>
      <c r="C33" s="37" t="str">
        <f aca="false">IF($A33="","",'Dự án'!$C33)</f>
        <v/>
      </c>
      <c r="D33" s="37" t="str">
        <f aca="false">IF($A33="","",'Dự án'!$H33)</f>
        <v/>
      </c>
      <c r="E33" s="38" t="str">
        <f aca="false">IF($A33="","",'Dự án'!$G33)</f>
        <v/>
      </c>
      <c r="F33" s="38" t="str">
        <f aca="false">IF($A33="","",COUNTIFS('Check giá'!$C$4:$C$203,$A33))</f>
        <v/>
      </c>
      <c r="G33" s="38" t="str">
        <f aca="false">IF($A33="","",COUNTIFS('Check giá'!$C$4:$C$203,$A33,'Check giá'!$O$4:$O$203,"Đang xử lý")+COUNTIFS('Check giá'!$C$4:$C$203,$A33,'Check giá'!$O$4:$O$203,"Quá hạn chưa trả"))</f>
        <v/>
      </c>
      <c r="H33" s="38" t="str">
        <f aca="false">IF($A33="","",SUMIFS('Check giá'!$J$4:$J$203,'Check giá'!$C$4:$C$203,$A33))</f>
        <v/>
      </c>
      <c r="I33" s="38" t="str">
        <f aca="false">IF($A33="","",COUNTIFS(PR!$D$4:$D$203,$A33))</f>
        <v/>
      </c>
      <c r="J33" s="38" t="str">
        <f aca="false">IF($A33="","",SUMIFS(PR!$L$4:$L$203,PR!$D$4:$D$203,$A33))</f>
        <v/>
      </c>
      <c r="K33" s="38" t="str">
        <f aca="false">IF($A33="","",COUNTIFS(PO!$D$4:$D$203,$A33))</f>
        <v/>
      </c>
      <c r="L33" s="38" t="str">
        <f aca="false">IF($A33="","",SUMIFS(PO!$L$4:$L$203,PO!$D$4:$D$203,$A33))</f>
        <v/>
      </c>
      <c r="M33" s="38" t="str">
        <f aca="false">IF($A33="","",SUMIFS(PO!$N$4:$N$203,PO!$D$4:$D$203,$A33))</f>
        <v/>
      </c>
      <c r="N33" s="39" t="str">
        <f aca="false">IF($A33="","",IFERROR($L33/$E33,""))</f>
        <v/>
      </c>
      <c r="O33" s="38" t="str">
        <f aca="false">IF($A33="","",IFERROR($E33-$L33,""))</f>
        <v/>
      </c>
      <c r="P33" s="38" t="str">
        <f aca="false">IF($A33="","",COUNTIFS(PO!$D$4:$D$203,$A33,PO!$S$4:$S$203,"Đúng hạn")+COUNTIFS(PO!$D$4:$D$203,$A33,PO!$S$4:$S$203,"Giao trễ")+COUNTIFS(PO!$D$4:$D$203,$A33,PO!$S$4:$S$203,"Trễ hạn"))</f>
        <v/>
      </c>
      <c r="Q33" s="38" t="str">
        <f aca="false">IF($A33="","",COUNTIFS(PO!$D$4:$D$203,$A33,PO!$S$4:$S$203,"Đúng hạn"))</f>
        <v/>
      </c>
      <c r="R33" s="39" t="str">
        <f aca="false">IF($A33="","",IFERROR($Q33/$P33,""))</f>
        <v/>
      </c>
      <c r="S33" s="38" t="str">
        <f aca="false">IF($A33="","",SUMIFS('Thanh toán'!$H$4:$H$203,'Thanh toán'!$D$4:$D$203,$A33))</f>
        <v/>
      </c>
      <c r="T33" s="38" t="str">
        <f aca="false">IF($A33="","",SUMIFS('Công nợ'!$I$4:$I$203,'Công nợ'!$B$4:$B$203,$A33))</f>
        <v/>
      </c>
      <c r="U33" s="38" t="str">
        <f aca="false">IF($A33="","",SUMIFS('Công nợ'!$I$4:$I$203,'Công nợ'!$B$4:$B$203,$A33,'Công nợ'!$K$4:$K$203,"&gt;0"))</f>
        <v/>
      </c>
    </row>
    <row r="34" customFormat="false" ht="15" hidden="false" customHeight="false" outlineLevel="0" collapsed="false">
      <c r="A34" s="37" t="str">
        <f aca="false">IF('Dự án'!$A34="","",'Dự án'!$A34)</f>
        <v/>
      </c>
      <c r="B34" s="37" t="str">
        <f aca="false">IF($A34="","",'Dự án'!$B34)</f>
        <v/>
      </c>
      <c r="C34" s="37" t="str">
        <f aca="false">IF($A34="","",'Dự án'!$C34)</f>
        <v/>
      </c>
      <c r="D34" s="37" t="str">
        <f aca="false">IF($A34="","",'Dự án'!$H34)</f>
        <v/>
      </c>
      <c r="E34" s="38" t="str">
        <f aca="false">IF($A34="","",'Dự án'!$G34)</f>
        <v/>
      </c>
      <c r="F34" s="38" t="str">
        <f aca="false">IF($A34="","",COUNTIFS('Check giá'!$C$4:$C$203,$A34))</f>
        <v/>
      </c>
      <c r="G34" s="38" t="str">
        <f aca="false">IF($A34="","",COUNTIFS('Check giá'!$C$4:$C$203,$A34,'Check giá'!$O$4:$O$203,"Đang xử lý")+COUNTIFS('Check giá'!$C$4:$C$203,$A34,'Check giá'!$O$4:$O$203,"Quá hạn chưa trả"))</f>
        <v/>
      </c>
      <c r="H34" s="38" t="str">
        <f aca="false">IF($A34="","",SUMIFS('Check giá'!$J$4:$J$203,'Check giá'!$C$4:$C$203,$A34))</f>
        <v/>
      </c>
      <c r="I34" s="38" t="str">
        <f aca="false">IF($A34="","",COUNTIFS(PR!$D$4:$D$203,$A34))</f>
        <v/>
      </c>
      <c r="J34" s="38" t="str">
        <f aca="false">IF($A34="","",SUMIFS(PR!$L$4:$L$203,PR!$D$4:$D$203,$A34))</f>
        <v/>
      </c>
      <c r="K34" s="38" t="str">
        <f aca="false">IF($A34="","",COUNTIFS(PO!$D$4:$D$203,$A34))</f>
        <v/>
      </c>
      <c r="L34" s="38" t="str">
        <f aca="false">IF($A34="","",SUMIFS(PO!$L$4:$L$203,PO!$D$4:$D$203,$A34))</f>
        <v/>
      </c>
      <c r="M34" s="38" t="str">
        <f aca="false">IF($A34="","",SUMIFS(PO!$N$4:$N$203,PO!$D$4:$D$203,$A34))</f>
        <v/>
      </c>
      <c r="N34" s="39" t="str">
        <f aca="false">IF($A34="","",IFERROR($L34/$E34,""))</f>
        <v/>
      </c>
      <c r="O34" s="38" t="str">
        <f aca="false">IF($A34="","",IFERROR($E34-$L34,""))</f>
        <v/>
      </c>
      <c r="P34" s="38" t="str">
        <f aca="false">IF($A34="","",COUNTIFS(PO!$D$4:$D$203,$A34,PO!$S$4:$S$203,"Đúng hạn")+COUNTIFS(PO!$D$4:$D$203,$A34,PO!$S$4:$S$203,"Giao trễ")+COUNTIFS(PO!$D$4:$D$203,$A34,PO!$S$4:$S$203,"Trễ hạn"))</f>
        <v/>
      </c>
      <c r="Q34" s="38" t="str">
        <f aca="false">IF($A34="","",COUNTIFS(PO!$D$4:$D$203,$A34,PO!$S$4:$S$203,"Đúng hạn"))</f>
        <v/>
      </c>
      <c r="R34" s="39" t="str">
        <f aca="false">IF($A34="","",IFERROR($Q34/$P34,""))</f>
        <v/>
      </c>
      <c r="S34" s="38" t="str">
        <f aca="false">IF($A34="","",SUMIFS('Thanh toán'!$H$4:$H$203,'Thanh toán'!$D$4:$D$203,$A34))</f>
        <v/>
      </c>
      <c r="T34" s="38" t="str">
        <f aca="false">IF($A34="","",SUMIFS('Công nợ'!$I$4:$I$203,'Công nợ'!$B$4:$B$203,$A34))</f>
        <v/>
      </c>
      <c r="U34" s="38" t="str">
        <f aca="false">IF($A34="","",SUMIFS('Công nợ'!$I$4:$I$203,'Công nợ'!$B$4:$B$203,$A34,'Công nợ'!$K$4:$K$203,"&gt;0"))</f>
        <v/>
      </c>
    </row>
    <row r="35" customFormat="false" ht="15" hidden="false" customHeight="false" outlineLevel="0" collapsed="false">
      <c r="A35" s="37" t="str">
        <f aca="false">IF('Dự án'!$A35="","",'Dự án'!$A35)</f>
        <v/>
      </c>
      <c r="B35" s="37" t="str">
        <f aca="false">IF($A35="","",'Dự án'!$B35)</f>
        <v/>
      </c>
      <c r="C35" s="37" t="str">
        <f aca="false">IF($A35="","",'Dự án'!$C35)</f>
        <v/>
      </c>
      <c r="D35" s="37" t="str">
        <f aca="false">IF($A35="","",'Dự án'!$H35)</f>
        <v/>
      </c>
      <c r="E35" s="38" t="str">
        <f aca="false">IF($A35="","",'Dự án'!$G35)</f>
        <v/>
      </c>
      <c r="F35" s="38" t="str">
        <f aca="false">IF($A35="","",COUNTIFS('Check giá'!$C$4:$C$203,$A35))</f>
        <v/>
      </c>
      <c r="G35" s="38" t="str">
        <f aca="false">IF($A35="","",COUNTIFS('Check giá'!$C$4:$C$203,$A35,'Check giá'!$O$4:$O$203,"Đang xử lý")+COUNTIFS('Check giá'!$C$4:$C$203,$A35,'Check giá'!$O$4:$O$203,"Quá hạn chưa trả"))</f>
        <v/>
      </c>
      <c r="H35" s="38" t="str">
        <f aca="false">IF($A35="","",SUMIFS('Check giá'!$J$4:$J$203,'Check giá'!$C$4:$C$203,$A35))</f>
        <v/>
      </c>
      <c r="I35" s="38" t="str">
        <f aca="false">IF($A35="","",COUNTIFS(PR!$D$4:$D$203,$A35))</f>
        <v/>
      </c>
      <c r="J35" s="38" t="str">
        <f aca="false">IF($A35="","",SUMIFS(PR!$L$4:$L$203,PR!$D$4:$D$203,$A35))</f>
        <v/>
      </c>
      <c r="K35" s="38" t="str">
        <f aca="false">IF($A35="","",COUNTIFS(PO!$D$4:$D$203,$A35))</f>
        <v/>
      </c>
      <c r="L35" s="38" t="str">
        <f aca="false">IF($A35="","",SUMIFS(PO!$L$4:$L$203,PO!$D$4:$D$203,$A35))</f>
        <v/>
      </c>
      <c r="M35" s="38" t="str">
        <f aca="false">IF($A35="","",SUMIFS(PO!$N$4:$N$203,PO!$D$4:$D$203,$A35))</f>
        <v/>
      </c>
      <c r="N35" s="39" t="str">
        <f aca="false">IF($A35="","",IFERROR($L35/$E35,""))</f>
        <v/>
      </c>
      <c r="O35" s="38" t="str">
        <f aca="false">IF($A35="","",IFERROR($E35-$L35,""))</f>
        <v/>
      </c>
      <c r="P35" s="38" t="str">
        <f aca="false">IF($A35="","",COUNTIFS(PO!$D$4:$D$203,$A35,PO!$S$4:$S$203,"Đúng hạn")+COUNTIFS(PO!$D$4:$D$203,$A35,PO!$S$4:$S$203,"Giao trễ")+COUNTIFS(PO!$D$4:$D$203,$A35,PO!$S$4:$S$203,"Trễ hạn"))</f>
        <v/>
      </c>
      <c r="Q35" s="38" t="str">
        <f aca="false">IF($A35="","",COUNTIFS(PO!$D$4:$D$203,$A35,PO!$S$4:$S$203,"Đúng hạn"))</f>
        <v/>
      </c>
      <c r="R35" s="39" t="str">
        <f aca="false">IF($A35="","",IFERROR($Q35/$P35,""))</f>
        <v/>
      </c>
      <c r="S35" s="38" t="str">
        <f aca="false">IF($A35="","",SUMIFS('Thanh toán'!$H$4:$H$203,'Thanh toán'!$D$4:$D$203,$A35))</f>
        <v/>
      </c>
      <c r="T35" s="38" t="str">
        <f aca="false">IF($A35="","",SUMIFS('Công nợ'!$I$4:$I$203,'Công nợ'!$B$4:$B$203,$A35))</f>
        <v/>
      </c>
      <c r="U35" s="38" t="str">
        <f aca="false">IF($A35="","",SUMIFS('Công nợ'!$I$4:$I$203,'Công nợ'!$B$4:$B$203,$A35,'Công nợ'!$K$4:$K$203,"&gt;0"))</f>
        <v/>
      </c>
    </row>
    <row r="36" customFormat="false" ht="15" hidden="false" customHeight="false" outlineLevel="0" collapsed="false">
      <c r="A36" s="37" t="str">
        <f aca="false">IF('Dự án'!$A36="","",'Dự án'!$A36)</f>
        <v/>
      </c>
      <c r="B36" s="37" t="str">
        <f aca="false">IF($A36="","",'Dự án'!$B36)</f>
        <v/>
      </c>
      <c r="C36" s="37" t="str">
        <f aca="false">IF($A36="","",'Dự án'!$C36)</f>
        <v/>
      </c>
      <c r="D36" s="37" t="str">
        <f aca="false">IF($A36="","",'Dự án'!$H36)</f>
        <v/>
      </c>
      <c r="E36" s="38" t="str">
        <f aca="false">IF($A36="","",'Dự án'!$G36)</f>
        <v/>
      </c>
      <c r="F36" s="38" t="str">
        <f aca="false">IF($A36="","",COUNTIFS('Check giá'!$C$4:$C$203,$A36))</f>
        <v/>
      </c>
      <c r="G36" s="38" t="str">
        <f aca="false">IF($A36="","",COUNTIFS('Check giá'!$C$4:$C$203,$A36,'Check giá'!$O$4:$O$203,"Đang xử lý")+COUNTIFS('Check giá'!$C$4:$C$203,$A36,'Check giá'!$O$4:$O$203,"Quá hạn chưa trả"))</f>
        <v/>
      </c>
      <c r="H36" s="38" t="str">
        <f aca="false">IF($A36="","",SUMIFS('Check giá'!$J$4:$J$203,'Check giá'!$C$4:$C$203,$A36))</f>
        <v/>
      </c>
      <c r="I36" s="38" t="str">
        <f aca="false">IF($A36="","",COUNTIFS(PR!$D$4:$D$203,$A36))</f>
        <v/>
      </c>
      <c r="J36" s="38" t="str">
        <f aca="false">IF($A36="","",SUMIFS(PR!$L$4:$L$203,PR!$D$4:$D$203,$A36))</f>
        <v/>
      </c>
      <c r="K36" s="38" t="str">
        <f aca="false">IF($A36="","",COUNTIFS(PO!$D$4:$D$203,$A36))</f>
        <v/>
      </c>
      <c r="L36" s="38" t="str">
        <f aca="false">IF($A36="","",SUMIFS(PO!$L$4:$L$203,PO!$D$4:$D$203,$A36))</f>
        <v/>
      </c>
      <c r="M36" s="38" t="str">
        <f aca="false">IF($A36="","",SUMIFS(PO!$N$4:$N$203,PO!$D$4:$D$203,$A36))</f>
        <v/>
      </c>
      <c r="N36" s="39" t="str">
        <f aca="false">IF($A36="","",IFERROR($L36/$E36,""))</f>
        <v/>
      </c>
      <c r="O36" s="38" t="str">
        <f aca="false">IF($A36="","",IFERROR($E36-$L36,""))</f>
        <v/>
      </c>
      <c r="P36" s="38" t="str">
        <f aca="false">IF($A36="","",COUNTIFS(PO!$D$4:$D$203,$A36,PO!$S$4:$S$203,"Đúng hạn")+COUNTIFS(PO!$D$4:$D$203,$A36,PO!$S$4:$S$203,"Giao trễ")+COUNTIFS(PO!$D$4:$D$203,$A36,PO!$S$4:$S$203,"Trễ hạn"))</f>
        <v/>
      </c>
      <c r="Q36" s="38" t="str">
        <f aca="false">IF($A36="","",COUNTIFS(PO!$D$4:$D$203,$A36,PO!$S$4:$S$203,"Đúng hạn"))</f>
        <v/>
      </c>
      <c r="R36" s="39" t="str">
        <f aca="false">IF($A36="","",IFERROR($Q36/$P36,""))</f>
        <v/>
      </c>
      <c r="S36" s="38" t="str">
        <f aca="false">IF($A36="","",SUMIFS('Thanh toán'!$H$4:$H$203,'Thanh toán'!$D$4:$D$203,$A36))</f>
        <v/>
      </c>
      <c r="T36" s="38" t="str">
        <f aca="false">IF($A36="","",SUMIFS('Công nợ'!$I$4:$I$203,'Công nợ'!$B$4:$B$203,$A36))</f>
        <v/>
      </c>
      <c r="U36" s="38" t="str">
        <f aca="false">IF($A36="","",SUMIFS('Công nợ'!$I$4:$I$203,'Công nợ'!$B$4:$B$203,$A36,'Công nợ'!$K$4:$K$203,"&gt;0"))</f>
        <v/>
      </c>
    </row>
    <row r="37" customFormat="false" ht="15" hidden="false" customHeight="false" outlineLevel="0" collapsed="false">
      <c r="A37" s="37" t="str">
        <f aca="false">IF('Dự án'!$A37="","",'Dự án'!$A37)</f>
        <v/>
      </c>
      <c r="B37" s="37" t="str">
        <f aca="false">IF($A37="","",'Dự án'!$B37)</f>
        <v/>
      </c>
      <c r="C37" s="37" t="str">
        <f aca="false">IF($A37="","",'Dự án'!$C37)</f>
        <v/>
      </c>
      <c r="D37" s="37" t="str">
        <f aca="false">IF($A37="","",'Dự án'!$H37)</f>
        <v/>
      </c>
      <c r="E37" s="38" t="str">
        <f aca="false">IF($A37="","",'Dự án'!$G37)</f>
        <v/>
      </c>
      <c r="F37" s="38" t="str">
        <f aca="false">IF($A37="","",COUNTIFS('Check giá'!$C$4:$C$203,$A37))</f>
        <v/>
      </c>
      <c r="G37" s="38" t="str">
        <f aca="false">IF($A37="","",COUNTIFS('Check giá'!$C$4:$C$203,$A37,'Check giá'!$O$4:$O$203,"Đang xử lý")+COUNTIFS('Check giá'!$C$4:$C$203,$A37,'Check giá'!$O$4:$O$203,"Quá hạn chưa trả"))</f>
        <v/>
      </c>
      <c r="H37" s="38" t="str">
        <f aca="false">IF($A37="","",SUMIFS('Check giá'!$J$4:$J$203,'Check giá'!$C$4:$C$203,$A37))</f>
        <v/>
      </c>
      <c r="I37" s="38" t="str">
        <f aca="false">IF($A37="","",COUNTIFS(PR!$D$4:$D$203,$A37))</f>
        <v/>
      </c>
      <c r="J37" s="38" t="str">
        <f aca="false">IF($A37="","",SUMIFS(PR!$L$4:$L$203,PR!$D$4:$D$203,$A37))</f>
        <v/>
      </c>
      <c r="K37" s="38" t="str">
        <f aca="false">IF($A37="","",COUNTIFS(PO!$D$4:$D$203,$A37))</f>
        <v/>
      </c>
      <c r="L37" s="38" t="str">
        <f aca="false">IF($A37="","",SUMIFS(PO!$L$4:$L$203,PO!$D$4:$D$203,$A37))</f>
        <v/>
      </c>
      <c r="M37" s="38" t="str">
        <f aca="false">IF($A37="","",SUMIFS(PO!$N$4:$N$203,PO!$D$4:$D$203,$A37))</f>
        <v/>
      </c>
      <c r="N37" s="39" t="str">
        <f aca="false">IF($A37="","",IFERROR($L37/$E37,""))</f>
        <v/>
      </c>
      <c r="O37" s="38" t="str">
        <f aca="false">IF($A37="","",IFERROR($E37-$L37,""))</f>
        <v/>
      </c>
      <c r="P37" s="38" t="str">
        <f aca="false">IF($A37="","",COUNTIFS(PO!$D$4:$D$203,$A37,PO!$S$4:$S$203,"Đúng hạn")+COUNTIFS(PO!$D$4:$D$203,$A37,PO!$S$4:$S$203,"Giao trễ")+COUNTIFS(PO!$D$4:$D$203,$A37,PO!$S$4:$S$203,"Trễ hạn"))</f>
        <v/>
      </c>
      <c r="Q37" s="38" t="str">
        <f aca="false">IF($A37="","",COUNTIFS(PO!$D$4:$D$203,$A37,PO!$S$4:$S$203,"Đúng hạn"))</f>
        <v/>
      </c>
      <c r="R37" s="39" t="str">
        <f aca="false">IF($A37="","",IFERROR($Q37/$P37,""))</f>
        <v/>
      </c>
      <c r="S37" s="38" t="str">
        <f aca="false">IF($A37="","",SUMIFS('Thanh toán'!$H$4:$H$203,'Thanh toán'!$D$4:$D$203,$A37))</f>
        <v/>
      </c>
      <c r="T37" s="38" t="str">
        <f aca="false">IF($A37="","",SUMIFS('Công nợ'!$I$4:$I$203,'Công nợ'!$B$4:$B$203,$A37))</f>
        <v/>
      </c>
      <c r="U37" s="38" t="str">
        <f aca="false">IF($A37="","",SUMIFS('Công nợ'!$I$4:$I$203,'Công nợ'!$B$4:$B$203,$A37,'Công nợ'!$K$4:$K$203,"&gt;0"))</f>
        <v/>
      </c>
    </row>
    <row r="38" customFormat="false" ht="15" hidden="false" customHeight="false" outlineLevel="0" collapsed="false">
      <c r="A38" s="37" t="str">
        <f aca="false">IF('Dự án'!$A38="","",'Dự án'!$A38)</f>
        <v/>
      </c>
      <c r="B38" s="37" t="str">
        <f aca="false">IF($A38="","",'Dự án'!$B38)</f>
        <v/>
      </c>
      <c r="C38" s="37" t="str">
        <f aca="false">IF($A38="","",'Dự án'!$C38)</f>
        <v/>
      </c>
      <c r="D38" s="37" t="str">
        <f aca="false">IF($A38="","",'Dự án'!$H38)</f>
        <v/>
      </c>
      <c r="E38" s="38" t="str">
        <f aca="false">IF($A38="","",'Dự án'!$G38)</f>
        <v/>
      </c>
      <c r="F38" s="38" t="str">
        <f aca="false">IF($A38="","",COUNTIFS('Check giá'!$C$4:$C$203,$A38))</f>
        <v/>
      </c>
      <c r="G38" s="38" t="str">
        <f aca="false">IF($A38="","",COUNTIFS('Check giá'!$C$4:$C$203,$A38,'Check giá'!$O$4:$O$203,"Đang xử lý")+COUNTIFS('Check giá'!$C$4:$C$203,$A38,'Check giá'!$O$4:$O$203,"Quá hạn chưa trả"))</f>
        <v/>
      </c>
      <c r="H38" s="38" t="str">
        <f aca="false">IF($A38="","",SUMIFS('Check giá'!$J$4:$J$203,'Check giá'!$C$4:$C$203,$A38))</f>
        <v/>
      </c>
      <c r="I38" s="38" t="str">
        <f aca="false">IF($A38="","",COUNTIFS(PR!$D$4:$D$203,$A38))</f>
        <v/>
      </c>
      <c r="J38" s="38" t="str">
        <f aca="false">IF($A38="","",SUMIFS(PR!$L$4:$L$203,PR!$D$4:$D$203,$A38))</f>
        <v/>
      </c>
      <c r="K38" s="38" t="str">
        <f aca="false">IF($A38="","",COUNTIFS(PO!$D$4:$D$203,$A38))</f>
        <v/>
      </c>
      <c r="L38" s="38" t="str">
        <f aca="false">IF($A38="","",SUMIFS(PO!$L$4:$L$203,PO!$D$4:$D$203,$A38))</f>
        <v/>
      </c>
      <c r="M38" s="38" t="str">
        <f aca="false">IF($A38="","",SUMIFS(PO!$N$4:$N$203,PO!$D$4:$D$203,$A38))</f>
        <v/>
      </c>
      <c r="N38" s="39" t="str">
        <f aca="false">IF($A38="","",IFERROR($L38/$E38,""))</f>
        <v/>
      </c>
      <c r="O38" s="38" t="str">
        <f aca="false">IF($A38="","",IFERROR($E38-$L38,""))</f>
        <v/>
      </c>
      <c r="P38" s="38" t="str">
        <f aca="false">IF($A38="","",COUNTIFS(PO!$D$4:$D$203,$A38,PO!$S$4:$S$203,"Đúng hạn")+COUNTIFS(PO!$D$4:$D$203,$A38,PO!$S$4:$S$203,"Giao trễ")+COUNTIFS(PO!$D$4:$D$203,$A38,PO!$S$4:$S$203,"Trễ hạn"))</f>
        <v/>
      </c>
      <c r="Q38" s="38" t="str">
        <f aca="false">IF($A38="","",COUNTIFS(PO!$D$4:$D$203,$A38,PO!$S$4:$S$203,"Đúng hạn"))</f>
        <v/>
      </c>
      <c r="R38" s="39" t="str">
        <f aca="false">IF($A38="","",IFERROR($Q38/$P38,""))</f>
        <v/>
      </c>
      <c r="S38" s="38" t="str">
        <f aca="false">IF($A38="","",SUMIFS('Thanh toán'!$H$4:$H$203,'Thanh toán'!$D$4:$D$203,$A38))</f>
        <v/>
      </c>
      <c r="T38" s="38" t="str">
        <f aca="false">IF($A38="","",SUMIFS('Công nợ'!$I$4:$I$203,'Công nợ'!$B$4:$B$203,$A38))</f>
        <v/>
      </c>
      <c r="U38" s="38" t="str">
        <f aca="false">IF($A38="","",SUMIFS('Công nợ'!$I$4:$I$203,'Công nợ'!$B$4:$B$203,$A38,'Công nợ'!$K$4:$K$203,"&gt;0"))</f>
        <v/>
      </c>
    </row>
    <row r="39" customFormat="false" ht="15" hidden="false" customHeight="false" outlineLevel="0" collapsed="false">
      <c r="A39" s="37" t="str">
        <f aca="false">IF('Dự án'!$A39="","",'Dự án'!$A39)</f>
        <v/>
      </c>
      <c r="B39" s="37" t="str">
        <f aca="false">IF($A39="","",'Dự án'!$B39)</f>
        <v/>
      </c>
      <c r="C39" s="37" t="str">
        <f aca="false">IF($A39="","",'Dự án'!$C39)</f>
        <v/>
      </c>
      <c r="D39" s="37" t="str">
        <f aca="false">IF($A39="","",'Dự án'!$H39)</f>
        <v/>
      </c>
      <c r="E39" s="38" t="str">
        <f aca="false">IF($A39="","",'Dự án'!$G39)</f>
        <v/>
      </c>
      <c r="F39" s="38" t="str">
        <f aca="false">IF($A39="","",COUNTIFS('Check giá'!$C$4:$C$203,$A39))</f>
        <v/>
      </c>
      <c r="G39" s="38" t="str">
        <f aca="false">IF($A39="","",COUNTIFS('Check giá'!$C$4:$C$203,$A39,'Check giá'!$O$4:$O$203,"Đang xử lý")+COUNTIFS('Check giá'!$C$4:$C$203,$A39,'Check giá'!$O$4:$O$203,"Quá hạn chưa trả"))</f>
        <v/>
      </c>
      <c r="H39" s="38" t="str">
        <f aca="false">IF($A39="","",SUMIFS('Check giá'!$J$4:$J$203,'Check giá'!$C$4:$C$203,$A39))</f>
        <v/>
      </c>
      <c r="I39" s="38" t="str">
        <f aca="false">IF($A39="","",COUNTIFS(PR!$D$4:$D$203,$A39))</f>
        <v/>
      </c>
      <c r="J39" s="38" t="str">
        <f aca="false">IF($A39="","",SUMIFS(PR!$L$4:$L$203,PR!$D$4:$D$203,$A39))</f>
        <v/>
      </c>
      <c r="K39" s="38" t="str">
        <f aca="false">IF($A39="","",COUNTIFS(PO!$D$4:$D$203,$A39))</f>
        <v/>
      </c>
      <c r="L39" s="38" t="str">
        <f aca="false">IF($A39="","",SUMIFS(PO!$L$4:$L$203,PO!$D$4:$D$203,$A39))</f>
        <v/>
      </c>
      <c r="M39" s="38" t="str">
        <f aca="false">IF($A39="","",SUMIFS(PO!$N$4:$N$203,PO!$D$4:$D$203,$A39))</f>
        <v/>
      </c>
      <c r="N39" s="39" t="str">
        <f aca="false">IF($A39="","",IFERROR($L39/$E39,""))</f>
        <v/>
      </c>
      <c r="O39" s="38" t="str">
        <f aca="false">IF($A39="","",IFERROR($E39-$L39,""))</f>
        <v/>
      </c>
      <c r="P39" s="38" t="str">
        <f aca="false">IF($A39="","",COUNTIFS(PO!$D$4:$D$203,$A39,PO!$S$4:$S$203,"Đúng hạn")+COUNTIFS(PO!$D$4:$D$203,$A39,PO!$S$4:$S$203,"Giao trễ")+COUNTIFS(PO!$D$4:$D$203,$A39,PO!$S$4:$S$203,"Trễ hạn"))</f>
        <v/>
      </c>
      <c r="Q39" s="38" t="str">
        <f aca="false">IF($A39="","",COUNTIFS(PO!$D$4:$D$203,$A39,PO!$S$4:$S$203,"Đúng hạn"))</f>
        <v/>
      </c>
      <c r="R39" s="39" t="str">
        <f aca="false">IF($A39="","",IFERROR($Q39/$P39,""))</f>
        <v/>
      </c>
      <c r="S39" s="38" t="str">
        <f aca="false">IF($A39="","",SUMIFS('Thanh toán'!$H$4:$H$203,'Thanh toán'!$D$4:$D$203,$A39))</f>
        <v/>
      </c>
      <c r="T39" s="38" t="str">
        <f aca="false">IF($A39="","",SUMIFS('Công nợ'!$I$4:$I$203,'Công nợ'!$B$4:$B$203,$A39))</f>
        <v/>
      </c>
      <c r="U39" s="38" t="str">
        <f aca="false">IF($A39="","",SUMIFS('Công nợ'!$I$4:$I$203,'Công nợ'!$B$4:$B$203,$A39,'Công nợ'!$K$4:$K$203,"&gt;0"))</f>
        <v/>
      </c>
    </row>
    <row r="40" customFormat="false" ht="15" hidden="false" customHeight="false" outlineLevel="0" collapsed="false">
      <c r="A40" s="37" t="str">
        <f aca="false">IF('Dự án'!$A40="","",'Dự án'!$A40)</f>
        <v/>
      </c>
      <c r="B40" s="37" t="str">
        <f aca="false">IF($A40="","",'Dự án'!$B40)</f>
        <v/>
      </c>
      <c r="C40" s="37" t="str">
        <f aca="false">IF($A40="","",'Dự án'!$C40)</f>
        <v/>
      </c>
      <c r="D40" s="37" t="str">
        <f aca="false">IF($A40="","",'Dự án'!$H40)</f>
        <v/>
      </c>
      <c r="E40" s="38" t="str">
        <f aca="false">IF($A40="","",'Dự án'!$G40)</f>
        <v/>
      </c>
      <c r="F40" s="38" t="str">
        <f aca="false">IF($A40="","",COUNTIFS('Check giá'!$C$4:$C$203,$A40))</f>
        <v/>
      </c>
      <c r="G40" s="38" t="str">
        <f aca="false">IF($A40="","",COUNTIFS('Check giá'!$C$4:$C$203,$A40,'Check giá'!$O$4:$O$203,"Đang xử lý")+COUNTIFS('Check giá'!$C$4:$C$203,$A40,'Check giá'!$O$4:$O$203,"Quá hạn chưa trả"))</f>
        <v/>
      </c>
      <c r="H40" s="38" t="str">
        <f aca="false">IF($A40="","",SUMIFS('Check giá'!$J$4:$J$203,'Check giá'!$C$4:$C$203,$A40))</f>
        <v/>
      </c>
      <c r="I40" s="38" t="str">
        <f aca="false">IF($A40="","",COUNTIFS(PR!$D$4:$D$203,$A40))</f>
        <v/>
      </c>
      <c r="J40" s="38" t="str">
        <f aca="false">IF($A40="","",SUMIFS(PR!$L$4:$L$203,PR!$D$4:$D$203,$A40))</f>
        <v/>
      </c>
      <c r="K40" s="38" t="str">
        <f aca="false">IF($A40="","",COUNTIFS(PO!$D$4:$D$203,$A40))</f>
        <v/>
      </c>
      <c r="L40" s="38" t="str">
        <f aca="false">IF($A40="","",SUMIFS(PO!$L$4:$L$203,PO!$D$4:$D$203,$A40))</f>
        <v/>
      </c>
      <c r="M40" s="38" t="str">
        <f aca="false">IF($A40="","",SUMIFS(PO!$N$4:$N$203,PO!$D$4:$D$203,$A40))</f>
        <v/>
      </c>
      <c r="N40" s="39" t="str">
        <f aca="false">IF($A40="","",IFERROR($L40/$E40,""))</f>
        <v/>
      </c>
      <c r="O40" s="38" t="str">
        <f aca="false">IF($A40="","",IFERROR($E40-$L40,""))</f>
        <v/>
      </c>
      <c r="P40" s="38" t="str">
        <f aca="false">IF($A40="","",COUNTIFS(PO!$D$4:$D$203,$A40,PO!$S$4:$S$203,"Đúng hạn")+COUNTIFS(PO!$D$4:$D$203,$A40,PO!$S$4:$S$203,"Giao trễ")+COUNTIFS(PO!$D$4:$D$203,$A40,PO!$S$4:$S$203,"Trễ hạn"))</f>
        <v/>
      </c>
      <c r="Q40" s="38" t="str">
        <f aca="false">IF($A40="","",COUNTIFS(PO!$D$4:$D$203,$A40,PO!$S$4:$S$203,"Đúng hạn"))</f>
        <v/>
      </c>
      <c r="R40" s="39" t="str">
        <f aca="false">IF($A40="","",IFERROR($Q40/$P40,""))</f>
        <v/>
      </c>
      <c r="S40" s="38" t="str">
        <f aca="false">IF($A40="","",SUMIFS('Thanh toán'!$H$4:$H$203,'Thanh toán'!$D$4:$D$203,$A40))</f>
        <v/>
      </c>
      <c r="T40" s="38" t="str">
        <f aca="false">IF($A40="","",SUMIFS('Công nợ'!$I$4:$I$203,'Công nợ'!$B$4:$B$203,$A40))</f>
        <v/>
      </c>
      <c r="U40" s="38" t="str">
        <f aca="false">IF($A40="","",SUMIFS('Công nợ'!$I$4:$I$203,'Công nợ'!$B$4:$B$203,$A40,'Công nợ'!$K$4:$K$203,"&gt;0"))</f>
        <v/>
      </c>
    </row>
    <row r="41" customFormat="false" ht="15" hidden="false" customHeight="false" outlineLevel="0" collapsed="false">
      <c r="A41" s="37" t="str">
        <f aca="false">IF('Dự án'!$A41="","",'Dự án'!$A41)</f>
        <v/>
      </c>
      <c r="B41" s="37" t="str">
        <f aca="false">IF($A41="","",'Dự án'!$B41)</f>
        <v/>
      </c>
      <c r="C41" s="37" t="str">
        <f aca="false">IF($A41="","",'Dự án'!$C41)</f>
        <v/>
      </c>
      <c r="D41" s="37" t="str">
        <f aca="false">IF($A41="","",'Dự án'!$H41)</f>
        <v/>
      </c>
      <c r="E41" s="38" t="str">
        <f aca="false">IF($A41="","",'Dự án'!$G41)</f>
        <v/>
      </c>
      <c r="F41" s="38" t="str">
        <f aca="false">IF($A41="","",COUNTIFS('Check giá'!$C$4:$C$203,$A41))</f>
        <v/>
      </c>
      <c r="G41" s="38" t="str">
        <f aca="false">IF($A41="","",COUNTIFS('Check giá'!$C$4:$C$203,$A41,'Check giá'!$O$4:$O$203,"Đang xử lý")+COUNTIFS('Check giá'!$C$4:$C$203,$A41,'Check giá'!$O$4:$O$203,"Quá hạn chưa trả"))</f>
        <v/>
      </c>
      <c r="H41" s="38" t="str">
        <f aca="false">IF($A41="","",SUMIFS('Check giá'!$J$4:$J$203,'Check giá'!$C$4:$C$203,$A41))</f>
        <v/>
      </c>
      <c r="I41" s="38" t="str">
        <f aca="false">IF($A41="","",COUNTIFS(PR!$D$4:$D$203,$A41))</f>
        <v/>
      </c>
      <c r="J41" s="38" t="str">
        <f aca="false">IF($A41="","",SUMIFS(PR!$L$4:$L$203,PR!$D$4:$D$203,$A41))</f>
        <v/>
      </c>
      <c r="K41" s="38" t="str">
        <f aca="false">IF($A41="","",COUNTIFS(PO!$D$4:$D$203,$A41))</f>
        <v/>
      </c>
      <c r="L41" s="38" t="str">
        <f aca="false">IF($A41="","",SUMIFS(PO!$L$4:$L$203,PO!$D$4:$D$203,$A41))</f>
        <v/>
      </c>
      <c r="M41" s="38" t="str">
        <f aca="false">IF($A41="","",SUMIFS(PO!$N$4:$N$203,PO!$D$4:$D$203,$A41))</f>
        <v/>
      </c>
      <c r="N41" s="39" t="str">
        <f aca="false">IF($A41="","",IFERROR($L41/$E41,""))</f>
        <v/>
      </c>
      <c r="O41" s="38" t="str">
        <f aca="false">IF($A41="","",IFERROR($E41-$L41,""))</f>
        <v/>
      </c>
      <c r="P41" s="38" t="str">
        <f aca="false">IF($A41="","",COUNTIFS(PO!$D$4:$D$203,$A41,PO!$S$4:$S$203,"Đúng hạn")+COUNTIFS(PO!$D$4:$D$203,$A41,PO!$S$4:$S$203,"Giao trễ")+COUNTIFS(PO!$D$4:$D$203,$A41,PO!$S$4:$S$203,"Trễ hạn"))</f>
        <v/>
      </c>
      <c r="Q41" s="38" t="str">
        <f aca="false">IF($A41="","",COUNTIFS(PO!$D$4:$D$203,$A41,PO!$S$4:$S$203,"Đúng hạn"))</f>
        <v/>
      </c>
      <c r="R41" s="39" t="str">
        <f aca="false">IF($A41="","",IFERROR($Q41/$P41,""))</f>
        <v/>
      </c>
      <c r="S41" s="38" t="str">
        <f aca="false">IF($A41="","",SUMIFS('Thanh toán'!$H$4:$H$203,'Thanh toán'!$D$4:$D$203,$A41))</f>
        <v/>
      </c>
      <c r="T41" s="38" t="str">
        <f aca="false">IF($A41="","",SUMIFS('Công nợ'!$I$4:$I$203,'Công nợ'!$B$4:$B$203,$A41))</f>
        <v/>
      </c>
      <c r="U41" s="38" t="str">
        <f aca="false">IF($A41="","",SUMIFS('Công nợ'!$I$4:$I$203,'Công nợ'!$B$4:$B$203,$A41,'Công nợ'!$K$4:$K$203,"&gt;0"))</f>
        <v/>
      </c>
    </row>
    <row r="42" customFormat="false" ht="15" hidden="false" customHeight="false" outlineLevel="0" collapsed="false">
      <c r="A42" s="37" t="str">
        <f aca="false">IF('Dự án'!$A42="","",'Dự án'!$A42)</f>
        <v/>
      </c>
      <c r="B42" s="37" t="str">
        <f aca="false">IF($A42="","",'Dự án'!$B42)</f>
        <v/>
      </c>
      <c r="C42" s="37" t="str">
        <f aca="false">IF($A42="","",'Dự án'!$C42)</f>
        <v/>
      </c>
      <c r="D42" s="37" t="str">
        <f aca="false">IF($A42="","",'Dự án'!$H42)</f>
        <v/>
      </c>
      <c r="E42" s="38" t="str">
        <f aca="false">IF($A42="","",'Dự án'!$G42)</f>
        <v/>
      </c>
      <c r="F42" s="38" t="str">
        <f aca="false">IF($A42="","",COUNTIFS('Check giá'!$C$4:$C$203,$A42))</f>
        <v/>
      </c>
      <c r="G42" s="38" t="str">
        <f aca="false">IF($A42="","",COUNTIFS('Check giá'!$C$4:$C$203,$A42,'Check giá'!$O$4:$O$203,"Đang xử lý")+COUNTIFS('Check giá'!$C$4:$C$203,$A42,'Check giá'!$O$4:$O$203,"Quá hạn chưa trả"))</f>
        <v/>
      </c>
      <c r="H42" s="38" t="str">
        <f aca="false">IF($A42="","",SUMIFS('Check giá'!$J$4:$J$203,'Check giá'!$C$4:$C$203,$A42))</f>
        <v/>
      </c>
      <c r="I42" s="38" t="str">
        <f aca="false">IF($A42="","",COUNTIFS(PR!$D$4:$D$203,$A42))</f>
        <v/>
      </c>
      <c r="J42" s="38" t="str">
        <f aca="false">IF($A42="","",SUMIFS(PR!$L$4:$L$203,PR!$D$4:$D$203,$A42))</f>
        <v/>
      </c>
      <c r="K42" s="38" t="str">
        <f aca="false">IF($A42="","",COUNTIFS(PO!$D$4:$D$203,$A42))</f>
        <v/>
      </c>
      <c r="L42" s="38" t="str">
        <f aca="false">IF($A42="","",SUMIFS(PO!$L$4:$L$203,PO!$D$4:$D$203,$A42))</f>
        <v/>
      </c>
      <c r="M42" s="38" t="str">
        <f aca="false">IF($A42="","",SUMIFS(PO!$N$4:$N$203,PO!$D$4:$D$203,$A42))</f>
        <v/>
      </c>
      <c r="N42" s="39" t="str">
        <f aca="false">IF($A42="","",IFERROR($L42/$E42,""))</f>
        <v/>
      </c>
      <c r="O42" s="38" t="str">
        <f aca="false">IF($A42="","",IFERROR($E42-$L42,""))</f>
        <v/>
      </c>
      <c r="P42" s="38" t="str">
        <f aca="false">IF($A42="","",COUNTIFS(PO!$D$4:$D$203,$A42,PO!$S$4:$S$203,"Đúng hạn")+COUNTIFS(PO!$D$4:$D$203,$A42,PO!$S$4:$S$203,"Giao trễ")+COUNTIFS(PO!$D$4:$D$203,$A42,PO!$S$4:$S$203,"Trễ hạn"))</f>
        <v/>
      </c>
      <c r="Q42" s="38" t="str">
        <f aca="false">IF($A42="","",COUNTIFS(PO!$D$4:$D$203,$A42,PO!$S$4:$S$203,"Đúng hạn"))</f>
        <v/>
      </c>
      <c r="R42" s="39" t="str">
        <f aca="false">IF($A42="","",IFERROR($Q42/$P42,""))</f>
        <v/>
      </c>
      <c r="S42" s="38" t="str">
        <f aca="false">IF($A42="","",SUMIFS('Thanh toán'!$H$4:$H$203,'Thanh toán'!$D$4:$D$203,$A42))</f>
        <v/>
      </c>
      <c r="T42" s="38" t="str">
        <f aca="false">IF($A42="","",SUMIFS('Công nợ'!$I$4:$I$203,'Công nợ'!$B$4:$B$203,$A42))</f>
        <v/>
      </c>
      <c r="U42" s="38" t="str">
        <f aca="false">IF($A42="","",SUMIFS('Công nợ'!$I$4:$I$203,'Công nợ'!$B$4:$B$203,$A42,'Công nợ'!$K$4:$K$203,"&gt;0"))</f>
        <v/>
      </c>
    </row>
    <row r="43" customFormat="false" ht="15" hidden="false" customHeight="false" outlineLevel="0" collapsed="false">
      <c r="A43" s="37" t="str">
        <f aca="false">IF('Dự án'!$A43="","",'Dự án'!$A43)</f>
        <v/>
      </c>
      <c r="B43" s="37" t="str">
        <f aca="false">IF($A43="","",'Dự án'!$B43)</f>
        <v/>
      </c>
      <c r="C43" s="37" t="str">
        <f aca="false">IF($A43="","",'Dự án'!$C43)</f>
        <v/>
      </c>
      <c r="D43" s="37" t="str">
        <f aca="false">IF($A43="","",'Dự án'!$H43)</f>
        <v/>
      </c>
      <c r="E43" s="38" t="str">
        <f aca="false">IF($A43="","",'Dự án'!$G43)</f>
        <v/>
      </c>
      <c r="F43" s="38" t="str">
        <f aca="false">IF($A43="","",COUNTIFS('Check giá'!$C$4:$C$203,$A43))</f>
        <v/>
      </c>
      <c r="G43" s="38" t="str">
        <f aca="false">IF($A43="","",COUNTIFS('Check giá'!$C$4:$C$203,$A43,'Check giá'!$O$4:$O$203,"Đang xử lý")+COUNTIFS('Check giá'!$C$4:$C$203,$A43,'Check giá'!$O$4:$O$203,"Quá hạn chưa trả"))</f>
        <v/>
      </c>
      <c r="H43" s="38" t="str">
        <f aca="false">IF($A43="","",SUMIFS('Check giá'!$J$4:$J$203,'Check giá'!$C$4:$C$203,$A43))</f>
        <v/>
      </c>
      <c r="I43" s="38" t="str">
        <f aca="false">IF($A43="","",COUNTIFS(PR!$D$4:$D$203,$A43))</f>
        <v/>
      </c>
      <c r="J43" s="38" t="str">
        <f aca="false">IF($A43="","",SUMIFS(PR!$L$4:$L$203,PR!$D$4:$D$203,$A43))</f>
        <v/>
      </c>
      <c r="K43" s="38" t="str">
        <f aca="false">IF($A43="","",COUNTIFS(PO!$D$4:$D$203,$A43))</f>
        <v/>
      </c>
      <c r="L43" s="38" t="str">
        <f aca="false">IF($A43="","",SUMIFS(PO!$L$4:$L$203,PO!$D$4:$D$203,$A43))</f>
        <v/>
      </c>
      <c r="M43" s="38" t="str">
        <f aca="false">IF($A43="","",SUMIFS(PO!$N$4:$N$203,PO!$D$4:$D$203,$A43))</f>
        <v/>
      </c>
      <c r="N43" s="39" t="str">
        <f aca="false">IF($A43="","",IFERROR($L43/$E43,""))</f>
        <v/>
      </c>
      <c r="O43" s="38" t="str">
        <f aca="false">IF($A43="","",IFERROR($E43-$L43,""))</f>
        <v/>
      </c>
      <c r="P43" s="38" t="str">
        <f aca="false">IF($A43="","",COUNTIFS(PO!$D$4:$D$203,$A43,PO!$S$4:$S$203,"Đúng hạn")+COUNTIFS(PO!$D$4:$D$203,$A43,PO!$S$4:$S$203,"Giao trễ")+COUNTIFS(PO!$D$4:$D$203,$A43,PO!$S$4:$S$203,"Trễ hạn"))</f>
        <v/>
      </c>
      <c r="Q43" s="38" t="str">
        <f aca="false">IF($A43="","",COUNTIFS(PO!$D$4:$D$203,$A43,PO!$S$4:$S$203,"Đúng hạn"))</f>
        <v/>
      </c>
      <c r="R43" s="39" t="str">
        <f aca="false">IF($A43="","",IFERROR($Q43/$P43,""))</f>
        <v/>
      </c>
      <c r="S43" s="38" t="str">
        <f aca="false">IF($A43="","",SUMIFS('Thanh toán'!$H$4:$H$203,'Thanh toán'!$D$4:$D$203,$A43))</f>
        <v/>
      </c>
      <c r="T43" s="38" t="str">
        <f aca="false">IF($A43="","",SUMIFS('Công nợ'!$I$4:$I$203,'Công nợ'!$B$4:$B$203,$A43))</f>
        <v/>
      </c>
      <c r="U43" s="38" t="str">
        <f aca="false">IF($A43="","",SUMIFS('Công nợ'!$I$4:$I$203,'Công nợ'!$B$4:$B$203,$A43,'Công nợ'!$K$4:$K$203,"&gt;0"))</f>
        <v/>
      </c>
    </row>
    <row r="44" customFormat="false" ht="15" hidden="false" customHeight="false" outlineLevel="0" collapsed="false">
      <c r="A44" s="37" t="str">
        <f aca="false">IF('Dự án'!$A44="","",'Dự án'!$A44)</f>
        <v/>
      </c>
      <c r="B44" s="37" t="str">
        <f aca="false">IF($A44="","",'Dự án'!$B44)</f>
        <v/>
      </c>
      <c r="C44" s="37" t="str">
        <f aca="false">IF($A44="","",'Dự án'!$C44)</f>
        <v/>
      </c>
      <c r="D44" s="37" t="str">
        <f aca="false">IF($A44="","",'Dự án'!$H44)</f>
        <v/>
      </c>
      <c r="E44" s="38" t="str">
        <f aca="false">IF($A44="","",'Dự án'!$G44)</f>
        <v/>
      </c>
      <c r="F44" s="38" t="str">
        <f aca="false">IF($A44="","",COUNTIFS('Check giá'!$C$4:$C$203,$A44))</f>
        <v/>
      </c>
      <c r="G44" s="38" t="str">
        <f aca="false">IF($A44="","",COUNTIFS('Check giá'!$C$4:$C$203,$A44,'Check giá'!$O$4:$O$203,"Đang xử lý")+COUNTIFS('Check giá'!$C$4:$C$203,$A44,'Check giá'!$O$4:$O$203,"Quá hạn chưa trả"))</f>
        <v/>
      </c>
      <c r="H44" s="38" t="str">
        <f aca="false">IF($A44="","",SUMIFS('Check giá'!$J$4:$J$203,'Check giá'!$C$4:$C$203,$A44))</f>
        <v/>
      </c>
      <c r="I44" s="38" t="str">
        <f aca="false">IF($A44="","",COUNTIFS(PR!$D$4:$D$203,$A44))</f>
        <v/>
      </c>
      <c r="J44" s="38" t="str">
        <f aca="false">IF($A44="","",SUMIFS(PR!$L$4:$L$203,PR!$D$4:$D$203,$A44))</f>
        <v/>
      </c>
      <c r="K44" s="38" t="str">
        <f aca="false">IF($A44="","",COUNTIFS(PO!$D$4:$D$203,$A44))</f>
        <v/>
      </c>
      <c r="L44" s="38" t="str">
        <f aca="false">IF($A44="","",SUMIFS(PO!$L$4:$L$203,PO!$D$4:$D$203,$A44))</f>
        <v/>
      </c>
      <c r="M44" s="38" t="str">
        <f aca="false">IF($A44="","",SUMIFS(PO!$N$4:$N$203,PO!$D$4:$D$203,$A44))</f>
        <v/>
      </c>
      <c r="N44" s="39" t="str">
        <f aca="false">IF($A44="","",IFERROR($L44/$E44,""))</f>
        <v/>
      </c>
      <c r="O44" s="38" t="str">
        <f aca="false">IF($A44="","",IFERROR($E44-$L44,""))</f>
        <v/>
      </c>
      <c r="P44" s="38" t="str">
        <f aca="false">IF($A44="","",COUNTIFS(PO!$D$4:$D$203,$A44,PO!$S$4:$S$203,"Đúng hạn")+COUNTIFS(PO!$D$4:$D$203,$A44,PO!$S$4:$S$203,"Giao trễ")+COUNTIFS(PO!$D$4:$D$203,$A44,PO!$S$4:$S$203,"Trễ hạn"))</f>
        <v/>
      </c>
      <c r="Q44" s="38" t="str">
        <f aca="false">IF($A44="","",COUNTIFS(PO!$D$4:$D$203,$A44,PO!$S$4:$S$203,"Đúng hạn"))</f>
        <v/>
      </c>
      <c r="R44" s="39" t="str">
        <f aca="false">IF($A44="","",IFERROR($Q44/$P44,""))</f>
        <v/>
      </c>
      <c r="S44" s="38" t="str">
        <f aca="false">IF($A44="","",SUMIFS('Thanh toán'!$H$4:$H$203,'Thanh toán'!$D$4:$D$203,$A44))</f>
        <v/>
      </c>
      <c r="T44" s="38" t="str">
        <f aca="false">IF($A44="","",SUMIFS('Công nợ'!$I$4:$I$203,'Công nợ'!$B$4:$B$203,$A44))</f>
        <v/>
      </c>
      <c r="U44" s="38" t="str">
        <f aca="false">IF($A44="","",SUMIFS('Công nợ'!$I$4:$I$203,'Công nợ'!$B$4:$B$203,$A44,'Công nợ'!$K$4:$K$203,"&gt;0"))</f>
        <v/>
      </c>
    </row>
    <row r="45" customFormat="false" ht="15" hidden="false" customHeight="false" outlineLevel="0" collapsed="false">
      <c r="A45" s="37" t="str">
        <f aca="false">IF('Dự án'!$A45="","",'Dự án'!$A45)</f>
        <v/>
      </c>
      <c r="B45" s="37" t="str">
        <f aca="false">IF($A45="","",'Dự án'!$B45)</f>
        <v/>
      </c>
      <c r="C45" s="37" t="str">
        <f aca="false">IF($A45="","",'Dự án'!$C45)</f>
        <v/>
      </c>
      <c r="D45" s="37" t="str">
        <f aca="false">IF($A45="","",'Dự án'!$H45)</f>
        <v/>
      </c>
      <c r="E45" s="38" t="str">
        <f aca="false">IF($A45="","",'Dự án'!$G45)</f>
        <v/>
      </c>
      <c r="F45" s="38" t="str">
        <f aca="false">IF($A45="","",COUNTIFS('Check giá'!$C$4:$C$203,$A45))</f>
        <v/>
      </c>
      <c r="G45" s="38" t="str">
        <f aca="false">IF($A45="","",COUNTIFS('Check giá'!$C$4:$C$203,$A45,'Check giá'!$O$4:$O$203,"Đang xử lý")+COUNTIFS('Check giá'!$C$4:$C$203,$A45,'Check giá'!$O$4:$O$203,"Quá hạn chưa trả"))</f>
        <v/>
      </c>
      <c r="H45" s="38" t="str">
        <f aca="false">IF($A45="","",SUMIFS('Check giá'!$J$4:$J$203,'Check giá'!$C$4:$C$203,$A45))</f>
        <v/>
      </c>
      <c r="I45" s="38" t="str">
        <f aca="false">IF($A45="","",COUNTIFS(PR!$D$4:$D$203,$A45))</f>
        <v/>
      </c>
      <c r="J45" s="38" t="str">
        <f aca="false">IF($A45="","",SUMIFS(PR!$L$4:$L$203,PR!$D$4:$D$203,$A45))</f>
        <v/>
      </c>
      <c r="K45" s="38" t="str">
        <f aca="false">IF($A45="","",COUNTIFS(PO!$D$4:$D$203,$A45))</f>
        <v/>
      </c>
      <c r="L45" s="38" t="str">
        <f aca="false">IF($A45="","",SUMIFS(PO!$L$4:$L$203,PO!$D$4:$D$203,$A45))</f>
        <v/>
      </c>
      <c r="M45" s="38" t="str">
        <f aca="false">IF($A45="","",SUMIFS(PO!$N$4:$N$203,PO!$D$4:$D$203,$A45))</f>
        <v/>
      </c>
      <c r="N45" s="39" t="str">
        <f aca="false">IF($A45="","",IFERROR($L45/$E45,""))</f>
        <v/>
      </c>
      <c r="O45" s="38" t="str">
        <f aca="false">IF($A45="","",IFERROR($E45-$L45,""))</f>
        <v/>
      </c>
      <c r="P45" s="38" t="str">
        <f aca="false">IF($A45="","",COUNTIFS(PO!$D$4:$D$203,$A45,PO!$S$4:$S$203,"Đúng hạn")+COUNTIFS(PO!$D$4:$D$203,$A45,PO!$S$4:$S$203,"Giao trễ")+COUNTIFS(PO!$D$4:$D$203,$A45,PO!$S$4:$S$203,"Trễ hạn"))</f>
        <v/>
      </c>
      <c r="Q45" s="38" t="str">
        <f aca="false">IF($A45="","",COUNTIFS(PO!$D$4:$D$203,$A45,PO!$S$4:$S$203,"Đúng hạn"))</f>
        <v/>
      </c>
      <c r="R45" s="39" t="str">
        <f aca="false">IF($A45="","",IFERROR($Q45/$P45,""))</f>
        <v/>
      </c>
      <c r="S45" s="38" t="str">
        <f aca="false">IF($A45="","",SUMIFS('Thanh toán'!$H$4:$H$203,'Thanh toán'!$D$4:$D$203,$A45))</f>
        <v/>
      </c>
      <c r="T45" s="38" t="str">
        <f aca="false">IF($A45="","",SUMIFS('Công nợ'!$I$4:$I$203,'Công nợ'!$B$4:$B$203,$A45))</f>
        <v/>
      </c>
      <c r="U45" s="38" t="str">
        <f aca="false">IF($A45="","",SUMIFS('Công nợ'!$I$4:$I$203,'Công nợ'!$B$4:$B$203,$A45,'Công nợ'!$K$4:$K$203,"&gt;0"))</f>
        <v/>
      </c>
    </row>
    <row r="46" customFormat="false" ht="15" hidden="false" customHeight="false" outlineLevel="0" collapsed="false">
      <c r="A46" s="37" t="str">
        <f aca="false">IF('Dự án'!$A46="","",'Dự án'!$A46)</f>
        <v/>
      </c>
      <c r="B46" s="37" t="str">
        <f aca="false">IF($A46="","",'Dự án'!$B46)</f>
        <v/>
      </c>
      <c r="C46" s="37" t="str">
        <f aca="false">IF($A46="","",'Dự án'!$C46)</f>
        <v/>
      </c>
      <c r="D46" s="37" t="str">
        <f aca="false">IF($A46="","",'Dự án'!$H46)</f>
        <v/>
      </c>
      <c r="E46" s="38" t="str">
        <f aca="false">IF($A46="","",'Dự án'!$G46)</f>
        <v/>
      </c>
      <c r="F46" s="38" t="str">
        <f aca="false">IF($A46="","",COUNTIFS('Check giá'!$C$4:$C$203,$A46))</f>
        <v/>
      </c>
      <c r="G46" s="38" t="str">
        <f aca="false">IF($A46="","",COUNTIFS('Check giá'!$C$4:$C$203,$A46,'Check giá'!$O$4:$O$203,"Đang xử lý")+COUNTIFS('Check giá'!$C$4:$C$203,$A46,'Check giá'!$O$4:$O$203,"Quá hạn chưa trả"))</f>
        <v/>
      </c>
      <c r="H46" s="38" t="str">
        <f aca="false">IF($A46="","",SUMIFS('Check giá'!$J$4:$J$203,'Check giá'!$C$4:$C$203,$A46))</f>
        <v/>
      </c>
      <c r="I46" s="38" t="str">
        <f aca="false">IF($A46="","",COUNTIFS(PR!$D$4:$D$203,$A46))</f>
        <v/>
      </c>
      <c r="J46" s="38" t="str">
        <f aca="false">IF($A46="","",SUMIFS(PR!$L$4:$L$203,PR!$D$4:$D$203,$A46))</f>
        <v/>
      </c>
      <c r="K46" s="38" t="str">
        <f aca="false">IF($A46="","",COUNTIFS(PO!$D$4:$D$203,$A46))</f>
        <v/>
      </c>
      <c r="L46" s="38" t="str">
        <f aca="false">IF($A46="","",SUMIFS(PO!$L$4:$L$203,PO!$D$4:$D$203,$A46))</f>
        <v/>
      </c>
      <c r="M46" s="38" t="str">
        <f aca="false">IF($A46="","",SUMIFS(PO!$N$4:$N$203,PO!$D$4:$D$203,$A46))</f>
        <v/>
      </c>
      <c r="N46" s="39" t="str">
        <f aca="false">IF($A46="","",IFERROR($L46/$E46,""))</f>
        <v/>
      </c>
      <c r="O46" s="38" t="str">
        <f aca="false">IF($A46="","",IFERROR($E46-$L46,""))</f>
        <v/>
      </c>
      <c r="P46" s="38" t="str">
        <f aca="false">IF($A46="","",COUNTIFS(PO!$D$4:$D$203,$A46,PO!$S$4:$S$203,"Đúng hạn")+COUNTIFS(PO!$D$4:$D$203,$A46,PO!$S$4:$S$203,"Giao trễ")+COUNTIFS(PO!$D$4:$D$203,$A46,PO!$S$4:$S$203,"Trễ hạn"))</f>
        <v/>
      </c>
      <c r="Q46" s="38" t="str">
        <f aca="false">IF($A46="","",COUNTIFS(PO!$D$4:$D$203,$A46,PO!$S$4:$S$203,"Đúng hạn"))</f>
        <v/>
      </c>
      <c r="R46" s="39" t="str">
        <f aca="false">IF($A46="","",IFERROR($Q46/$P46,""))</f>
        <v/>
      </c>
      <c r="S46" s="38" t="str">
        <f aca="false">IF($A46="","",SUMIFS('Thanh toán'!$H$4:$H$203,'Thanh toán'!$D$4:$D$203,$A46))</f>
        <v/>
      </c>
      <c r="T46" s="38" t="str">
        <f aca="false">IF($A46="","",SUMIFS('Công nợ'!$I$4:$I$203,'Công nợ'!$B$4:$B$203,$A46))</f>
        <v/>
      </c>
      <c r="U46" s="38" t="str">
        <f aca="false">IF($A46="","",SUMIFS('Công nợ'!$I$4:$I$203,'Công nợ'!$B$4:$B$203,$A46,'Công nợ'!$K$4:$K$203,"&gt;0"))</f>
        <v/>
      </c>
    </row>
    <row r="47" customFormat="false" ht="15" hidden="false" customHeight="false" outlineLevel="0" collapsed="false">
      <c r="A47" s="37" t="str">
        <f aca="false">IF('Dự án'!$A47="","",'Dự án'!$A47)</f>
        <v/>
      </c>
      <c r="B47" s="37" t="str">
        <f aca="false">IF($A47="","",'Dự án'!$B47)</f>
        <v/>
      </c>
      <c r="C47" s="37" t="str">
        <f aca="false">IF($A47="","",'Dự án'!$C47)</f>
        <v/>
      </c>
      <c r="D47" s="37" t="str">
        <f aca="false">IF($A47="","",'Dự án'!$H47)</f>
        <v/>
      </c>
      <c r="E47" s="38" t="str">
        <f aca="false">IF($A47="","",'Dự án'!$G47)</f>
        <v/>
      </c>
      <c r="F47" s="38" t="str">
        <f aca="false">IF($A47="","",COUNTIFS('Check giá'!$C$4:$C$203,$A47))</f>
        <v/>
      </c>
      <c r="G47" s="38" t="str">
        <f aca="false">IF($A47="","",COUNTIFS('Check giá'!$C$4:$C$203,$A47,'Check giá'!$O$4:$O$203,"Đang xử lý")+COUNTIFS('Check giá'!$C$4:$C$203,$A47,'Check giá'!$O$4:$O$203,"Quá hạn chưa trả"))</f>
        <v/>
      </c>
      <c r="H47" s="38" t="str">
        <f aca="false">IF($A47="","",SUMIFS('Check giá'!$J$4:$J$203,'Check giá'!$C$4:$C$203,$A47))</f>
        <v/>
      </c>
      <c r="I47" s="38" t="str">
        <f aca="false">IF($A47="","",COUNTIFS(PR!$D$4:$D$203,$A47))</f>
        <v/>
      </c>
      <c r="J47" s="38" t="str">
        <f aca="false">IF($A47="","",SUMIFS(PR!$L$4:$L$203,PR!$D$4:$D$203,$A47))</f>
        <v/>
      </c>
      <c r="K47" s="38" t="str">
        <f aca="false">IF($A47="","",COUNTIFS(PO!$D$4:$D$203,$A47))</f>
        <v/>
      </c>
      <c r="L47" s="38" t="str">
        <f aca="false">IF($A47="","",SUMIFS(PO!$L$4:$L$203,PO!$D$4:$D$203,$A47))</f>
        <v/>
      </c>
      <c r="M47" s="38" t="str">
        <f aca="false">IF($A47="","",SUMIFS(PO!$N$4:$N$203,PO!$D$4:$D$203,$A47))</f>
        <v/>
      </c>
      <c r="N47" s="39" t="str">
        <f aca="false">IF($A47="","",IFERROR($L47/$E47,""))</f>
        <v/>
      </c>
      <c r="O47" s="38" t="str">
        <f aca="false">IF($A47="","",IFERROR($E47-$L47,""))</f>
        <v/>
      </c>
      <c r="P47" s="38" t="str">
        <f aca="false">IF($A47="","",COUNTIFS(PO!$D$4:$D$203,$A47,PO!$S$4:$S$203,"Đúng hạn")+COUNTIFS(PO!$D$4:$D$203,$A47,PO!$S$4:$S$203,"Giao trễ")+COUNTIFS(PO!$D$4:$D$203,$A47,PO!$S$4:$S$203,"Trễ hạn"))</f>
        <v/>
      </c>
      <c r="Q47" s="38" t="str">
        <f aca="false">IF($A47="","",COUNTIFS(PO!$D$4:$D$203,$A47,PO!$S$4:$S$203,"Đúng hạn"))</f>
        <v/>
      </c>
      <c r="R47" s="39" t="str">
        <f aca="false">IF($A47="","",IFERROR($Q47/$P47,""))</f>
        <v/>
      </c>
      <c r="S47" s="38" t="str">
        <f aca="false">IF($A47="","",SUMIFS('Thanh toán'!$H$4:$H$203,'Thanh toán'!$D$4:$D$203,$A47))</f>
        <v/>
      </c>
      <c r="T47" s="38" t="str">
        <f aca="false">IF($A47="","",SUMIFS('Công nợ'!$I$4:$I$203,'Công nợ'!$B$4:$B$203,$A47))</f>
        <v/>
      </c>
      <c r="U47" s="38" t="str">
        <f aca="false">IF($A47="","",SUMIFS('Công nợ'!$I$4:$I$203,'Công nợ'!$B$4:$B$203,$A47,'Công nợ'!$K$4:$K$203,"&gt;0"))</f>
        <v/>
      </c>
    </row>
    <row r="48" customFormat="false" ht="15" hidden="false" customHeight="false" outlineLevel="0" collapsed="false">
      <c r="A48" s="37" t="str">
        <f aca="false">IF('Dự án'!$A48="","",'Dự án'!$A48)</f>
        <v/>
      </c>
      <c r="B48" s="37" t="str">
        <f aca="false">IF($A48="","",'Dự án'!$B48)</f>
        <v/>
      </c>
      <c r="C48" s="37" t="str">
        <f aca="false">IF($A48="","",'Dự án'!$C48)</f>
        <v/>
      </c>
      <c r="D48" s="37" t="str">
        <f aca="false">IF($A48="","",'Dự án'!$H48)</f>
        <v/>
      </c>
      <c r="E48" s="38" t="str">
        <f aca="false">IF($A48="","",'Dự án'!$G48)</f>
        <v/>
      </c>
      <c r="F48" s="38" t="str">
        <f aca="false">IF($A48="","",COUNTIFS('Check giá'!$C$4:$C$203,$A48))</f>
        <v/>
      </c>
      <c r="G48" s="38" t="str">
        <f aca="false">IF($A48="","",COUNTIFS('Check giá'!$C$4:$C$203,$A48,'Check giá'!$O$4:$O$203,"Đang xử lý")+COUNTIFS('Check giá'!$C$4:$C$203,$A48,'Check giá'!$O$4:$O$203,"Quá hạn chưa trả"))</f>
        <v/>
      </c>
      <c r="H48" s="38" t="str">
        <f aca="false">IF($A48="","",SUMIFS('Check giá'!$J$4:$J$203,'Check giá'!$C$4:$C$203,$A48))</f>
        <v/>
      </c>
      <c r="I48" s="38" t="str">
        <f aca="false">IF($A48="","",COUNTIFS(PR!$D$4:$D$203,$A48))</f>
        <v/>
      </c>
      <c r="J48" s="38" t="str">
        <f aca="false">IF($A48="","",SUMIFS(PR!$L$4:$L$203,PR!$D$4:$D$203,$A48))</f>
        <v/>
      </c>
      <c r="K48" s="38" t="str">
        <f aca="false">IF($A48="","",COUNTIFS(PO!$D$4:$D$203,$A48))</f>
        <v/>
      </c>
      <c r="L48" s="38" t="str">
        <f aca="false">IF($A48="","",SUMIFS(PO!$L$4:$L$203,PO!$D$4:$D$203,$A48))</f>
        <v/>
      </c>
      <c r="M48" s="38" t="str">
        <f aca="false">IF($A48="","",SUMIFS(PO!$N$4:$N$203,PO!$D$4:$D$203,$A48))</f>
        <v/>
      </c>
      <c r="N48" s="39" t="str">
        <f aca="false">IF($A48="","",IFERROR($L48/$E48,""))</f>
        <v/>
      </c>
      <c r="O48" s="38" t="str">
        <f aca="false">IF($A48="","",IFERROR($E48-$L48,""))</f>
        <v/>
      </c>
      <c r="P48" s="38" t="str">
        <f aca="false">IF($A48="","",COUNTIFS(PO!$D$4:$D$203,$A48,PO!$S$4:$S$203,"Đúng hạn")+COUNTIFS(PO!$D$4:$D$203,$A48,PO!$S$4:$S$203,"Giao trễ")+COUNTIFS(PO!$D$4:$D$203,$A48,PO!$S$4:$S$203,"Trễ hạn"))</f>
        <v/>
      </c>
      <c r="Q48" s="38" t="str">
        <f aca="false">IF($A48="","",COUNTIFS(PO!$D$4:$D$203,$A48,PO!$S$4:$S$203,"Đúng hạn"))</f>
        <v/>
      </c>
      <c r="R48" s="39" t="str">
        <f aca="false">IF($A48="","",IFERROR($Q48/$P48,""))</f>
        <v/>
      </c>
      <c r="S48" s="38" t="str">
        <f aca="false">IF($A48="","",SUMIFS('Thanh toán'!$H$4:$H$203,'Thanh toán'!$D$4:$D$203,$A48))</f>
        <v/>
      </c>
      <c r="T48" s="38" t="str">
        <f aca="false">IF($A48="","",SUMIFS('Công nợ'!$I$4:$I$203,'Công nợ'!$B$4:$B$203,$A48))</f>
        <v/>
      </c>
      <c r="U48" s="38" t="str">
        <f aca="false">IF($A48="","",SUMIFS('Công nợ'!$I$4:$I$203,'Công nợ'!$B$4:$B$203,$A48,'Công nợ'!$K$4:$K$203,"&gt;0"))</f>
        <v/>
      </c>
    </row>
    <row r="49" customFormat="false" ht="15" hidden="false" customHeight="false" outlineLevel="0" collapsed="false">
      <c r="A49" s="37" t="str">
        <f aca="false">IF('Dự án'!$A49="","",'Dự án'!$A49)</f>
        <v/>
      </c>
      <c r="B49" s="37" t="str">
        <f aca="false">IF($A49="","",'Dự án'!$B49)</f>
        <v/>
      </c>
      <c r="C49" s="37" t="str">
        <f aca="false">IF($A49="","",'Dự án'!$C49)</f>
        <v/>
      </c>
      <c r="D49" s="37" t="str">
        <f aca="false">IF($A49="","",'Dự án'!$H49)</f>
        <v/>
      </c>
      <c r="E49" s="38" t="str">
        <f aca="false">IF($A49="","",'Dự án'!$G49)</f>
        <v/>
      </c>
      <c r="F49" s="38" t="str">
        <f aca="false">IF($A49="","",COUNTIFS('Check giá'!$C$4:$C$203,$A49))</f>
        <v/>
      </c>
      <c r="G49" s="38" t="str">
        <f aca="false">IF($A49="","",COUNTIFS('Check giá'!$C$4:$C$203,$A49,'Check giá'!$O$4:$O$203,"Đang xử lý")+COUNTIFS('Check giá'!$C$4:$C$203,$A49,'Check giá'!$O$4:$O$203,"Quá hạn chưa trả"))</f>
        <v/>
      </c>
      <c r="H49" s="38" t="str">
        <f aca="false">IF($A49="","",SUMIFS('Check giá'!$J$4:$J$203,'Check giá'!$C$4:$C$203,$A49))</f>
        <v/>
      </c>
      <c r="I49" s="38" t="str">
        <f aca="false">IF($A49="","",COUNTIFS(PR!$D$4:$D$203,$A49))</f>
        <v/>
      </c>
      <c r="J49" s="38" t="str">
        <f aca="false">IF($A49="","",SUMIFS(PR!$L$4:$L$203,PR!$D$4:$D$203,$A49))</f>
        <v/>
      </c>
      <c r="K49" s="38" t="str">
        <f aca="false">IF($A49="","",COUNTIFS(PO!$D$4:$D$203,$A49))</f>
        <v/>
      </c>
      <c r="L49" s="38" t="str">
        <f aca="false">IF($A49="","",SUMIFS(PO!$L$4:$L$203,PO!$D$4:$D$203,$A49))</f>
        <v/>
      </c>
      <c r="M49" s="38" t="str">
        <f aca="false">IF($A49="","",SUMIFS(PO!$N$4:$N$203,PO!$D$4:$D$203,$A49))</f>
        <v/>
      </c>
      <c r="N49" s="39" t="str">
        <f aca="false">IF($A49="","",IFERROR($L49/$E49,""))</f>
        <v/>
      </c>
      <c r="O49" s="38" t="str">
        <f aca="false">IF($A49="","",IFERROR($E49-$L49,""))</f>
        <v/>
      </c>
      <c r="P49" s="38" t="str">
        <f aca="false">IF($A49="","",COUNTIFS(PO!$D$4:$D$203,$A49,PO!$S$4:$S$203,"Đúng hạn")+COUNTIFS(PO!$D$4:$D$203,$A49,PO!$S$4:$S$203,"Giao trễ")+COUNTIFS(PO!$D$4:$D$203,$A49,PO!$S$4:$S$203,"Trễ hạn"))</f>
        <v/>
      </c>
      <c r="Q49" s="38" t="str">
        <f aca="false">IF($A49="","",COUNTIFS(PO!$D$4:$D$203,$A49,PO!$S$4:$S$203,"Đúng hạn"))</f>
        <v/>
      </c>
      <c r="R49" s="39" t="str">
        <f aca="false">IF($A49="","",IFERROR($Q49/$P49,""))</f>
        <v/>
      </c>
      <c r="S49" s="38" t="str">
        <f aca="false">IF($A49="","",SUMIFS('Thanh toán'!$H$4:$H$203,'Thanh toán'!$D$4:$D$203,$A49))</f>
        <v/>
      </c>
      <c r="T49" s="38" t="str">
        <f aca="false">IF($A49="","",SUMIFS('Công nợ'!$I$4:$I$203,'Công nợ'!$B$4:$B$203,$A49))</f>
        <v/>
      </c>
      <c r="U49" s="38" t="str">
        <f aca="false">IF($A49="","",SUMIFS('Công nợ'!$I$4:$I$203,'Công nợ'!$B$4:$B$203,$A49,'Công nợ'!$K$4:$K$203,"&gt;0"))</f>
        <v/>
      </c>
    </row>
    <row r="50" customFormat="false" ht="15" hidden="false" customHeight="false" outlineLevel="0" collapsed="false">
      <c r="A50" s="37" t="str">
        <f aca="false">IF('Dự án'!$A50="","",'Dự án'!$A50)</f>
        <v/>
      </c>
      <c r="B50" s="37" t="str">
        <f aca="false">IF($A50="","",'Dự án'!$B50)</f>
        <v/>
      </c>
      <c r="C50" s="37" t="str">
        <f aca="false">IF($A50="","",'Dự án'!$C50)</f>
        <v/>
      </c>
      <c r="D50" s="37" t="str">
        <f aca="false">IF($A50="","",'Dự án'!$H50)</f>
        <v/>
      </c>
      <c r="E50" s="38" t="str">
        <f aca="false">IF($A50="","",'Dự án'!$G50)</f>
        <v/>
      </c>
      <c r="F50" s="38" t="str">
        <f aca="false">IF($A50="","",COUNTIFS('Check giá'!$C$4:$C$203,$A50))</f>
        <v/>
      </c>
      <c r="G50" s="38" t="str">
        <f aca="false">IF($A50="","",COUNTIFS('Check giá'!$C$4:$C$203,$A50,'Check giá'!$O$4:$O$203,"Đang xử lý")+COUNTIFS('Check giá'!$C$4:$C$203,$A50,'Check giá'!$O$4:$O$203,"Quá hạn chưa trả"))</f>
        <v/>
      </c>
      <c r="H50" s="38" t="str">
        <f aca="false">IF($A50="","",SUMIFS('Check giá'!$J$4:$J$203,'Check giá'!$C$4:$C$203,$A50))</f>
        <v/>
      </c>
      <c r="I50" s="38" t="str">
        <f aca="false">IF($A50="","",COUNTIFS(PR!$D$4:$D$203,$A50))</f>
        <v/>
      </c>
      <c r="J50" s="38" t="str">
        <f aca="false">IF($A50="","",SUMIFS(PR!$L$4:$L$203,PR!$D$4:$D$203,$A50))</f>
        <v/>
      </c>
      <c r="K50" s="38" t="str">
        <f aca="false">IF($A50="","",COUNTIFS(PO!$D$4:$D$203,$A50))</f>
        <v/>
      </c>
      <c r="L50" s="38" t="str">
        <f aca="false">IF($A50="","",SUMIFS(PO!$L$4:$L$203,PO!$D$4:$D$203,$A50))</f>
        <v/>
      </c>
      <c r="M50" s="38" t="str">
        <f aca="false">IF($A50="","",SUMIFS(PO!$N$4:$N$203,PO!$D$4:$D$203,$A50))</f>
        <v/>
      </c>
      <c r="N50" s="39" t="str">
        <f aca="false">IF($A50="","",IFERROR($L50/$E50,""))</f>
        <v/>
      </c>
      <c r="O50" s="38" t="str">
        <f aca="false">IF($A50="","",IFERROR($E50-$L50,""))</f>
        <v/>
      </c>
      <c r="P50" s="38" t="str">
        <f aca="false">IF($A50="","",COUNTIFS(PO!$D$4:$D$203,$A50,PO!$S$4:$S$203,"Đúng hạn")+COUNTIFS(PO!$D$4:$D$203,$A50,PO!$S$4:$S$203,"Giao trễ")+COUNTIFS(PO!$D$4:$D$203,$A50,PO!$S$4:$S$203,"Trễ hạn"))</f>
        <v/>
      </c>
      <c r="Q50" s="38" t="str">
        <f aca="false">IF($A50="","",COUNTIFS(PO!$D$4:$D$203,$A50,PO!$S$4:$S$203,"Đúng hạn"))</f>
        <v/>
      </c>
      <c r="R50" s="39" t="str">
        <f aca="false">IF($A50="","",IFERROR($Q50/$P50,""))</f>
        <v/>
      </c>
      <c r="S50" s="38" t="str">
        <f aca="false">IF($A50="","",SUMIFS('Thanh toán'!$H$4:$H$203,'Thanh toán'!$D$4:$D$203,$A50))</f>
        <v/>
      </c>
      <c r="T50" s="38" t="str">
        <f aca="false">IF($A50="","",SUMIFS('Công nợ'!$I$4:$I$203,'Công nợ'!$B$4:$B$203,$A50))</f>
        <v/>
      </c>
      <c r="U50" s="38" t="str">
        <f aca="false">IF($A50="","",SUMIFS('Công nợ'!$I$4:$I$203,'Công nợ'!$B$4:$B$203,$A50,'Công nợ'!$K$4:$K$203,"&gt;0"))</f>
        <v/>
      </c>
    </row>
    <row r="51" customFormat="false" ht="15" hidden="false" customHeight="false" outlineLevel="0" collapsed="false">
      <c r="A51" s="37" t="str">
        <f aca="false">IF('Dự án'!$A51="","",'Dự án'!$A51)</f>
        <v/>
      </c>
      <c r="B51" s="37" t="str">
        <f aca="false">IF($A51="","",'Dự án'!$B51)</f>
        <v/>
      </c>
      <c r="C51" s="37" t="str">
        <f aca="false">IF($A51="","",'Dự án'!$C51)</f>
        <v/>
      </c>
      <c r="D51" s="37" t="str">
        <f aca="false">IF($A51="","",'Dự án'!$H51)</f>
        <v/>
      </c>
      <c r="E51" s="38" t="str">
        <f aca="false">IF($A51="","",'Dự án'!$G51)</f>
        <v/>
      </c>
      <c r="F51" s="38" t="str">
        <f aca="false">IF($A51="","",COUNTIFS('Check giá'!$C$4:$C$203,$A51))</f>
        <v/>
      </c>
      <c r="G51" s="38" t="str">
        <f aca="false">IF($A51="","",COUNTIFS('Check giá'!$C$4:$C$203,$A51,'Check giá'!$O$4:$O$203,"Đang xử lý")+COUNTIFS('Check giá'!$C$4:$C$203,$A51,'Check giá'!$O$4:$O$203,"Quá hạn chưa trả"))</f>
        <v/>
      </c>
      <c r="H51" s="38" t="str">
        <f aca="false">IF($A51="","",SUMIFS('Check giá'!$J$4:$J$203,'Check giá'!$C$4:$C$203,$A51))</f>
        <v/>
      </c>
      <c r="I51" s="38" t="str">
        <f aca="false">IF($A51="","",COUNTIFS(PR!$D$4:$D$203,$A51))</f>
        <v/>
      </c>
      <c r="J51" s="38" t="str">
        <f aca="false">IF($A51="","",SUMIFS(PR!$L$4:$L$203,PR!$D$4:$D$203,$A51))</f>
        <v/>
      </c>
      <c r="K51" s="38" t="str">
        <f aca="false">IF($A51="","",COUNTIFS(PO!$D$4:$D$203,$A51))</f>
        <v/>
      </c>
      <c r="L51" s="38" t="str">
        <f aca="false">IF($A51="","",SUMIFS(PO!$L$4:$L$203,PO!$D$4:$D$203,$A51))</f>
        <v/>
      </c>
      <c r="M51" s="38" t="str">
        <f aca="false">IF($A51="","",SUMIFS(PO!$N$4:$N$203,PO!$D$4:$D$203,$A51))</f>
        <v/>
      </c>
      <c r="N51" s="39" t="str">
        <f aca="false">IF($A51="","",IFERROR($L51/$E51,""))</f>
        <v/>
      </c>
      <c r="O51" s="38" t="str">
        <f aca="false">IF($A51="","",IFERROR($E51-$L51,""))</f>
        <v/>
      </c>
      <c r="P51" s="38" t="str">
        <f aca="false">IF($A51="","",COUNTIFS(PO!$D$4:$D$203,$A51,PO!$S$4:$S$203,"Đúng hạn")+COUNTIFS(PO!$D$4:$D$203,$A51,PO!$S$4:$S$203,"Giao trễ")+COUNTIFS(PO!$D$4:$D$203,$A51,PO!$S$4:$S$203,"Trễ hạn"))</f>
        <v/>
      </c>
      <c r="Q51" s="38" t="str">
        <f aca="false">IF($A51="","",COUNTIFS(PO!$D$4:$D$203,$A51,PO!$S$4:$S$203,"Đúng hạn"))</f>
        <v/>
      </c>
      <c r="R51" s="39" t="str">
        <f aca="false">IF($A51="","",IFERROR($Q51/$P51,""))</f>
        <v/>
      </c>
      <c r="S51" s="38" t="str">
        <f aca="false">IF($A51="","",SUMIFS('Thanh toán'!$H$4:$H$203,'Thanh toán'!$D$4:$D$203,$A51))</f>
        <v/>
      </c>
      <c r="T51" s="38" t="str">
        <f aca="false">IF($A51="","",SUMIFS('Công nợ'!$I$4:$I$203,'Công nợ'!$B$4:$B$203,$A51))</f>
        <v/>
      </c>
      <c r="U51" s="38" t="str">
        <f aca="false">IF($A51="","",SUMIFS('Công nợ'!$I$4:$I$203,'Công nợ'!$B$4:$B$203,$A51,'Công nợ'!$K$4:$K$203,"&gt;0"))</f>
        <v/>
      </c>
    </row>
    <row r="52" customFormat="false" ht="15" hidden="false" customHeight="false" outlineLevel="0" collapsed="false">
      <c r="A52" s="37" t="str">
        <f aca="false">IF('Dự án'!$A52="","",'Dự án'!$A52)</f>
        <v/>
      </c>
      <c r="B52" s="37" t="str">
        <f aca="false">IF($A52="","",'Dự án'!$B52)</f>
        <v/>
      </c>
      <c r="C52" s="37" t="str">
        <f aca="false">IF($A52="","",'Dự án'!$C52)</f>
        <v/>
      </c>
      <c r="D52" s="37" t="str">
        <f aca="false">IF($A52="","",'Dự án'!$H52)</f>
        <v/>
      </c>
      <c r="E52" s="38" t="str">
        <f aca="false">IF($A52="","",'Dự án'!$G52)</f>
        <v/>
      </c>
      <c r="F52" s="38" t="str">
        <f aca="false">IF($A52="","",COUNTIFS('Check giá'!$C$4:$C$203,$A52))</f>
        <v/>
      </c>
      <c r="G52" s="38" t="str">
        <f aca="false">IF($A52="","",COUNTIFS('Check giá'!$C$4:$C$203,$A52,'Check giá'!$O$4:$O$203,"Đang xử lý")+COUNTIFS('Check giá'!$C$4:$C$203,$A52,'Check giá'!$O$4:$O$203,"Quá hạn chưa trả"))</f>
        <v/>
      </c>
      <c r="H52" s="38" t="str">
        <f aca="false">IF($A52="","",SUMIFS('Check giá'!$J$4:$J$203,'Check giá'!$C$4:$C$203,$A52))</f>
        <v/>
      </c>
      <c r="I52" s="38" t="str">
        <f aca="false">IF($A52="","",COUNTIFS(PR!$D$4:$D$203,$A52))</f>
        <v/>
      </c>
      <c r="J52" s="38" t="str">
        <f aca="false">IF($A52="","",SUMIFS(PR!$L$4:$L$203,PR!$D$4:$D$203,$A52))</f>
        <v/>
      </c>
      <c r="K52" s="38" t="str">
        <f aca="false">IF($A52="","",COUNTIFS(PO!$D$4:$D$203,$A52))</f>
        <v/>
      </c>
      <c r="L52" s="38" t="str">
        <f aca="false">IF($A52="","",SUMIFS(PO!$L$4:$L$203,PO!$D$4:$D$203,$A52))</f>
        <v/>
      </c>
      <c r="M52" s="38" t="str">
        <f aca="false">IF($A52="","",SUMIFS(PO!$N$4:$N$203,PO!$D$4:$D$203,$A52))</f>
        <v/>
      </c>
      <c r="N52" s="39" t="str">
        <f aca="false">IF($A52="","",IFERROR($L52/$E52,""))</f>
        <v/>
      </c>
      <c r="O52" s="38" t="str">
        <f aca="false">IF($A52="","",IFERROR($E52-$L52,""))</f>
        <v/>
      </c>
      <c r="P52" s="38" t="str">
        <f aca="false">IF($A52="","",COUNTIFS(PO!$D$4:$D$203,$A52,PO!$S$4:$S$203,"Đúng hạn")+COUNTIFS(PO!$D$4:$D$203,$A52,PO!$S$4:$S$203,"Giao trễ")+COUNTIFS(PO!$D$4:$D$203,$A52,PO!$S$4:$S$203,"Trễ hạn"))</f>
        <v/>
      </c>
      <c r="Q52" s="38" t="str">
        <f aca="false">IF($A52="","",COUNTIFS(PO!$D$4:$D$203,$A52,PO!$S$4:$S$203,"Đúng hạn"))</f>
        <v/>
      </c>
      <c r="R52" s="39" t="str">
        <f aca="false">IF($A52="","",IFERROR($Q52/$P52,""))</f>
        <v/>
      </c>
      <c r="S52" s="38" t="str">
        <f aca="false">IF($A52="","",SUMIFS('Thanh toán'!$H$4:$H$203,'Thanh toán'!$D$4:$D$203,$A52))</f>
        <v/>
      </c>
      <c r="T52" s="38" t="str">
        <f aca="false">IF($A52="","",SUMIFS('Công nợ'!$I$4:$I$203,'Công nợ'!$B$4:$B$203,$A52))</f>
        <v/>
      </c>
      <c r="U52" s="38" t="str">
        <f aca="false">IF($A52="","",SUMIFS('Công nợ'!$I$4:$I$203,'Công nợ'!$B$4:$B$203,$A52,'Công nợ'!$K$4:$K$203,"&gt;0"))</f>
        <v/>
      </c>
    </row>
    <row r="53" customFormat="false" ht="15" hidden="false" customHeight="false" outlineLevel="0" collapsed="false">
      <c r="A53" s="37" t="str">
        <f aca="false">IF('Dự án'!$A53="","",'Dự án'!$A53)</f>
        <v/>
      </c>
      <c r="B53" s="37" t="str">
        <f aca="false">IF($A53="","",'Dự án'!$B53)</f>
        <v/>
      </c>
      <c r="C53" s="37" t="str">
        <f aca="false">IF($A53="","",'Dự án'!$C53)</f>
        <v/>
      </c>
      <c r="D53" s="37" t="str">
        <f aca="false">IF($A53="","",'Dự án'!$H53)</f>
        <v/>
      </c>
      <c r="E53" s="38" t="str">
        <f aca="false">IF($A53="","",'Dự án'!$G53)</f>
        <v/>
      </c>
      <c r="F53" s="38" t="str">
        <f aca="false">IF($A53="","",COUNTIFS('Check giá'!$C$4:$C$203,$A53))</f>
        <v/>
      </c>
      <c r="G53" s="38" t="str">
        <f aca="false">IF($A53="","",COUNTIFS('Check giá'!$C$4:$C$203,$A53,'Check giá'!$O$4:$O$203,"Đang xử lý")+COUNTIFS('Check giá'!$C$4:$C$203,$A53,'Check giá'!$O$4:$O$203,"Quá hạn chưa trả"))</f>
        <v/>
      </c>
      <c r="H53" s="38" t="str">
        <f aca="false">IF($A53="","",SUMIFS('Check giá'!$J$4:$J$203,'Check giá'!$C$4:$C$203,$A53))</f>
        <v/>
      </c>
      <c r="I53" s="38" t="str">
        <f aca="false">IF($A53="","",COUNTIFS(PR!$D$4:$D$203,$A53))</f>
        <v/>
      </c>
      <c r="J53" s="38" t="str">
        <f aca="false">IF($A53="","",SUMIFS(PR!$L$4:$L$203,PR!$D$4:$D$203,$A53))</f>
        <v/>
      </c>
      <c r="K53" s="38" t="str">
        <f aca="false">IF($A53="","",COUNTIFS(PO!$D$4:$D$203,$A53))</f>
        <v/>
      </c>
      <c r="L53" s="38" t="str">
        <f aca="false">IF($A53="","",SUMIFS(PO!$L$4:$L$203,PO!$D$4:$D$203,$A53))</f>
        <v/>
      </c>
      <c r="M53" s="38" t="str">
        <f aca="false">IF($A53="","",SUMIFS(PO!$N$4:$N$203,PO!$D$4:$D$203,$A53))</f>
        <v/>
      </c>
      <c r="N53" s="39" t="str">
        <f aca="false">IF($A53="","",IFERROR($L53/$E53,""))</f>
        <v/>
      </c>
      <c r="O53" s="38" t="str">
        <f aca="false">IF($A53="","",IFERROR($E53-$L53,""))</f>
        <v/>
      </c>
      <c r="P53" s="38" t="str">
        <f aca="false">IF($A53="","",COUNTIFS(PO!$D$4:$D$203,$A53,PO!$S$4:$S$203,"Đúng hạn")+COUNTIFS(PO!$D$4:$D$203,$A53,PO!$S$4:$S$203,"Giao trễ")+COUNTIFS(PO!$D$4:$D$203,$A53,PO!$S$4:$S$203,"Trễ hạn"))</f>
        <v/>
      </c>
      <c r="Q53" s="38" t="str">
        <f aca="false">IF($A53="","",COUNTIFS(PO!$D$4:$D$203,$A53,PO!$S$4:$S$203,"Đúng hạn"))</f>
        <v/>
      </c>
      <c r="R53" s="39" t="str">
        <f aca="false">IF($A53="","",IFERROR($Q53/$P53,""))</f>
        <v/>
      </c>
      <c r="S53" s="38" t="str">
        <f aca="false">IF($A53="","",SUMIFS('Thanh toán'!$H$4:$H$203,'Thanh toán'!$D$4:$D$203,$A53))</f>
        <v/>
      </c>
      <c r="T53" s="38" t="str">
        <f aca="false">IF($A53="","",SUMIFS('Công nợ'!$I$4:$I$203,'Công nợ'!$B$4:$B$203,$A53))</f>
        <v/>
      </c>
      <c r="U53" s="38" t="str">
        <f aca="false">IF($A53="","",SUMIFS('Công nợ'!$I$4:$I$203,'Công nợ'!$B$4:$B$203,$A53,'Công nợ'!$K$4:$K$203,"&gt;0"))</f>
        <v/>
      </c>
    </row>
    <row r="54" customFormat="false" ht="15" hidden="false" customHeight="false" outlineLevel="0" collapsed="false">
      <c r="A54" s="37" t="str">
        <f aca="false">IF('Dự án'!$A54="","",'Dự án'!$A54)</f>
        <v/>
      </c>
      <c r="B54" s="37" t="str">
        <f aca="false">IF($A54="","",'Dự án'!$B54)</f>
        <v/>
      </c>
      <c r="C54" s="37" t="str">
        <f aca="false">IF($A54="","",'Dự án'!$C54)</f>
        <v/>
      </c>
      <c r="D54" s="37" t="str">
        <f aca="false">IF($A54="","",'Dự án'!$H54)</f>
        <v/>
      </c>
      <c r="E54" s="38" t="str">
        <f aca="false">IF($A54="","",'Dự án'!$G54)</f>
        <v/>
      </c>
      <c r="F54" s="38" t="str">
        <f aca="false">IF($A54="","",COUNTIFS('Check giá'!$C$4:$C$203,$A54))</f>
        <v/>
      </c>
      <c r="G54" s="38" t="str">
        <f aca="false">IF($A54="","",COUNTIFS('Check giá'!$C$4:$C$203,$A54,'Check giá'!$O$4:$O$203,"Đang xử lý")+COUNTIFS('Check giá'!$C$4:$C$203,$A54,'Check giá'!$O$4:$O$203,"Quá hạn chưa trả"))</f>
        <v/>
      </c>
      <c r="H54" s="38" t="str">
        <f aca="false">IF($A54="","",SUMIFS('Check giá'!$J$4:$J$203,'Check giá'!$C$4:$C$203,$A54))</f>
        <v/>
      </c>
      <c r="I54" s="38" t="str">
        <f aca="false">IF($A54="","",COUNTIFS(PR!$D$4:$D$203,$A54))</f>
        <v/>
      </c>
      <c r="J54" s="38" t="str">
        <f aca="false">IF($A54="","",SUMIFS(PR!$L$4:$L$203,PR!$D$4:$D$203,$A54))</f>
        <v/>
      </c>
      <c r="K54" s="38" t="str">
        <f aca="false">IF($A54="","",COUNTIFS(PO!$D$4:$D$203,$A54))</f>
        <v/>
      </c>
      <c r="L54" s="38" t="str">
        <f aca="false">IF($A54="","",SUMIFS(PO!$L$4:$L$203,PO!$D$4:$D$203,$A54))</f>
        <v/>
      </c>
      <c r="M54" s="38" t="str">
        <f aca="false">IF($A54="","",SUMIFS(PO!$N$4:$N$203,PO!$D$4:$D$203,$A54))</f>
        <v/>
      </c>
      <c r="N54" s="39" t="str">
        <f aca="false">IF($A54="","",IFERROR($L54/$E54,""))</f>
        <v/>
      </c>
      <c r="O54" s="38" t="str">
        <f aca="false">IF($A54="","",IFERROR($E54-$L54,""))</f>
        <v/>
      </c>
      <c r="P54" s="38" t="str">
        <f aca="false">IF($A54="","",COUNTIFS(PO!$D$4:$D$203,$A54,PO!$S$4:$S$203,"Đúng hạn")+COUNTIFS(PO!$D$4:$D$203,$A54,PO!$S$4:$S$203,"Giao trễ")+COUNTIFS(PO!$D$4:$D$203,$A54,PO!$S$4:$S$203,"Trễ hạn"))</f>
        <v/>
      </c>
      <c r="Q54" s="38" t="str">
        <f aca="false">IF($A54="","",COUNTIFS(PO!$D$4:$D$203,$A54,PO!$S$4:$S$203,"Đúng hạn"))</f>
        <v/>
      </c>
      <c r="R54" s="39" t="str">
        <f aca="false">IF($A54="","",IFERROR($Q54/$P54,""))</f>
        <v/>
      </c>
      <c r="S54" s="38" t="str">
        <f aca="false">IF($A54="","",SUMIFS('Thanh toán'!$H$4:$H$203,'Thanh toán'!$D$4:$D$203,$A54))</f>
        <v/>
      </c>
      <c r="T54" s="38" t="str">
        <f aca="false">IF($A54="","",SUMIFS('Công nợ'!$I$4:$I$203,'Công nợ'!$B$4:$B$203,$A54))</f>
        <v/>
      </c>
      <c r="U54" s="38" t="str">
        <f aca="false">IF($A54="","",SUMIFS('Công nợ'!$I$4:$I$203,'Công nợ'!$B$4:$B$203,$A54,'Công nợ'!$K$4:$K$203,"&gt;0"))</f>
        <v/>
      </c>
    </row>
    <row r="55" customFormat="false" ht="15" hidden="false" customHeight="false" outlineLevel="0" collapsed="false">
      <c r="A55" s="37" t="str">
        <f aca="false">IF('Dự án'!$A55="","",'Dự án'!$A55)</f>
        <v/>
      </c>
      <c r="B55" s="37" t="str">
        <f aca="false">IF($A55="","",'Dự án'!$B55)</f>
        <v/>
      </c>
      <c r="C55" s="37" t="str">
        <f aca="false">IF($A55="","",'Dự án'!$C55)</f>
        <v/>
      </c>
      <c r="D55" s="37" t="str">
        <f aca="false">IF($A55="","",'Dự án'!$H55)</f>
        <v/>
      </c>
      <c r="E55" s="38" t="str">
        <f aca="false">IF($A55="","",'Dự án'!$G55)</f>
        <v/>
      </c>
      <c r="F55" s="38" t="str">
        <f aca="false">IF($A55="","",COUNTIFS('Check giá'!$C$4:$C$203,$A55))</f>
        <v/>
      </c>
      <c r="G55" s="38" t="str">
        <f aca="false">IF($A55="","",COUNTIFS('Check giá'!$C$4:$C$203,$A55,'Check giá'!$O$4:$O$203,"Đang xử lý")+COUNTIFS('Check giá'!$C$4:$C$203,$A55,'Check giá'!$O$4:$O$203,"Quá hạn chưa trả"))</f>
        <v/>
      </c>
      <c r="H55" s="38" t="str">
        <f aca="false">IF($A55="","",SUMIFS('Check giá'!$J$4:$J$203,'Check giá'!$C$4:$C$203,$A55))</f>
        <v/>
      </c>
      <c r="I55" s="38" t="str">
        <f aca="false">IF($A55="","",COUNTIFS(PR!$D$4:$D$203,$A55))</f>
        <v/>
      </c>
      <c r="J55" s="38" t="str">
        <f aca="false">IF($A55="","",SUMIFS(PR!$L$4:$L$203,PR!$D$4:$D$203,$A55))</f>
        <v/>
      </c>
      <c r="K55" s="38" t="str">
        <f aca="false">IF($A55="","",COUNTIFS(PO!$D$4:$D$203,$A55))</f>
        <v/>
      </c>
      <c r="L55" s="38" t="str">
        <f aca="false">IF($A55="","",SUMIFS(PO!$L$4:$L$203,PO!$D$4:$D$203,$A55))</f>
        <v/>
      </c>
      <c r="M55" s="38" t="str">
        <f aca="false">IF($A55="","",SUMIFS(PO!$N$4:$N$203,PO!$D$4:$D$203,$A55))</f>
        <v/>
      </c>
      <c r="N55" s="39" t="str">
        <f aca="false">IF($A55="","",IFERROR($L55/$E55,""))</f>
        <v/>
      </c>
      <c r="O55" s="38" t="str">
        <f aca="false">IF($A55="","",IFERROR($E55-$L55,""))</f>
        <v/>
      </c>
      <c r="P55" s="38" t="str">
        <f aca="false">IF($A55="","",COUNTIFS(PO!$D$4:$D$203,$A55,PO!$S$4:$S$203,"Đúng hạn")+COUNTIFS(PO!$D$4:$D$203,$A55,PO!$S$4:$S$203,"Giao trễ")+COUNTIFS(PO!$D$4:$D$203,$A55,PO!$S$4:$S$203,"Trễ hạn"))</f>
        <v/>
      </c>
      <c r="Q55" s="38" t="str">
        <f aca="false">IF($A55="","",COUNTIFS(PO!$D$4:$D$203,$A55,PO!$S$4:$S$203,"Đúng hạn"))</f>
        <v/>
      </c>
      <c r="R55" s="39" t="str">
        <f aca="false">IF($A55="","",IFERROR($Q55/$P55,""))</f>
        <v/>
      </c>
      <c r="S55" s="38" t="str">
        <f aca="false">IF($A55="","",SUMIFS('Thanh toán'!$H$4:$H$203,'Thanh toán'!$D$4:$D$203,$A55))</f>
        <v/>
      </c>
      <c r="T55" s="38" t="str">
        <f aca="false">IF($A55="","",SUMIFS('Công nợ'!$I$4:$I$203,'Công nợ'!$B$4:$B$203,$A55))</f>
        <v/>
      </c>
      <c r="U55" s="38" t="str">
        <f aca="false">IF($A55="","",SUMIFS('Công nợ'!$I$4:$I$203,'Công nợ'!$B$4:$B$203,$A55,'Công nợ'!$K$4:$K$203,"&gt;0"))</f>
        <v/>
      </c>
    </row>
    <row r="56" customFormat="false" ht="15" hidden="false" customHeight="false" outlineLevel="0" collapsed="false">
      <c r="A56" s="37" t="str">
        <f aca="false">IF('Dự án'!$A56="","",'Dự án'!$A56)</f>
        <v/>
      </c>
      <c r="B56" s="37" t="str">
        <f aca="false">IF($A56="","",'Dự án'!$B56)</f>
        <v/>
      </c>
      <c r="C56" s="37" t="str">
        <f aca="false">IF($A56="","",'Dự án'!$C56)</f>
        <v/>
      </c>
      <c r="D56" s="37" t="str">
        <f aca="false">IF($A56="","",'Dự án'!$H56)</f>
        <v/>
      </c>
      <c r="E56" s="38" t="str">
        <f aca="false">IF($A56="","",'Dự án'!$G56)</f>
        <v/>
      </c>
      <c r="F56" s="38" t="str">
        <f aca="false">IF($A56="","",COUNTIFS('Check giá'!$C$4:$C$203,$A56))</f>
        <v/>
      </c>
      <c r="G56" s="38" t="str">
        <f aca="false">IF($A56="","",COUNTIFS('Check giá'!$C$4:$C$203,$A56,'Check giá'!$O$4:$O$203,"Đang xử lý")+COUNTIFS('Check giá'!$C$4:$C$203,$A56,'Check giá'!$O$4:$O$203,"Quá hạn chưa trả"))</f>
        <v/>
      </c>
      <c r="H56" s="38" t="str">
        <f aca="false">IF($A56="","",SUMIFS('Check giá'!$J$4:$J$203,'Check giá'!$C$4:$C$203,$A56))</f>
        <v/>
      </c>
      <c r="I56" s="38" t="str">
        <f aca="false">IF($A56="","",COUNTIFS(PR!$D$4:$D$203,$A56))</f>
        <v/>
      </c>
      <c r="J56" s="38" t="str">
        <f aca="false">IF($A56="","",SUMIFS(PR!$L$4:$L$203,PR!$D$4:$D$203,$A56))</f>
        <v/>
      </c>
      <c r="K56" s="38" t="str">
        <f aca="false">IF($A56="","",COUNTIFS(PO!$D$4:$D$203,$A56))</f>
        <v/>
      </c>
      <c r="L56" s="38" t="str">
        <f aca="false">IF($A56="","",SUMIFS(PO!$L$4:$L$203,PO!$D$4:$D$203,$A56))</f>
        <v/>
      </c>
      <c r="M56" s="38" t="str">
        <f aca="false">IF($A56="","",SUMIFS(PO!$N$4:$N$203,PO!$D$4:$D$203,$A56))</f>
        <v/>
      </c>
      <c r="N56" s="39" t="str">
        <f aca="false">IF($A56="","",IFERROR($L56/$E56,""))</f>
        <v/>
      </c>
      <c r="O56" s="38" t="str">
        <f aca="false">IF($A56="","",IFERROR($E56-$L56,""))</f>
        <v/>
      </c>
      <c r="P56" s="38" t="str">
        <f aca="false">IF($A56="","",COUNTIFS(PO!$D$4:$D$203,$A56,PO!$S$4:$S$203,"Đúng hạn")+COUNTIFS(PO!$D$4:$D$203,$A56,PO!$S$4:$S$203,"Giao trễ")+COUNTIFS(PO!$D$4:$D$203,$A56,PO!$S$4:$S$203,"Trễ hạn"))</f>
        <v/>
      </c>
      <c r="Q56" s="38" t="str">
        <f aca="false">IF($A56="","",COUNTIFS(PO!$D$4:$D$203,$A56,PO!$S$4:$S$203,"Đúng hạn"))</f>
        <v/>
      </c>
      <c r="R56" s="39" t="str">
        <f aca="false">IF($A56="","",IFERROR($Q56/$P56,""))</f>
        <v/>
      </c>
      <c r="S56" s="38" t="str">
        <f aca="false">IF($A56="","",SUMIFS('Thanh toán'!$H$4:$H$203,'Thanh toán'!$D$4:$D$203,$A56))</f>
        <v/>
      </c>
      <c r="T56" s="38" t="str">
        <f aca="false">IF($A56="","",SUMIFS('Công nợ'!$I$4:$I$203,'Công nợ'!$B$4:$B$203,$A56))</f>
        <v/>
      </c>
      <c r="U56" s="38" t="str">
        <f aca="false">IF($A56="","",SUMIFS('Công nợ'!$I$4:$I$203,'Công nợ'!$B$4:$B$203,$A56,'Công nợ'!$K$4:$K$203,"&gt;0"))</f>
        <v/>
      </c>
    </row>
    <row r="57" customFormat="false" ht="15" hidden="false" customHeight="false" outlineLevel="0" collapsed="false">
      <c r="A57" s="37" t="str">
        <f aca="false">IF('Dự án'!$A57="","",'Dự án'!$A57)</f>
        <v/>
      </c>
      <c r="B57" s="37" t="str">
        <f aca="false">IF($A57="","",'Dự án'!$B57)</f>
        <v/>
      </c>
      <c r="C57" s="37" t="str">
        <f aca="false">IF($A57="","",'Dự án'!$C57)</f>
        <v/>
      </c>
      <c r="D57" s="37" t="str">
        <f aca="false">IF($A57="","",'Dự án'!$H57)</f>
        <v/>
      </c>
      <c r="E57" s="38" t="str">
        <f aca="false">IF($A57="","",'Dự án'!$G57)</f>
        <v/>
      </c>
      <c r="F57" s="38" t="str">
        <f aca="false">IF($A57="","",COUNTIFS('Check giá'!$C$4:$C$203,$A57))</f>
        <v/>
      </c>
      <c r="G57" s="38" t="str">
        <f aca="false">IF($A57="","",COUNTIFS('Check giá'!$C$4:$C$203,$A57,'Check giá'!$O$4:$O$203,"Đang xử lý")+COUNTIFS('Check giá'!$C$4:$C$203,$A57,'Check giá'!$O$4:$O$203,"Quá hạn chưa trả"))</f>
        <v/>
      </c>
      <c r="H57" s="38" t="str">
        <f aca="false">IF($A57="","",SUMIFS('Check giá'!$J$4:$J$203,'Check giá'!$C$4:$C$203,$A57))</f>
        <v/>
      </c>
      <c r="I57" s="38" t="str">
        <f aca="false">IF($A57="","",COUNTIFS(PR!$D$4:$D$203,$A57))</f>
        <v/>
      </c>
      <c r="J57" s="38" t="str">
        <f aca="false">IF($A57="","",SUMIFS(PR!$L$4:$L$203,PR!$D$4:$D$203,$A57))</f>
        <v/>
      </c>
      <c r="K57" s="38" t="str">
        <f aca="false">IF($A57="","",COUNTIFS(PO!$D$4:$D$203,$A57))</f>
        <v/>
      </c>
      <c r="L57" s="38" t="str">
        <f aca="false">IF($A57="","",SUMIFS(PO!$L$4:$L$203,PO!$D$4:$D$203,$A57))</f>
        <v/>
      </c>
      <c r="M57" s="38" t="str">
        <f aca="false">IF($A57="","",SUMIFS(PO!$N$4:$N$203,PO!$D$4:$D$203,$A57))</f>
        <v/>
      </c>
      <c r="N57" s="39" t="str">
        <f aca="false">IF($A57="","",IFERROR($L57/$E57,""))</f>
        <v/>
      </c>
      <c r="O57" s="38" t="str">
        <f aca="false">IF($A57="","",IFERROR($E57-$L57,""))</f>
        <v/>
      </c>
      <c r="P57" s="38" t="str">
        <f aca="false">IF($A57="","",COUNTIFS(PO!$D$4:$D$203,$A57,PO!$S$4:$S$203,"Đúng hạn")+COUNTIFS(PO!$D$4:$D$203,$A57,PO!$S$4:$S$203,"Giao trễ")+COUNTIFS(PO!$D$4:$D$203,$A57,PO!$S$4:$S$203,"Trễ hạn"))</f>
        <v/>
      </c>
      <c r="Q57" s="38" t="str">
        <f aca="false">IF($A57="","",COUNTIFS(PO!$D$4:$D$203,$A57,PO!$S$4:$S$203,"Đúng hạn"))</f>
        <v/>
      </c>
      <c r="R57" s="39" t="str">
        <f aca="false">IF($A57="","",IFERROR($Q57/$P57,""))</f>
        <v/>
      </c>
      <c r="S57" s="38" t="str">
        <f aca="false">IF($A57="","",SUMIFS('Thanh toán'!$H$4:$H$203,'Thanh toán'!$D$4:$D$203,$A57))</f>
        <v/>
      </c>
      <c r="T57" s="38" t="str">
        <f aca="false">IF($A57="","",SUMIFS('Công nợ'!$I$4:$I$203,'Công nợ'!$B$4:$B$203,$A57))</f>
        <v/>
      </c>
      <c r="U57" s="38" t="str">
        <f aca="false">IF($A57="","",SUMIFS('Công nợ'!$I$4:$I$203,'Công nợ'!$B$4:$B$203,$A57,'Công nợ'!$K$4:$K$203,"&gt;0"))</f>
        <v/>
      </c>
    </row>
    <row r="58" customFormat="false" ht="15" hidden="false" customHeight="false" outlineLevel="0" collapsed="false">
      <c r="A58" s="37" t="str">
        <f aca="false">IF('Dự án'!$A58="","",'Dự án'!$A58)</f>
        <v/>
      </c>
      <c r="B58" s="37" t="str">
        <f aca="false">IF($A58="","",'Dự án'!$B58)</f>
        <v/>
      </c>
      <c r="C58" s="37" t="str">
        <f aca="false">IF($A58="","",'Dự án'!$C58)</f>
        <v/>
      </c>
      <c r="D58" s="37" t="str">
        <f aca="false">IF($A58="","",'Dự án'!$H58)</f>
        <v/>
      </c>
      <c r="E58" s="38" t="str">
        <f aca="false">IF($A58="","",'Dự án'!$G58)</f>
        <v/>
      </c>
      <c r="F58" s="38" t="str">
        <f aca="false">IF($A58="","",COUNTIFS('Check giá'!$C$4:$C$203,$A58))</f>
        <v/>
      </c>
      <c r="G58" s="38" t="str">
        <f aca="false">IF($A58="","",COUNTIFS('Check giá'!$C$4:$C$203,$A58,'Check giá'!$O$4:$O$203,"Đang xử lý")+COUNTIFS('Check giá'!$C$4:$C$203,$A58,'Check giá'!$O$4:$O$203,"Quá hạn chưa trả"))</f>
        <v/>
      </c>
      <c r="H58" s="38" t="str">
        <f aca="false">IF($A58="","",SUMIFS('Check giá'!$J$4:$J$203,'Check giá'!$C$4:$C$203,$A58))</f>
        <v/>
      </c>
      <c r="I58" s="38" t="str">
        <f aca="false">IF($A58="","",COUNTIFS(PR!$D$4:$D$203,$A58))</f>
        <v/>
      </c>
      <c r="J58" s="38" t="str">
        <f aca="false">IF($A58="","",SUMIFS(PR!$L$4:$L$203,PR!$D$4:$D$203,$A58))</f>
        <v/>
      </c>
      <c r="K58" s="38" t="str">
        <f aca="false">IF($A58="","",COUNTIFS(PO!$D$4:$D$203,$A58))</f>
        <v/>
      </c>
      <c r="L58" s="38" t="str">
        <f aca="false">IF($A58="","",SUMIFS(PO!$L$4:$L$203,PO!$D$4:$D$203,$A58))</f>
        <v/>
      </c>
      <c r="M58" s="38" t="str">
        <f aca="false">IF($A58="","",SUMIFS(PO!$N$4:$N$203,PO!$D$4:$D$203,$A58))</f>
        <v/>
      </c>
      <c r="N58" s="39" t="str">
        <f aca="false">IF($A58="","",IFERROR($L58/$E58,""))</f>
        <v/>
      </c>
      <c r="O58" s="38" t="str">
        <f aca="false">IF($A58="","",IFERROR($E58-$L58,""))</f>
        <v/>
      </c>
      <c r="P58" s="38" t="str">
        <f aca="false">IF($A58="","",COUNTIFS(PO!$D$4:$D$203,$A58,PO!$S$4:$S$203,"Đúng hạn")+COUNTIFS(PO!$D$4:$D$203,$A58,PO!$S$4:$S$203,"Giao trễ")+COUNTIFS(PO!$D$4:$D$203,$A58,PO!$S$4:$S$203,"Trễ hạn"))</f>
        <v/>
      </c>
      <c r="Q58" s="38" t="str">
        <f aca="false">IF($A58="","",COUNTIFS(PO!$D$4:$D$203,$A58,PO!$S$4:$S$203,"Đúng hạn"))</f>
        <v/>
      </c>
      <c r="R58" s="39" t="str">
        <f aca="false">IF($A58="","",IFERROR($Q58/$P58,""))</f>
        <v/>
      </c>
      <c r="S58" s="38" t="str">
        <f aca="false">IF($A58="","",SUMIFS('Thanh toán'!$H$4:$H$203,'Thanh toán'!$D$4:$D$203,$A58))</f>
        <v/>
      </c>
      <c r="T58" s="38" t="str">
        <f aca="false">IF($A58="","",SUMIFS('Công nợ'!$I$4:$I$203,'Công nợ'!$B$4:$B$203,$A58))</f>
        <v/>
      </c>
      <c r="U58" s="38" t="str">
        <f aca="false">IF($A58="","",SUMIFS('Công nợ'!$I$4:$I$203,'Công nợ'!$B$4:$B$203,$A58,'Công nợ'!$K$4:$K$203,"&gt;0"))</f>
        <v/>
      </c>
    </row>
    <row r="59" customFormat="false" ht="15" hidden="false" customHeight="false" outlineLevel="0" collapsed="false">
      <c r="A59" s="37" t="str">
        <f aca="false">IF('Dự án'!$A59="","",'Dự án'!$A59)</f>
        <v/>
      </c>
      <c r="B59" s="37" t="str">
        <f aca="false">IF($A59="","",'Dự án'!$B59)</f>
        <v/>
      </c>
      <c r="C59" s="37" t="str">
        <f aca="false">IF($A59="","",'Dự án'!$C59)</f>
        <v/>
      </c>
      <c r="D59" s="37" t="str">
        <f aca="false">IF($A59="","",'Dự án'!$H59)</f>
        <v/>
      </c>
      <c r="E59" s="38" t="str">
        <f aca="false">IF($A59="","",'Dự án'!$G59)</f>
        <v/>
      </c>
      <c r="F59" s="38" t="str">
        <f aca="false">IF($A59="","",COUNTIFS('Check giá'!$C$4:$C$203,$A59))</f>
        <v/>
      </c>
      <c r="G59" s="38" t="str">
        <f aca="false">IF($A59="","",COUNTIFS('Check giá'!$C$4:$C$203,$A59,'Check giá'!$O$4:$O$203,"Đang xử lý")+COUNTIFS('Check giá'!$C$4:$C$203,$A59,'Check giá'!$O$4:$O$203,"Quá hạn chưa trả"))</f>
        <v/>
      </c>
      <c r="H59" s="38" t="str">
        <f aca="false">IF($A59="","",SUMIFS('Check giá'!$J$4:$J$203,'Check giá'!$C$4:$C$203,$A59))</f>
        <v/>
      </c>
      <c r="I59" s="38" t="str">
        <f aca="false">IF($A59="","",COUNTIFS(PR!$D$4:$D$203,$A59))</f>
        <v/>
      </c>
      <c r="J59" s="38" t="str">
        <f aca="false">IF($A59="","",SUMIFS(PR!$L$4:$L$203,PR!$D$4:$D$203,$A59))</f>
        <v/>
      </c>
      <c r="K59" s="38" t="str">
        <f aca="false">IF($A59="","",COUNTIFS(PO!$D$4:$D$203,$A59))</f>
        <v/>
      </c>
      <c r="L59" s="38" t="str">
        <f aca="false">IF($A59="","",SUMIFS(PO!$L$4:$L$203,PO!$D$4:$D$203,$A59))</f>
        <v/>
      </c>
      <c r="M59" s="38" t="str">
        <f aca="false">IF($A59="","",SUMIFS(PO!$N$4:$N$203,PO!$D$4:$D$203,$A59))</f>
        <v/>
      </c>
      <c r="N59" s="39" t="str">
        <f aca="false">IF($A59="","",IFERROR($L59/$E59,""))</f>
        <v/>
      </c>
      <c r="O59" s="38" t="str">
        <f aca="false">IF($A59="","",IFERROR($E59-$L59,""))</f>
        <v/>
      </c>
      <c r="P59" s="38" t="str">
        <f aca="false">IF($A59="","",COUNTIFS(PO!$D$4:$D$203,$A59,PO!$S$4:$S$203,"Đúng hạn")+COUNTIFS(PO!$D$4:$D$203,$A59,PO!$S$4:$S$203,"Giao trễ")+COUNTIFS(PO!$D$4:$D$203,$A59,PO!$S$4:$S$203,"Trễ hạn"))</f>
        <v/>
      </c>
      <c r="Q59" s="38" t="str">
        <f aca="false">IF($A59="","",COUNTIFS(PO!$D$4:$D$203,$A59,PO!$S$4:$S$203,"Đúng hạn"))</f>
        <v/>
      </c>
      <c r="R59" s="39" t="str">
        <f aca="false">IF($A59="","",IFERROR($Q59/$P59,""))</f>
        <v/>
      </c>
      <c r="S59" s="38" t="str">
        <f aca="false">IF($A59="","",SUMIFS('Thanh toán'!$H$4:$H$203,'Thanh toán'!$D$4:$D$203,$A59))</f>
        <v/>
      </c>
      <c r="T59" s="38" t="str">
        <f aca="false">IF($A59="","",SUMIFS('Công nợ'!$I$4:$I$203,'Công nợ'!$B$4:$B$203,$A59))</f>
        <v/>
      </c>
      <c r="U59" s="38" t="str">
        <f aca="false">IF($A59="","",SUMIFS('Công nợ'!$I$4:$I$203,'Công nợ'!$B$4:$B$203,$A59,'Công nợ'!$K$4:$K$203,"&gt;0"))</f>
        <v/>
      </c>
    </row>
    <row r="60" customFormat="false" ht="15" hidden="false" customHeight="false" outlineLevel="0" collapsed="false">
      <c r="A60" s="37" t="str">
        <f aca="false">IF('Dự án'!$A60="","",'Dự án'!$A60)</f>
        <v/>
      </c>
      <c r="B60" s="37" t="str">
        <f aca="false">IF($A60="","",'Dự án'!$B60)</f>
        <v/>
      </c>
      <c r="C60" s="37" t="str">
        <f aca="false">IF($A60="","",'Dự án'!$C60)</f>
        <v/>
      </c>
      <c r="D60" s="37" t="str">
        <f aca="false">IF($A60="","",'Dự án'!$H60)</f>
        <v/>
      </c>
      <c r="E60" s="38" t="str">
        <f aca="false">IF($A60="","",'Dự án'!$G60)</f>
        <v/>
      </c>
      <c r="F60" s="38" t="str">
        <f aca="false">IF($A60="","",COUNTIFS('Check giá'!$C$4:$C$203,$A60))</f>
        <v/>
      </c>
      <c r="G60" s="38" t="str">
        <f aca="false">IF($A60="","",COUNTIFS('Check giá'!$C$4:$C$203,$A60,'Check giá'!$O$4:$O$203,"Đang xử lý")+COUNTIFS('Check giá'!$C$4:$C$203,$A60,'Check giá'!$O$4:$O$203,"Quá hạn chưa trả"))</f>
        <v/>
      </c>
      <c r="H60" s="38" t="str">
        <f aca="false">IF($A60="","",SUMIFS('Check giá'!$J$4:$J$203,'Check giá'!$C$4:$C$203,$A60))</f>
        <v/>
      </c>
      <c r="I60" s="38" t="str">
        <f aca="false">IF($A60="","",COUNTIFS(PR!$D$4:$D$203,$A60))</f>
        <v/>
      </c>
      <c r="J60" s="38" t="str">
        <f aca="false">IF($A60="","",SUMIFS(PR!$L$4:$L$203,PR!$D$4:$D$203,$A60))</f>
        <v/>
      </c>
      <c r="K60" s="38" t="str">
        <f aca="false">IF($A60="","",COUNTIFS(PO!$D$4:$D$203,$A60))</f>
        <v/>
      </c>
      <c r="L60" s="38" t="str">
        <f aca="false">IF($A60="","",SUMIFS(PO!$L$4:$L$203,PO!$D$4:$D$203,$A60))</f>
        <v/>
      </c>
      <c r="M60" s="38" t="str">
        <f aca="false">IF($A60="","",SUMIFS(PO!$N$4:$N$203,PO!$D$4:$D$203,$A60))</f>
        <v/>
      </c>
      <c r="N60" s="39" t="str">
        <f aca="false">IF($A60="","",IFERROR($L60/$E60,""))</f>
        <v/>
      </c>
      <c r="O60" s="38" t="str">
        <f aca="false">IF($A60="","",IFERROR($E60-$L60,""))</f>
        <v/>
      </c>
      <c r="P60" s="38" t="str">
        <f aca="false">IF($A60="","",COUNTIFS(PO!$D$4:$D$203,$A60,PO!$S$4:$S$203,"Đúng hạn")+COUNTIFS(PO!$D$4:$D$203,$A60,PO!$S$4:$S$203,"Giao trễ")+COUNTIFS(PO!$D$4:$D$203,$A60,PO!$S$4:$S$203,"Trễ hạn"))</f>
        <v/>
      </c>
      <c r="Q60" s="38" t="str">
        <f aca="false">IF($A60="","",COUNTIFS(PO!$D$4:$D$203,$A60,PO!$S$4:$S$203,"Đúng hạn"))</f>
        <v/>
      </c>
      <c r="R60" s="39" t="str">
        <f aca="false">IF($A60="","",IFERROR($Q60/$P60,""))</f>
        <v/>
      </c>
      <c r="S60" s="38" t="str">
        <f aca="false">IF($A60="","",SUMIFS('Thanh toán'!$H$4:$H$203,'Thanh toán'!$D$4:$D$203,$A60))</f>
        <v/>
      </c>
      <c r="T60" s="38" t="str">
        <f aca="false">IF($A60="","",SUMIFS('Công nợ'!$I$4:$I$203,'Công nợ'!$B$4:$B$203,$A60))</f>
        <v/>
      </c>
      <c r="U60" s="38" t="str">
        <f aca="false">IF($A60="","",SUMIFS('Công nợ'!$I$4:$I$203,'Công nợ'!$B$4:$B$203,$A60,'Công nợ'!$K$4:$K$203,"&gt;0"))</f>
        <v/>
      </c>
    </row>
    <row r="61" customFormat="false" ht="15" hidden="false" customHeight="false" outlineLevel="0" collapsed="false">
      <c r="A61" s="37" t="str">
        <f aca="false">IF('Dự án'!$A61="","",'Dự án'!$A61)</f>
        <v/>
      </c>
      <c r="B61" s="37" t="str">
        <f aca="false">IF($A61="","",'Dự án'!$B61)</f>
        <v/>
      </c>
      <c r="C61" s="37" t="str">
        <f aca="false">IF($A61="","",'Dự án'!$C61)</f>
        <v/>
      </c>
      <c r="D61" s="37" t="str">
        <f aca="false">IF($A61="","",'Dự án'!$H61)</f>
        <v/>
      </c>
      <c r="E61" s="38" t="str">
        <f aca="false">IF($A61="","",'Dự án'!$G61)</f>
        <v/>
      </c>
      <c r="F61" s="38" t="str">
        <f aca="false">IF($A61="","",COUNTIFS('Check giá'!$C$4:$C$203,$A61))</f>
        <v/>
      </c>
      <c r="G61" s="38" t="str">
        <f aca="false">IF($A61="","",COUNTIFS('Check giá'!$C$4:$C$203,$A61,'Check giá'!$O$4:$O$203,"Đang xử lý")+COUNTIFS('Check giá'!$C$4:$C$203,$A61,'Check giá'!$O$4:$O$203,"Quá hạn chưa trả"))</f>
        <v/>
      </c>
      <c r="H61" s="38" t="str">
        <f aca="false">IF($A61="","",SUMIFS('Check giá'!$J$4:$J$203,'Check giá'!$C$4:$C$203,$A61))</f>
        <v/>
      </c>
      <c r="I61" s="38" t="str">
        <f aca="false">IF($A61="","",COUNTIFS(PR!$D$4:$D$203,$A61))</f>
        <v/>
      </c>
      <c r="J61" s="38" t="str">
        <f aca="false">IF($A61="","",SUMIFS(PR!$L$4:$L$203,PR!$D$4:$D$203,$A61))</f>
        <v/>
      </c>
      <c r="K61" s="38" t="str">
        <f aca="false">IF($A61="","",COUNTIFS(PO!$D$4:$D$203,$A61))</f>
        <v/>
      </c>
      <c r="L61" s="38" t="str">
        <f aca="false">IF($A61="","",SUMIFS(PO!$L$4:$L$203,PO!$D$4:$D$203,$A61))</f>
        <v/>
      </c>
      <c r="M61" s="38" t="str">
        <f aca="false">IF($A61="","",SUMIFS(PO!$N$4:$N$203,PO!$D$4:$D$203,$A61))</f>
        <v/>
      </c>
      <c r="N61" s="39" t="str">
        <f aca="false">IF($A61="","",IFERROR($L61/$E61,""))</f>
        <v/>
      </c>
      <c r="O61" s="38" t="str">
        <f aca="false">IF($A61="","",IFERROR($E61-$L61,""))</f>
        <v/>
      </c>
      <c r="P61" s="38" t="str">
        <f aca="false">IF($A61="","",COUNTIFS(PO!$D$4:$D$203,$A61,PO!$S$4:$S$203,"Đúng hạn")+COUNTIFS(PO!$D$4:$D$203,$A61,PO!$S$4:$S$203,"Giao trễ")+COUNTIFS(PO!$D$4:$D$203,$A61,PO!$S$4:$S$203,"Trễ hạn"))</f>
        <v/>
      </c>
      <c r="Q61" s="38" t="str">
        <f aca="false">IF($A61="","",COUNTIFS(PO!$D$4:$D$203,$A61,PO!$S$4:$S$203,"Đúng hạn"))</f>
        <v/>
      </c>
      <c r="R61" s="39" t="str">
        <f aca="false">IF($A61="","",IFERROR($Q61/$P61,""))</f>
        <v/>
      </c>
      <c r="S61" s="38" t="str">
        <f aca="false">IF($A61="","",SUMIFS('Thanh toán'!$H$4:$H$203,'Thanh toán'!$D$4:$D$203,$A61))</f>
        <v/>
      </c>
      <c r="T61" s="38" t="str">
        <f aca="false">IF($A61="","",SUMIFS('Công nợ'!$I$4:$I$203,'Công nợ'!$B$4:$B$203,$A61))</f>
        <v/>
      </c>
      <c r="U61" s="38" t="str">
        <f aca="false">IF($A61="","",SUMIFS('Công nợ'!$I$4:$I$203,'Công nợ'!$B$4:$B$203,$A61,'Công nợ'!$K$4:$K$203,"&gt;0"))</f>
        <v/>
      </c>
    </row>
    <row r="62" customFormat="false" ht="15" hidden="false" customHeight="false" outlineLevel="0" collapsed="false">
      <c r="A62" s="37" t="str">
        <f aca="false">IF('Dự án'!$A62="","",'Dự án'!$A62)</f>
        <v/>
      </c>
      <c r="B62" s="37" t="str">
        <f aca="false">IF($A62="","",'Dự án'!$B62)</f>
        <v/>
      </c>
      <c r="C62" s="37" t="str">
        <f aca="false">IF($A62="","",'Dự án'!$C62)</f>
        <v/>
      </c>
      <c r="D62" s="37" t="str">
        <f aca="false">IF($A62="","",'Dự án'!$H62)</f>
        <v/>
      </c>
      <c r="E62" s="38" t="str">
        <f aca="false">IF($A62="","",'Dự án'!$G62)</f>
        <v/>
      </c>
      <c r="F62" s="38" t="str">
        <f aca="false">IF($A62="","",COUNTIFS('Check giá'!$C$4:$C$203,$A62))</f>
        <v/>
      </c>
      <c r="G62" s="38" t="str">
        <f aca="false">IF($A62="","",COUNTIFS('Check giá'!$C$4:$C$203,$A62,'Check giá'!$O$4:$O$203,"Đang xử lý")+COUNTIFS('Check giá'!$C$4:$C$203,$A62,'Check giá'!$O$4:$O$203,"Quá hạn chưa trả"))</f>
        <v/>
      </c>
      <c r="H62" s="38" t="str">
        <f aca="false">IF($A62="","",SUMIFS('Check giá'!$J$4:$J$203,'Check giá'!$C$4:$C$203,$A62))</f>
        <v/>
      </c>
      <c r="I62" s="38" t="str">
        <f aca="false">IF($A62="","",COUNTIFS(PR!$D$4:$D$203,$A62))</f>
        <v/>
      </c>
      <c r="J62" s="38" t="str">
        <f aca="false">IF($A62="","",SUMIFS(PR!$L$4:$L$203,PR!$D$4:$D$203,$A62))</f>
        <v/>
      </c>
      <c r="K62" s="38" t="str">
        <f aca="false">IF($A62="","",COUNTIFS(PO!$D$4:$D$203,$A62))</f>
        <v/>
      </c>
      <c r="L62" s="38" t="str">
        <f aca="false">IF($A62="","",SUMIFS(PO!$L$4:$L$203,PO!$D$4:$D$203,$A62))</f>
        <v/>
      </c>
      <c r="M62" s="38" t="str">
        <f aca="false">IF($A62="","",SUMIFS(PO!$N$4:$N$203,PO!$D$4:$D$203,$A62))</f>
        <v/>
      </c>
      <c r="N62" s="39" t="str">
        <f aca="false">IF($A62="","",IFERROR($L62/$E62,""))</f>
        <v/>
      </c>
      <c r="O62" s="38" t="str">
        <f aca="false">IF($A62="","",IFERROR($E62-$L62,""))</f>
        <v/>
      </c>
      <c r="P62" s="38" t="str">
        <f aca="false">IF($A62="","",COUNTIFS(PO!$D$4:$D$203,$A62,PO!$S$4:$S$203,"Đúng hạn")+COUNTIFS(PO!$D$4:$D$203,$A62,PO!$S$4:$S$203,"Giao trễ")+COUNTIFS(PO!$D$4:$D$203,$A62,PO!$S$4:$S$203,"Trễ hạn"))</f>
        <v/>
      </c>
      <c r="Q62" s="38" t="str">
        <f aca="false">IF($A62="","",COUNTIFS(PO!$D$4:$D$203,$A62,PO!$S$4:$S$203,"Đúng hạn"))</f>
        <v/>
      </c>
      <c r="R62" s="39" t="str">
        <f aca="false">IF($A62="","",IFERROR($Q62/$P62,""))</f>
        <v/>
      </c>
      <c r="S62" s="38" t="str">
        <f aca="false">IF($A62="","",SUMIFS('Thanh toán'!$H$4:$H$203,'Thanh toán'!$D$4:$D$203,$A62))</f>
        <v/>
      </c>
      <c r="T62" s="38" t="str">
        <f aca="false">IF($A62="","",SUMIFS('Công nợ'!$I$4:$I$203,'Công nợ'!$B$4:$B$203,$A62))</f>
        <v/>
      </c>
      <c r="U62" s="38" t="str">
        <f aca="false">IF($A62="","",SUMIFS('Công nợ'!$I$4:$I$203,'Công nợ'!$B$4:$B$203,$A62,'Công nợ'!$K$4:$K$203,"&gt;0"))</f>
        <v/>
      </c>
    </row>
    <row r="63" customFormat="false" ht="15" hidden="false" customHeight="false" outlineLevel="0" collapsed="false">
      <c r="A63" s="37" t="str">
        <f aca="false">IF('Dự án'!$A63="","",'Dự án'!$A63)</f>
        <v/>
      </c>
      <c r="B63" s="37" t="str">
        <f aca="false">IF($A63="","",'Dự án'!$B63)</f>
        <v/>
      </c>
      <c r="C63" s="37" t="str">
        <f aca="false">IF($A63="","",'Dự án'!$C63)</f>
        <v/>
      </c>
      <c r="D63" s="37" t="str">
        <f aca="false">IF($A63="","",'Dự án'!$H63)</f>
        <v/>
      </c>
      <c r="E63" s="38" t="str">
        <f aca="false">IF($A63="","",'Dự án'!$G63)</f>
        <v/>
      </c>
      <c r="F63" s="38" t="str">
        <f aca="false">IF($A63="","",COUNTIFS('Check giá'!$C$4:$C$203,$A63))</f>
        <v/>
      </c>
      <c r="G63" s="38" t="str">
        <f aca="false">IF($A63="","",COUNTIFS('Check giá'!$C$4:$C$203,$A63,'Check giá'!$O$4:$O$203,"Đang xử lý")+COUNTIFS('Check giá'!$C$4:$C$203,$A63,'Check giá'!$O$4:$O$203,"Quá hạn chưa trả"))</f>
        <v/>
      </c>
      <c r="H63" s="38" t="str">
        <f aca="false">IF($A63="","",SUMIFS('Check giá'!$J$4:$J$203,'Check giá'!$C$4:$C$203,$A63))</f>
        <v/>
      </c>
      <c r="I63" s="38" t="str">
        <f aca="false">IF($A63="","",COUNTIFS(PR!$D$4:$D$203,$A63))</f>
        <v/>
      </c>
      <c r="J63" s="38" t="str">
        <f aca="false">IF($A63="","",SUMIFS(PR!$L$4:$L$203,PR!$D$4:$D$203,$A63))</f>
        <v/>
      </c>
      <c r="K63" s="38" t="str">
        <f aca="false">IF($A63="","",COUNTIFS(PO!$D$4:$D$203,$A63))</f>
        <v/>
      </c>
      <c r="L63" s="38" t="str">
        <f aca="false">IF($A63="","",SUMIFS(PO!$L$4:$L$203,PO!$D$4:$D$203,$A63))</f>
        <v/>
      </c>
      <c r="M63" s="38" t="str">
        <f aca="false">IF($A63="","",SUMIFS(PO!$N$4:$N$203,PO!$D$4:$D$203,$A63))</f>
        <v/>
      </c>
      <c r="N63" s="39" t="str">
        <f aca="false">IF($A63="","",IFERROR($L63/$E63,""))</f>
        <v/>
      </c>
      <c r="O63" s="38" t="str">
        <f aca="false">IF($A63="","",IFERROR($E63-$L63,""))</f>
        <v/>
      </c>
      <c r="P63" s="38" t="str">
        <f aca="false">IF($A63="","",COUNTIFS(PO!$D$4:$D$203,$A63,PO!$S$4:$S$203,"Đúng hạn")+COUNTIFS(PO!$D$4:$D$203,$A63,PO!$S$4:$S$203,"Giao trễ")+COUNTIFS(PO!$D$4:$D$203,$A63,PO!$S$4:$S$203,"Trễ hạn"))</f>
        <v/>
      </c>
      <c r="Q63" s="38" t="str">
        <f aca="false">IF($A63="","",COUNTIFS(PO!$D$4:$D$203,$A63,PO!$S$4:$S$203,"Đúng hạn"))</f>
        <v/>
      </c>
      <c r="R63" s="39" t="str">
        <f aca="false">IF($A63="","",IFERROR($Q63/$P63,""))</f>
        <v/>
      </c>
      <c r="S63" s="38" t="str">
        <f aca="false">IF($A63="","",SUMIFS('Thanh toán'!$H$4:$H$203,'Thanh toán'!$D$4:$D$203,$A63))</f>
        <v/>
      </c>
      <c r="T63" s="38" t="str">
        <f aca="false">IF($A63="","",SUMIFS('Công nợ'!$I$4:$I$203,'Công nợ'!$B$4:$B$203,$A63))</f>
        <v/>
      </c>
      <c r="U63" s="38" t="str">
        <f aca="false">IF($A63="","",SUMIFS('Công nợ'!$I$4:$I$203,'Công nợ'!$B$4:$B$203,$A63,'Công nợ'!$K$4:$K$203,"&gt;0"))</f>
        <v/>
      </c>
    </row>
    <row r="64" customFormat="false" ht="15" hidden="false" customHeight="false" outlineLevel="0" collapsed="false">
      <c r="A64" s="37" t="str">
        <f aca="false">IF('Dự án'!$A64="","",'Dự án'!$A64)</f>
        <v/>
      </c>
      <c r="B64" s="37" t="str">
        <f aca="false">IF($A64="","",'Dự án'!$B64)</f>
        <v/>
      </c>
      <c r="C64" s="37" t="str">
        <f aca="false">IF($A64="","",'Dự án'!$C64)</f>
        <v/>
      </c>
      <c r="D64" s="37" t="str">
        <f aca="false">IF($A64="","",'Dự án'!$H64)</f>
        <v/>
      </c>
      <c r="E64" s="38" t="str">
        <f aca="false">IF($A64="","",'Dự án'!$G64)</f>
        <v/>
      </c>
      <c r="F64" s="38" t="str">
        <f aca="false">IF($A64="","",COUNTIFS('Check giá'!$C$4:$C$203,$A64))</f>
        <v/>
      </c>
      <c r="G64" s="38" t="str">
        <f aca="false">IF($A64="","",COUNTIFS('Check giá'!$C$4:$C$203,$A64,'Check giá'!$O$4:$O$203,"Đang xử lý")+COUNTIFS('Check giá'!$C$4:$C$203,$A64,'Check giá'!$O$4:$O$203,"Quá hạn chưa trả"))</f>
        <v/>
      </c>
      <c r="H64" s="38" t="str">
        <f aca="false">IF($A64="","",SUMIFS('Check giá'!$J$4:$J$203,'Check giá'!$C$4:$C$203,$A64))</f>
        <v/>
      </c>
      <c r="I64" s="38" t="str">
        <f aca="false">IF($A64="","",COUNTIFS(PR!$D$4:$D$203,$A64))</f>
        <v/>
      </c>
      <c r="J64" s="38" t="str">
        <f aca="false">IF($A64="","",SUMIFS(PR!$L$4:$L$203,PR!$D$4:$D$203,$A64))</f>
        <v/>
      </c>
      <c r="K64" s="38" t="str">
        <f aca="false">IF($A64="","",COUNTIFS(PO!$D$4:$D$203,$A64))</f>
        <v/>
      </c>
      <c r="L64" s="38" t="str">
        <f aca="false">IF($A64="","",SUMIFS(PO!$L$4:$L$203,PO!$D$4:$D$203,$A64))</f>
        <v/>
      </c>
      <c r="M64" s="38" t="str">
        <f aca="false">IF($A64="","",SUMIFS(PO!$N$4:$N$203,PO!$D$4:$D$203,$A64))</f>
        <v/>
      </c>
      <c r="N64" s="39" t="str">
        <f aca="false">IF($A64="","",IFERROR($L64/$E64,""))</f>
        <v/>
      </c>
      <c r="O64" s="38" t="str">
        <f aca="false">IF($A64="","",IFERROR($E64-$L64,""))</f>
        <v/>
      </c>
      <c r="P64" s="38" t="str">
        <f aca="false">IF($A64="","",COUNTIFS(PO!$D$4:$D$203,$A64,PO!$S$4:$S$203,"Đúng hạn")+COUNTIFS(PO!$D$4:$D$203,$A64,PO!$S$4:$S$203,"Giao trễ")+COUNTIFS(PO!$D$4:$D$203,$A64,PO!$S$4:$S$203,"Trễ hạn"))</f>
        <v/>
      </c>
      <c r="Q64" s="38" t="str">
        <f aca="false">IF($A64="","",COUNTIFS(PO!$D$4:$D$203,$A64,PO!$S$4:$S$203,"Đúng hạn"))</f>
        <v/>
      </c>
      <c r="R64" s="39" t="str">
        <f aca="false">IF($A64="","",IFERROR($Q64/$P64,""))</f>
        <v/>
      </c>
      <c r="S64" s="38" t="str">
        <f aca="false">IF($A64="","",SUMIFS('Thanh toán'!$H$4:$H$203,'Thanh toán'!$D$4:$D$203,$A64))</f>
        <v/>
      </c>
      <c r="T64" s="38" t="str">
        <f aca="false">IF($A64="","",SUMIFS('Công nợ'!$I$4:$I$203,'Công nợ'!$B$4:$B$203,$A64))</f>
        <v/>
      </c>
      <c r="U64" s="38" t="str">
        <f aca="false">IF($A64="","",SUMIFS('Công nợ'!$I$4:$I$203,'Công nợ'!$B$4:$B$203,$A64,'Công nợ'!$K$4:$K$203,"&gt;0"))</f>
        <v/>
      </c>
    </row>
    <row r="65" customFormat="false" ht="15" hidden="false" customHeight="false" outlineLevel="0" collapsed="false">
      <c r="A65" s="37" t="str">
        <f aca="false">IF('Dự án'!$A65="","",'Dự án'!$A65)</f>
        <v/>
      </c>
      <c r="B65" s="37" t="str">
        <f aca="false">IF($A65="","",'Dự án'!$B65)</f>
        <v/>
      </c>
      <c r="C65" s="37" t="str">
        <f aca="false">IF($A65="","",'Dự án'!$C65)</f>
        <v/>
      </c>
      <c r="D65" s="37" t="str">
        <f aca="false">IF($A65="","",'Dự án'!$H65)</f>
        <v/>
      </c>
      <c r="E65" s="38" t="str">
        <f aca="false">IF($A65="","",'Dự án'!$G65)</f>
        <v/>
      </c>
      <c r="F65" s="38" t="str">
        <f aca="false">IF($A65="","",COUNTIFS('Check giá'!$C$4:$C$203,$A65))</f>
        <v/>
      </c>
      <c r="G65" s="38" t="str">
        <f aca="false">IF($A65="","",COUNTIFS('Check giá'!$C$4:$C$203,$A65,'Check giá'!$O$4:$O$203,"Đang xử lý")+COUNTIFS('Check giá'!$C$4:$C$203,$A65,'Check giá'!$O$4:$O$203,"Quá hạn chưa trả"))</f>
        <v/>
      </c>
      <c r="H65" s="38" t="str">
        <f aca="false">IF($A65="","",SUMIFS('Check giá'!$J$4:$J$203,'Check giá'!$C$4:$C$203,$A65))</f>
        <v/>
      </c>
      <c r="I65" s="38" t="str">
        <f aca="false">IF($A65="","",COUNTIFS(PR!$D$4:$D$203,$A65))</f>
        <v/>
      </c>
      <c r="J65" s="38" t="str">
        <f aca="false">IF($A65="","",SUMIFS(PR!$L$4:$L$203,PR!$D$4:$D$203,$A65))</f>
        <v/>
      </c>
      <c r="K65" s="38" t="str">
        <f aca="false">IF($A65="","",COUNTIFS(PO!$D$4:$D$203,$A65))</f>
        <v/>
      </c>
      <c r="L65" s="38" t="str">
        <f aca="false">IF($A65="","",SUMIFS(PO!$L$4:$L$203,PO!$D$4:$D$203,$A65))</f>
        <v/>
      </c>
      <c r="M65" s="38" t="str">
        <f aca="false">IF($A65="","",SUMIFS(PO!$N$4:$N$203,PO!$D$4:$D$203,$A65))</f>
        <v/>
      </c>
      <c r="N65" s="39" t="str">
        <f aca="false">IF($A65="","",IFERROR($L65/$E65,""))</f>
        <v/>
      </c>
      <c r="O65" s="38" t="str">
        <f aca="false">IF($A65="","",IFERROR($E65-$L65,""))</f>
        <v/>
      </c>
      <c r="P65" s="38" t="str">
        <f aca="false">IF($A65="","",COUNTIFS(PO!$D$4:$D$203,$A65,PO!$S$4:$S$203,"Đúng hạn")+COUNTIFS(PO!$D$4:$D$203,$A65,PO!$S$4:$S$203,"Giao trễ")+COUNTIFS(PO!$D$4:$D$203,$A65,PO!$S$4:$S$203,"Trễ hạn"))</f>
        <v/>
      </c>
      <c r="Q65" s="38" t="str">
        <f aca="false">IF($A65="","",COUNTIFS(PO!$D$4:$D$203,$A65,PO!$S$4:$S$203,"Đúng hạn"))</f>
        <v/>
      </c>
      <c r="R65" s="39" t="str">
        <f aca="false">IF($A65="","",IFERROR($Q65/$P65,""))</f>
        <v/>
      </c>
      <c r="S65" s="38" t="str">
        <f aca="false">IF($A65="","",SUMIFS('Thanh toán'!$H$4:$H$203,'Thanh toán'!$D$4:$D$203,$A65))</f>
        <v/>
      </c>
      <c r="T65" s="38" t="str">
        <f aca="false">IF($A65="","",SUMIFS('Công nợ'!$I$4:$I$203,'Công nợ'!$B$4:$B$203,$A65))</f>
        <v/>
      </c>
      <c r="U65" s="38" t="str">
        <f aca="false">IF($A65="","",SUMIFS('Công nợ'!$I$4:$I$203,'Công nợ'!$B$4:$B$203,$A65,'Công nợ'!$K$4:$K$203,"&gt;0"))</f>
        <v/>
      </c>
    </row>
    <row r="66" customFormat="false" ht="15" hidden="false" customHeight="false" outlineLevel="0" collapsed="false">
      <c r="A66" s="37" t="str">
        <f aca="false">IF('Dự án'!$A66="","",'Dự án'!$A66)</f>
        <v/>
      </c>
      <c r="B66" s="37" t="str">
        <f aca="false">IF($A66="","",'Dự án'!$B66)</f>
        <v/>
      </c>
      <c r="C66" s="37" t="str">
        <f aca="false">IF($A66="","",'Dự án'!$C66)</f>
        <v/>
      </c>
      <c r="D66" s="37" t="str">
        <f aca="false">IF($A66="","",'Dự án'!$H66)</f>
        <v/>
      </c>
      <c r="E66" s="38" t="str">
        <f aca="false">IF($A66="","",'Dự án'!$G66)</f>
        <v/>
      </c>
      <c r="F66" s="38" t="str">
        <f aca="false">IF($A66="","",COUNTIFS('Check giá'!$C$4:$C$203,$A66))</f>
        <v/>
      </c>
      <c r="G66" s="38" t="str">
        <f aca="false">IF($A66="","",COUNTIFS('Check giá'!$C$4:$C$203,$A66,'Check giá'!$O$4:$O$203,"Đang xử lý")+COUNTIFS('Check giá'!$C$4:$C$203,$A66,'Check giá'!$O$4:$O$203,"Quá hạn chưa trả"))</f>
        <v/>
      </c>
      <c r="H66" s="38" t="str">
        <f aca="false">IF($A66="","",SUMIFS('Check giá'!$J$4:$J$203,'Check giá'!$C$4:$C$203,$A66))</f>
        <v/>
      </c>
      <c r="I66" s="38" t="str">
        <f aca="false">IF($A66="","",COUNTIFS(PR!$D$4:$D$203,$A66))</f>
        <v/>
      </c>
      <c r="J66" s="38" t="str">
        <f aca="false">IF($A66="","",SUMIFS(PR!$L$4:$L$203,PR!$D$4:$D$203,$A66))</f>
        <v/>
      </c>
      <c r="K66" s="38" t="str">
        <f aca="false">IF($A66="","",COUNTIFS(PO!$D$4:$D$203,$A66))</f>
        <v/>
      </c>
      <c r="L66" s="38" t="str">
        <f aca="false">IF($A66="","",SUMIFS(PO!$L$4:$L$203,PO!$D$4:$D$203,$A66))</f>
        <v/>
      </c>
      <c r="M66" s="38" t="str">
        <f aca="false">IF($A66="","",SUMIFS(PO!$N$4:$N$203,PO!$D$4:$D$203,$A66))</f>
        <v/>
      </c>
      <c r="N66" s="39" t="str">
        <f aca="false">IF($A66="","",IFERROR($L66/$E66,""))</f>
        <v/>
      </c>
      <c r="O66" s="38" t="str">
        <f aca="false">IF($A66="","",IFERROR($E66-$L66,""))</f>
        <v/>
      </c>
      <c r="P66" s="38" t="str">
        <f aca="false">IF($A66="","",COUNTIFS(PO!$D$4:$D$203,$A66,PO!$S$4:$S$203,"Đúng hạn")+COUNTIFS(PO!$D$4:$D$203,$A66,PO!$S$4:$S$203,"Giao trễ")+COUNTIFS(PO!$D$4:$D$203,$A66,PO!$S$4:$S$203,"Trễ hạn"))</f>
        <v/>
      </c>
      <c r="Q66" s="38" t="str">
        <f aca="false">IF($A66="","",COUNTIFS(PO!$D$4:$D$203,$A66,PO!$S$4:$S$203,"Đúng hạn"))</f>
        <v/>
      </c>
      <c r="R66" s="39" t="str">
        <f aca="false">IF($A66="","",IFERROR($Q66/$P66,""))</f>
        <v/>
      </c>
      <c r="S66" s="38" t="str">
        <f aca="false">IF($A66="","",SUMIFS('Thanh toán'!$H$4:$H$203,'Thanh toán'!$D$4:$D$203,$A66))</f>
        <v/>
      </c>
      <c r="T66" s="38" t="str">
        <f aca="false">IF($A66="","",SUMIFS('Công nợ'!$I$4:$I$203,'Công nợ'!$B$4:$B$203,$A66))</f>
        <v/>
      </c>
      <c r="U66" s="38" t="str">
        <f aca="false">IF($A66="","",SUMIFS('Công nợ'!$I$4:$I$203,'Công nợ'!$B$4:$B$203,$A66,'Công nợ'!$K$4:$K$203,"&gt;0"))</f>
        <v/>
      </c>
    </row>
    <row r="67" customFormat="false" ht="15" hidden="false" customHeight="false" outlineLevel="0" collapsed="false">
      <c r="A67" s="37" t="str">
        <f aca="false">IF('Dự án'!$A67="","",'Dự án'!$A67)</f>
        <v/>
      </c>
      <c r="B67" s="37" t="str">
        <f aca="false">IF($A67="","",'Dự án'!$B67)</f>
        <v/>
      </c>
      <c r="C67" s="37" t="str">
        <f aca="false">IF($A67="","",'Dự án'!$C67)</f>
        <v/>
      </c>
      <c r="D67" s="37" t="str">
        <f aca="false">IF($A67="","",'Dự án'!$H67)</f>
        <v/>
      </c>
      <c r="E67" s="38" t="str">
        <f aca="false">IF($A67="","",'Dự án'!$G67)</f>
        <v/>
      </c>
      <c r="F67" s="38" t="str">
        <f aca="false">IF($A67="","",COUNTIFS('Check giá'!$C$4:$C$203,$A67))</f>
        <v/>
      </c>
      <c r="G67" s="38" t="str">
        <f aca="false">IF($A67="","",COUNTIFS('Check giá'!$C$4:$C$203,$A67,'Check giá'!$O$4:$O$203,"Đang xử lý")+COUNTIFS('Check giá'!$C$4:$C$203,$A67,'Check giá'!$O$4:$O$203,"Quá hạn chưa trả"))</f>
        <v/>
      </c>
      <c r="H67" s="38" t="str">
        <f aca="false">IF($A67="","",SUMIFS('Check giá'!$J$4:$J$203,'Check giá'!$C$4:$C$203,$A67))</f>
        <v/>
      </c>
      <c r="I67" s="38" t="str">
        <f aca="false">IF($A67="","",COUNTIFS(PR!$D$4:$D$203,$A67))</f>
        <v/>
      </c>
      <c r="J67" s="38" t="str">
        <f aca="false">IF($A67="","",SUMIFS(PR!$L$4:$L$203,PR!$D$4:$D$203,$A67))</f>
        <v/>
      </c>
      <c r="K67" s="38" t="str">
        <f aca="false">IF($A67="","",COUNTIFS(PO!$D$4:$D$203,$A67))</f>
        <v/>
      </c>
      <c r="L67" s="38" t="str">
        <f aca="false">IF($A67="","",SUMIFS(PO!$L$4:$L$203,PO!$D$4:$D$203,$A67))</f>
        <v/>
      </c>
      <c r="M67" s="38" t="str">
        <f aca="false">IF($A67="","",SUMIFS(PO!$N$4:$N$203,PO!$D$4:$D$203,$A67))</f>
        <v/>
      </c>
      <c r="N67" s="39" t="str">
        <f aca="false">IF($A67="","",IFERROR($L67/$E67,""))</f>
        <v/>
      </c>
      <c r="O67" s="38" t="str">
        <f aca="false">IF($A67="","",IFERROR($E67-$L67,""))</f>
        <v/>
      </c>
      <c r="P67" s="38" t="str">
        <f aca="false">IF($A67="","",COUNTIFS(PO!$D$4:$D$203,$A67,PO!$S$4:$S$203,"Đúng hạn")+COUNTIFS(PO!$D$4:$D$203,$A67,PO!$S$4:$S$203,"Giao trễ")+COUNTIFS(PO!$D$4:$D$203,$A67,PO!$S$4:$S$203,"Trễ hạn"))</f>
        <v/>
      </c>
      <c r="Q67" s="38" t="str">
        <f aca="false">IF($A67="","",COUNTIFS(PO!$D$4:$D$203,$A67,PO!$S$4:$S$203,"Đúng hạn"))</f>
        <v/>
      </c>
      <c r="R67" s="39" t="str">
        <f aca="false">IF($A67="","",IFERROR($Q67/$P67,""))</f>
        <v/>
      </c>
      <c r="S67" s="38" t="str">
        <f aca="false">IF($A67="","",SUMIFS('Thanh toán'!$H$4:$H$203,'Thanh toán'!$D$4:$D$203,$A67))</f>
        <v/>
      </c>
      <c r="T67" s="38" t="str">
        <f aca="false">IF($A67="","",SUMIFS('Công nợ'!$I$4:$I$203,'Công nợ'!$B$4:$B$203,$A67))</f>
        <v/>
      </c>
      <c r="U67" s="38" t="str">
        <f aca="false">IF($A67="","",SUMIFS('Công nợ'!$I$4:$I$203,'Công nợ'!$B$4:$B$203,$A67,'Công nợ'!$K$4:$K$203,"&gt;0"))</f>
        <v/>
      </c>
    </row>
    <row r="68" customFormat="false" ht="15" hidden="false" customHeight="false" outlineLevel="0" collapsed="false">
      <c r="A68" s="37" t="str">
        <f aca="false">IF('Dự án'!$A68="","",'Dự án'!$A68)</f>
        <v/>
      </c>
      <c r="B68" s="37" t="str">
        <f aca="false">IF($A68="","",'Dự án'!$B68)</f>
        <v/>
      </c>
      <c r="C68" s="37" t="str">
        <f aca="false">IF($A68="","",'Dự án'!$C68)</f>
        <v/>
      </c>
      <c r="D68" s="37" t="str">
        <f aca="false">IF($A68="","",'Dự án'!$H68)</f>
        <v/>
      </c>
      <c r="E68" s="38" t="str">
        <f aca="false">IF($A68="","",'Dự án'!$G68)</f>
        <v/>
      </c>
      <c r="F68" s="38" t="str">
        <f aca="false">IF($A68="","",COUNTIFS('Check giá'!$C$4:$C$203,$A68))</f>
        <v/>
      </c>
      <c r="G68" s="38" t="str">
        <f aca="false">IF($A68="","",COUNTIFS('Check giá'!$C$4:$C$203,$A68,'Check giá'!$O$4:$O$203,"Đang xử lý")+COUNTIFS('Check giá'!$C$4:$C$203,$A68,'Check giá'!$O$4:$O$203,"Quá hạn chưa trả"))</f>
        <v/>
      </c>
      <c r="H68" s="38" t="str">
        <f aca="false">IF($A68="","",SUMIFS('Check giá'!$J$4:$J$203,'Check giá'!$C$4:$C$203,$A68))</f>
        <v/>
      </c>
      <c r="I68" s="38" t="str">
        <f aca="false">IF($A68="","",COUNTIFS(PR!$D$4:$D$203,$A68))</f>
        <v/>
      </c>
      <c r="J68" s="38" t="str">
        <f aca="false">IF($A68="","",SUMIFS(PR!$L$4:$L$203,PR!$D$4:$D$203,$A68))</f>
        <v/>
      </c>
      <c r="K68" s="38" t="str">
        <f aca="false">IF($A68="","",COUNTIFS(PO!$D$4:$D$203,$A68))</f>
        <v/>
      </c>
      <c r="L68" s="38" t="str">
        <f aca="false">IF($A68="","",SUMIFS(PO!$L$4:$L$203,PO!$D$4:$D$203,$A68))</f>
        <v/>
      </c>
      <c r="M68" s="38" t="str">
        <f aca="false">IF($A68="","",SUMIFS(PO!$N$4:$N$203,PO!$D$4:$D$203,$A68))</f>
        <v/>
      </c>
      <c r="N68" s="39" t="str">
        <f aca="false">IF($A68="","",IFERROR($L68/$E68,""))</f>
        <v/>
      </c>
      <c r="O68" s="38" t="str">
        <f aca="false">IF($A68="","",IFERROR($E68-$L68,""))</f>
        <v/>
      </c>
      <c r="P68" s="38" t="str">
        <f aca="false">IF($A68="","",COUNTIFS(PO!$D$4:$D$203,$A68,PO!$S$4:$S$203,"Đúng hạn")+COUNTIFS(PO!$D$4:$D$203,$A68,PO!$S$4:$S$203,"Giao trễ")+COUNTIFS(PO!$D$4:$D$203,$A68,PO!$S$4:$S$203,"Trễ hạn"))</f>
        <v/>
      </c>
      <c r="Q68" s="38" t="str">
        <f aca="false">IF($A68="","",COUNTIFS(PO!$D$4:$D$203,$A68,PO!$S$4:$S$203,"Đúng hạn"))</f>
        <v/>
      </c>
      <c r="R68" s="39" t="str">
        <f aca="false">IF($A68="","",IFERROR($Q68/$P68,""))</f>
        <v/>
      </c>
      <c r="S68" s="38" t="str">
        <f aca="false">IF($A68="","",SUMIFS('Thanh toán'!$H$4:$H$203,'Thanh toán'!$D$4:$D$203,$A68))</f>
        <v/>
      </c>
      <c r="T68" s="38" t="str">
        <f aca="false">IF($A68="","",SUMIFS('Công nợ'!$I$4:$I$203,'Công nợ'!$B$4:$B$203,$A68))</f>
        <v/>
      </c>
      <c r="U68" s="38" t="str">
        <f aca="false">IF($A68="","",SUMIFS('Công nợ'!$I$4:$I$203,'Công nợ'!$B$4:$B$203,$A68,'Công nợ'!$K$4:$K$203,"&gt;0"))</f>
        <v/>
      </c>
    </row>
    <row r="69" customFormat="false" ht="15" hidden="false" customHeight="false" outlineLevel="0" collapsed="false">
      <c r="A69" s="37" t="str">
        <f aca="false">IF('Dự án'!$A69="","",'Dự án'!$A69)</f>
        <v/>
      </c>
      <c r="B69" s="37" t="str">
        <f aca="false">IF($A69="","",'Dự án'!$B69)</f>
        <v/>
      </c>
      <c r="C69" s="37" t="str">
        <f aca="false">IF($A69="","",'Dự án'!$C69)</f>
        <v/>
      </c>
      <c r="D69" s="37" t="str">
        <f aca="false">IF($A69="","",'Dự án'!$H69)</f>
        <v/>
      </c>
      <c r="E69" s="38" t="str">
        <f aca="false">IF($A69="","",'Dự án'!$G69)</f>
        <v/>
      </c>
      <c r="F69" s="38" t="str">
        <f aca="false">IF($A69="","",COUNTIFS('Check giá'!$C$4:$C$203,$A69))</f>
        <v/>
      </c>
      <c r="G69" s="38" t="str">
        <f aca="false">IF($A69="","",COUNTIFS('Check giá'!$C$4:$C$203,$A69,'Check giá'!$O$4:$O$203,"Đang xử lý")+COUNTIFS('Check giá'!$C$4:$C$203,$A69,'Check giá'!$O$4:$O$203,"Quá hạn chưa trả"))</f>
        <v/>
      </c>
      <c r="H69" s="38" t="str">
        <f aca="false">IF($A69="","",SUMIFS('Check giá'!$J$4:$J$203,'Check giá'!$C$4:$C$203,$A69))</f>
        <v/>
      </c>
      <c r="I69" s="38" t="str">
        <f aca="false">IF($A69="","",COUNTIFS(PR!$D$4:$D$203,$A69))</f>
        <v/>
      </c>
      <c r="J69" s="38" t="str">
        <f aca="false">IF($A69="","",SUMIFS(PR!$L$4:$L$203,PR!$D$4:$D$203,$A69))</f>
        <v/>
      </c>
      <c r="K69" s="38" t="str">
        <f aca="false">IF($A69="","",COUNTIFS(PO!$D$4:$D$203,$A69))</f>
        <v/>
      </c>
      <c r="L69" s="38" t="str">
        <f aca="false">IF($A69="","",SUMIFS(PO!$L$4:$L$203,PO!$D$4:$D$203,$A69))</f>
        <v/>
      </c>
      <c r="M69" s="38" t="str">
        <f aca="false">IF($A69="","",SUMIFS(PO!$N$4:$N$203,PO!$D$4:$D$203,$A69))</f>
        <v/>
      </c>
      <c r="N69" s="39" t="str">
        <f aca="false">IF($A69="","",IFERROR($L69/$E69,""))</f>
        <v/>
      </c>
      <c r="O69" s="38" t="str">
        <f aca="false">IF($A69="","",IFERROR($E69-$L69,""))</f>
        <v/>
      </c>
      <c r="P69" s="38" t="str">
        <f aca="false">IF($A69="","",COUNTIFS(PO!$D$4:$D$203,$A69,PO!$S$4:$S$203,"Đúng hạn")+COUNTIFS(PO!$D$4:$D$203,$A69,PO!$S$4:$S$203,"Giao trễ")+COUNTIFS(PO!$D$4:$D$203,$A69,PO!$S$4:$S$203,"Trễ hạn"))</f>
        <v/>
      </c>
      <c r="Q69" s="38" t="str">
        <f aca="false">IF($A69="","",COUNTIFS(PO!$D$4:$D$203,$A69,PO!$S$4:$S$203,"Đúng hạn"))</f>
        <v/>
      </c>
      <c r="R69" s="39" t="str">
        <f aca="false">IF($A69="","",IFERROR($Q69/$P69,""))</f>
        <v/>
      </c>
      <c r="S69" s="38" t="str">
        <f aca="false">IF($A69="","",SUMIFS('Thanh toán'!$H$4:$H$203,'Thanh toán'!$D$4:$D$203,$A69))</f>
        <v/>
      </c>
      <c r="T69" s="38" t="str">
        <f aca="false">IF($A69="","",SUMIFS('Công nợ'!$I$4:$I$203,'Công nợ'!$B$4:$B$203,$A69))</f>
        <v/>
      </c>
      <c r="U69" s="38" t="str">
        <f aca="false">IF($A69="","",SUMIFS('Công nợ'!$I$4:$I$203,'Công nợ'!$B$4:$B$203,$A69,'Công nợ'!$K$4:$K$203,"&gt;0"))</f>
        <v/>
      </c>
    </row>
    <row r="70" customFormat="false" ht="15" hidden="false" customHeight="false" outlineLevel="0" collapsed="false">
      <c r="A70" s="37" t="str">
        <f aca="false">IF('Dự án'!$A70="","",'Dự án'!$A70)</f>
        <v/>
      </c>
      <c r="B70" s="37" t="str">
        <f aca="false">IF($A70="","",'Dự án'!$B70)</f>
        <v/>
      </c>
      <c r="C70" s="37" t="str">
        <f aca="false">IF($A70="","",'Dự án'!$C70)</f>
        <v/>
      </c>
      <c r="D70" s="37" t="str">
        <f aca="false">IF($A70="","",'Dự án'!$H70)</f>
        <v/>
      </c>
      <c r="E70" s="38" t="str">
        <f aca="false">IF($A70="","",'Dự án'!$G70)</f>
        <v/>
      </c>
      <c r="F70" s="38" t="str">
        <f aca="false">IF($A70="","",COUNTIFS('Check giá'!$C$4:$C$203,$A70))</f>
        <v/>
      </c>
      <c r="G70" s="38" t="str">
        <f aca="false">IF($A70="","",COUNTIFS('Check giá'!$C$4:$C$203,$A70,'Check giá'!$O$4:$O$203,"Đang xử lý")+COUNTIFS('Check giá'!$C$4:$C$203,$A70,'Check giá'!$O$4:$O$203,"Quá hạn chưa trả"))</f>
        <v/>
      </c>
      <c r="H70" s="38" t="str">
        <f aca="false">IF($A70="","",SUMIFS('Check giá'!$J$4:$J$203,'Check giá'!$C$4:$C$203,$A70))</f>
        <v/>
      </c>
      <c r="I70" s="38" t="str">
        <f aca="false">IF($A70="","",COUNTIFS(PR!$D$4:$D$203,$A70))</f>
        <v/>
      </c>
      <c r="J70" s="38" t="str">
        <f aca="false">IF($A70="","",SUMIFS(PR!$L$4:$L$203,PR!$D$4:$D$203,$A70))</f>
        <v/>
      </c>
      <c r="K70" s="38" t="str">
        <f aca="false">IF($A70="","",COUNTIFS(PO!$D$4:$D$203,$A70))</f>
        <v/>
      </c>
      <c r="L70" s="38" t="str">
        <f aca="false">IF($A70="","",SUMIFS(PO!$L$4:$L$203,PO!$D$4:$D$203,$A70))</f>
        <v/>
      </c>
      <c r="M70" s="38" t="str">
        <f aca="false">IF($A70="","",SUMIFS(PO!$N$4:$N$203,PO!$D$4:$D$203,$A70))</f>
        <v/>
      </c>
      <c r="N70" s="39" t="str">
        <f aca="false">IF($A70="","",IFERROR($L70/$E70,""))</f>
        <v/>
      </c>
      <c r="O70" s="38" t="str">
        <f aca="false">IF($A70="","",IFERROR($E70-$L70,""))</f>
        <v/>
      </c>
      <c r="P70" s="38" t="str">
        <f aca="false">IF($A70="","",COUNTIFS(PO!$D$4:$D$203,$A70,PO!$S$4:$S$203,"Đúng hạn")+COUNTIFS(PO!$D$4:$D$203,$A70,PO!$S$4:$S$203,"Giao trễ")+COUNTIFS(PO!$D$4:$D$203,$A70,PO!$S$4:$S$203,"Trễ hạn"))</f>
        <v/>
      </c>
      <c r="Q70" s="38" t="str">
        <f aca="false">IF($A70="","",COUNTIFS(PO!$D$4:$D$203,$A70,PO!$S$4:$S$203,"Đúng hạn"))</f>
        <v/>
      </c>
      <c r="R70" s="39" t="str">
        <f aca="false">IF($A70="","",IFERROR($Q70/$P70,""))</f>
        <v/>
      </c>
      <c r="S70" s="38" t="str">
        <f aca="false">IF($A70="","",SUMIFS('Thanh toán'!$H$4:$H$203,'Thanh toán'!$D$4:$D$203,$A70))</f>
        <v/>
      </c>
      <c r="T70" s="38" t="str">
        <f aca="false">IF($A70="","",SUMIFS('Công nợ'!$I$4:$I$203,'Công nợ'!$B$4:$B$203,$A70))</f>
        <v/>
      </c>
      <c r="U70" s="38" t="str">
        <f aca="false">IF($A70="","",SUMIFS('Công nợ'!$I$4:$I$203,'Công nợ'!$B$4:$B$203,$A70,'Công nợ'!$K$4:$K$203,"&gt;0"))</f>
        <v/>
      </c>
    </row>
    <row r="71" customFormat="false" ht="15" hidden="false" customHeight="false" outlineLevel="0" collapsed="false">
      <c r="A71" s="37" t="str">
        <f aca="false">IF('Dự án'!$A71="","",'Dự án'!$A71)</f>
        <v/>
      </c>
      <c r="B71" s="37" t="str">
        <f aca="false">IF($A71="","",'Dự án'!$B71)</f>
        <v/>
      </c>
      <c r="C71" s="37" t="str">
        <f aca="false">IF($A71="","",'Dự án'!$C71)</f>
        <v/>
      </c>
      <c r="D71" s="37" t="str">
        <f aca="false">IF($A71="","",'Dự án'!$H71)</f>
        <v/>
      </c>
      <c r="E71" s="38" t="str">
        <f aca="false">IF($A71="","",'Dự án'!$G71)</f>
        <v/>
      </c>
      <c r="F71" s="38" t="str">
        <f aca="false">IF($A71="","",COUNTIFS('Check giá'!$C$4:$C$203,$A71))</f>
        <v/>
      </c>
      <c r="G71" s="38" t="str">
        <f aca="false">IF($A71="","",COUNTIFS('Check giá'!$C$4:$C$203,$A71,'Check giá'!$O$4:$O$203,"Đang xử lý")+COUNTIFS('Check giá'!$C$4:$C$203,$A71,'Check giá'!$O$4:$O$203,"Quá hạn chưa trả"))</f>
        <v/>
      </c>
      <c r="H71" s="38" t="str">
        <f aca="false">IF($A71="","",SUMIFS('Check giá'!$J$4:$J$203,'Check giá'!$C$4:$C$203,$A71))</f>
        <v/>
      </c>
      <c r="I71" s="38" t="str">
        <f aca="false">IF($A71="","",COUNTIFS(PR!$D$4:$D$203,$A71))</f>
        <v/>
      </c>
      <c r="J71" s="38" t="str">
        <f aca="false">IF($A71="","",SUMIFS(PR!$L$4:$L$203,PR!$D$4:$D$203,$A71))</f>
        <v/>
      </c>
      <c r="K71" s="38" t="str">
        <f aca="false">IF($A71="","",COUNTIFS(PO!$D$4:$D$203,$A71))</f>
        <v/>
      </c>
      <c r="L71" s="38" t="str">
        <f aca="false">IF($A71="","",SUMIFS(PO!$L$4:$L$203,PO!$D$4:$D$203,$A71))</f>
        <v/>
      </c>
      <c r="M71" s="38" t="str">
        <f aca="false">IF($A71="","",SUMIFS(PO!$N$4:$N$203,PO!$D$4:$D$203,$A71))</f>
        <v/>
      </c>
      <c r="N71" s="39" t="str">
        <f aca="false">IF($A71="","",IFERROR($L71/$E71,""))</f>
        <v/>
      </c>
      <c r="O71" s="38" t="str">
        <f aca="false">IF($A71="","",IFERROR($E71-$L71,""))</f>
        <v/>
      </c>
      <c r="P71" s="38" t="str">
        <f aca="false">IF($A71="","",COUNTIFS(PO!$D$4:$D$203,$A71,PO!$S$4:$S$203,"Đúng hạn")+COUNTIFS(PO!$D$4:$D$203,$A71,PO!$S$4:$S$203,"Giao trễ")+COUNTIFS(PO!$D$4:$D$203,$A71,PO!$S$4:$S$203,"Trễ hạn"))</f>
        <v/>
      </c>
      <c r="Q71" s="38" t="str">
        <f aca="false">IF($A71="","",COUNTIFS(PO!$D$4:$D$203,$A71,PO!$S$4:$S$203,"Đúng hạn"))</f>
        <v/>
      </c>
      <c r="R71" s="39" t="str">
        <f aca="false">IF($A71="","",IFERROR($Q71/$P71,""))</f>
        <v/>
      </c>
      <c r="S71" s="38" t="str">
        <f aca="false">IF($A71="","",SUMIFS('Thanh toán'!$H$4:$H$203,'Thanh toán'!$D$4:$D$203,$A71))</f>
        <v/>
      </c>
      <c r="T71" s="38" t="str">
        <f aca="false">IF($A71="","",SUMIFS('Công nợ'!$I$4:$I$203,'Công nợ'!$B$4:$B$203,$A71))</f>
        <v/>
      </c>
      <c r="U71" s="38" t="str">
        <f aca="false">IF($A71="","",SUMIFS('Công nợ'!$I$4:$I$203,'Công nợ'!$B$4:$B$203,$A71,'Công nợ'!$K$4:$K$203,"&gt;0"))</f>
        <v/>
      </c>
    </row>
    <row r="72" customFormat="false" ht="15" hidden="false" customHeight="false" outlineLevel="0" collapsed="false">
      <c r="A72" s="37" t="str">
        <f aca="false">IF('Dự án'!$A72="","",'Dự án'!$A72)</f>
        <v/>
      </c>
      <c r="B72" s="37" t="str">
        <f aca="false">IF($A72="","",'Dự án'!$B72)</f>
        <v/>
      </c>
      <c r="C72" s="37" t="str">
        <f aca="false">IF($A72="","",'Dự án'!$C72)</f>
        <v/>
      </c>
      <c r="D72" s="37" t="str">
        <f aca="false">IF($A72="","",'Dự án'!$H72)</f>
        <v/>
      </c>
      <c r="E72" s="38" t="str">
        <f aca="false">IF($A72="","",'Dự án'!$G72)</f>
        <v/>
      </c>
      <c r="F72" s="38" t="str">
        <f aca="false">IF($A72="","",COUNTIFS('Check giá'!$C$4:$C$203,$A72))</f>
        <v/>
      </c>
      <c r="G72" s="38" t="str">
        <f aca="false">IF($A72="","",COUNTIFS('Check giá'!$C$4:$C$203,$A72,'Check giá'!$O$4:$O$203,"Đang xử lý")+COUNTIFS('Check giá'!$C$4:$C$203,$A72,'Check giá'!$O$4:$O$203,"Quá hạn chưa trả"))</f>
        <v/>
      </c>
      <c r="H72" s="38" t="str">
        <f aca="false">IF($A72="","",SUMIFS('Check giá'!$J$4:$J$203,'Check giá'!$C$4:$C$203,$A72))</f>
        <v/>
      </c>
      <c r="I72" s="38" t="str">
        <f aca="false">IF($A72="","",COUNTIFS(PR!$D$4:$D$203,$A72))</f>
        <v/>
      </c>
      <c r="J72" s="38" t="str">
        <f aca="false">IF($A72="","",SUMIFS(PR!$L$4:$L$203,PR!$D$4:$D$203,$A72))</f>
        <v/>
      </c>
      <c r="K72" s="38" t="str">
        <f aca="false">IF($A72="","",COUNTIFS(PO!$D$4:$D$203,$A72))</f>
        <v/>
      </c>
      <c r="L72" s="38" t="str">
        <f aca="false">IF($A72="","",SUMIFS(PO!$L$4:$L$203,PO!$D$4:$D$203,$A72))</f>
        <v/>
      </c>
      <c r="M72" s="38" t="str">
        <f aca="false">IF($A72="","",SUMIFS(PO!$N$4:$N$203,PO!$D$4:$D$203,$A72))</f>
        <v/>
      </c>
      <c r="N72" s="39" t="str">
        <f aca="false">IF($A72="","",IFERROR($L72/$E72,""))</f>
        <v/>
      </c>
      <c r="O72" s="38" t="str">
        <f aca="false">IF($A72="","",IFERROR($E72-$L72,""))</f>
        <v/>
      </c>
      <c r="P72" s="38" t="str">
        <f aca="false">IF($A72="","",COUNTIFS(PO!$D$4:$D$203,$A72,PO!$S$4:$S$203,"Đúng hạn")+COUNTIFS(PO!$D$4:$D$203,$A72,PO!$S$4:$S$203,"Giao trễ")+COUNTIFS(PO!$D$4:$D$203,$A72,PO!$S$4:$S$203,"Trễ hạn"))</f>
        <v/>
      </c>
      <c r="Q72" s="38" t="str">
        <f aca="false">IF($A72="","",COUNTIFS(PO!$D$4:$D$203,$A72,PO!$S$4:$S$203,"Đúng hạn"))</f>
        <v/>
      </c>
      <c r="R72" s="39" t="str">
        <f aca="false">IF($A72="","",IFERROR($Q72/$P72,""))</f>
        <v/>
      </c>
      <c r="S72" s="38" t="str">
        <f aca="false">IF($A72="","",SUMIFS('Thanh toán'!$H$4:$H$203,'Thanh toán'!$D$4:$D$203,$A72))</f>
        <v/>
      </c>
      <c r="T72" s="38" t="str">
        <f aca="false">IF($A72="","",SUMIFS('Công nợ'!$I$4:$I$203,'Công nợ'!$B$4:$B$203,$A72))</f>
        <v/>
      </c>
      <c r="U72" s="38" t="str">
        <f aca="false">IF($A72="","",SUMIFS('Công nợ'!$I$4:$I$203,'Công nợ'!$B$4:$B$203,$A72,'Công nợ'!$K$4:$K$203,"&gt;0"))</f>
        <v/>
      </c>
    </row>
    <row r="73" customFormat="false" ht="15" hidden="false" customHeight="false" outlineLevel="0" collapsed="false">
      <c r="A73" s="37" t="str">
        <f aca="false">IF('Dự án'!$A73="","",'Dự án'!$A73)</f>
        <v/>
      </c>
      <c r="B73" s="37" t="str">
        <f aca="false">IF($A73="","",'Dự án'!$B73)</f>
        <v/>
      </c>
      <c r="C73" s="37" t="str">
        <f aca="false">IF($A73="","",'Dự án'!$C73)</f>
        <v/>
      </c>
      <c r="D73" s="37" t="str">
        <f aca="false">IF($A73="","",'Dự án'!$H73)</f>
        <v/>
      </c>
      <c r="E73" s="38" t="str">
        <f aca="false">IF($A73="","",'Dự án'!$G73)</f>
        <v/>
      </c>
      <c r="F73" s="38" t="str">
        <f aca="false">IF($A73="","",COUNTIFS('Check giá'!$C$4:$C$203,$A73))</f>
        <v/>
      </c>
      <c r="G73" s="38" t="str">
        <f aca="false">IF($A73="","",COUNTIFS('Check giá'!$C$4:$C$203,$A73,'Check giá'!$O$4:$O$203,"Đang xử lý")+COUNTIFS('Check giá'!$C$4:$C$203,$A73,'Check giá'!$O$4:$O$203,"Quá hạn chưa trả"))</f>
        <v/>
      </c>
      <c r="H73" s="38" t="str">
        <f aca="false">IF($A73="","",SUMIFS('Check giá'!$J$4:$J$203,'Check giá'!$C$4:$C$203,$A73))</f>
        <v/>
      </c>
      <c r="I73" s="38" t="str">
        <f aca="false">IF($A73="","",COUNTIFS(PR!$D$4:$D$203,$A73))</f>
        <v/>
      </c>
      <c r="J73" s="38" t="str">
        <f aca="false">IF($A73="","",SUMIFS(PR!$L$4:$L$203,PR!$D$4:$D$203,$A73))</f>
        <v/>
      </c>
      <c r="K73" s="38" t="str">
        <f aca="false">IF($A73="","",COUNTIFS(PO!$D$4:$D$203,$A73))</f>
        <v/>
      </c>
      <c r="L73" s="38" t="str">
        <f aca="false">IF($A73="","",SUMIFS(PO!$L$4:$L$203,PO!$D$4:$D$203,$A73))</f>
        <v/>
      </c>
      <c r="M73" s="38" t="str">
        <f aca="false">IF($A73="","",SUMIFS(PO!$N$4:$N$203,PO!$D$4:$D$203,$A73))</f>
        <v/>
      </c>
      <c r="N73" s="39" t="str">
        <f aca="false">IF($A73="","",IFERROR($L73/$E73,""))</f>
        <v/>
      </c>
      <c r="O73" s="38" t="str">
        <f aca="false">IF($A73="","",IFERROR($E73-$L73,""))</f>
        <v/>
      </c>
      <c r="P73" s="38" t="str">
        <f aca="false">IF($A73="","",COUNTIFS(PO!$D$4:$D$203,$A73,PO!$S$4:$S$203,"Đúng hạn")+COUNTIFS(PO!$D$4:$D$203,$A73,PO!$S$4:$S$203,"Giao trễ")+COUNTIFS(PO!$D$4:$D$203,$A73,PO!$S$4:$S$203,"Trễ hạn"))</f>
        <v/>
      </c>
      <c r="Q73" s="38" t="str">
        <f aca="false">IF($A73="","",COUNTIFS(PO!$D$4:$D$203,$A73,PO!$S$4:$S$203,"Đúng hạn"))</f>
        <v/>
      </c>
      <c r="R73" s="39" t="str">
        <f aca="false">IF($A73="","",IFERROR($Q73/$P73,""))</f>
        <v/>
      </c>
      <c r="S73" s="38" t="str">
        <f aca="false">IF($A73="","",SUMIFS('Thanh toán'!$H$4:$H$203,'Thanh toán'!$D$4:$D$203,$A73))</f>
        <v/>
      </c>
      <c r="T73" s="38" t="str">
        <f aca="false">IF($A73="","",SUMIFS('Công nợ'!$I$4:$I$203,'Công nợ'!$B$4:$B$203,$A73))</f>
        <v/>
      </c>
      <c r="U73" s="38" t="str">
        <f aca="false">IF($A73="","",SUMIFS('Công nợ'!$I$4:$I$203,'Công nợ'!$B$4:$B$203,$A73,'Công nợ'!$K$4:$K$203,"&gt;0"))</f>
        <v/>
      </c>
    </row>
    <row r="74" customFormat="false" ht="15" hidden="false" customHeight="false" outlineLevel="0" collapsed="false">
      <c r="A74" s="37" t="str">
        <f aca="false">IF('Dự án'!$A74="","",'Dự án'!$A74)</f>
        <v/>
      </c>
      <c r="B74" s="37" t="str">
        <f aca="false">IF($A74="","",'Dự án'!$B74)</f>
        <v/>
      </c>
      <c r="C74" s="37" t="str">
        <f aca="false">IF($A74="","",'Dự án'!$C74)</f>
        <v/>
      </c>
      <c r="D74" s="37" t="str">
        <f aca="false">IF($A74="","",'Dự án'!$H74)</f>
        <v/>
      </c>
      <c r="E74" s="38" t="str">
        <f aca="false">IF($A74="","",'Dự án'!$G74)</f>
        <v/>
      </c>
      <c r="F74" s="38" t="str">
        <f aca="false">IF($A74="","",COUNTIFS('Check giá'!$C$4:$C$203,$A74))</f>
        <v/>
      </c>
      <c r="G74" s="38" t="str">
        <f aca="false">IF($A74="","",COUNTIFS('Check giá'!$C$4:$C$203,$A74,'Check giá'!$O$4:$O$203,"Đang xử lý")+COUNTIFS('Check giá'!$C$4:$C$203,$A74,'Check giá'!$O$4:$O$203,"Quá hạn chưa trả"))</f>
        <v/>
      </c>
      <c r="H74" s="38" t="str">
        <f aca="false">IF($A74="","",SUMIFS('Check giá'!$J$4:$J$203,'Check giá'!$C$4:$C$203,$A74))</f>
        <v/>
      </c>
      <c r="I74" s="38" t="str">
        <f aca="false">IF($A74="","",COUNTIFS(PR!$D$4:$D$203,$A74))</f>
        <v/>
      </c>
      <c r="J74" s="38" t="str">
        <f aca="false">IF($A74="","",SUMIFS(PR!$L$4:$L$203,PR!$D$4:$D$203,$A74))</f>
        <v/>
      </c>
      <c r="K74" s="38" t="str">
        <f aca="false">IF($A74="","",COUNTIFS(PO!$D$4:$D$203,$A74))</f>
        <v/>
      </c>
      <c r="L74" s="38" t="str">
        <f aca="false">IF($A74="","",SUMIFS(PO!$L$4:$L$203,PO!$D$4:$D$203,$A74))</f>
        <v/>
      </c>
      <c r="M74" s="38" t="str">
        <f aca="false">IF($A74="","",SUMIFS(PO!$N$4:$N$203,PO!$D$4:$D$203,$A74))</f>
        <v/>
      </c>
      <c r="N74" s="39" t="str">
        <f aca="false">IF($A74="","",IFERROR($L74/$E74,""))</f>
        <v/>
      </c>
      <c r="O74" s="38" t="str">
        <f aca="false">IF($A74="","",IFERROR($E74-$L74,""))</f>
        <v/>
      </c>
      <c r="P74" s="38" t="str">
        <f aca="false">IF($A74="","",COUNTIFS(PO!$D$4:$D$203,$A74,PO!$S$4:$S$203,"Đúng hạn")+COUNTIFS(PO!$D$4:$D$203,$A74,PO!$S$4:$S$203,"Giao trễ")+COUNTIFS(PO!$D$4:$D$203,$A74,PO!$S$4:$S$203,"Trễ hạn"))</f>
        <v/>
      </c>
      <c r="Q74" s="38" t="str">
        <f aca="false">IF($A74="","",COUNTIFS(PO!$D$4:$D$203,$A74,PO!$S$4:$S$203,"Đúng hạn"))</f>
        <v/>
      </c>
      <c r="R74" s="39" t="str">
        <f aca="false">IF($A74="","",IFERROR($Q74/$P74,""))</f>
        <v/>
      </c>
      <c r="S74" s="38" t="str">
        <f aca="false">IF($A74="","",SUMIFS('Thanh toán'!$H$4:$H$203,'Thanh toán'!$D$4:$D$203,$A74))</f>
        <v/>
      </c>
      <c r="T74" s="38" t="str">
        <f aca="false">IF($A74="","",SUMIFS('Công nợ'!$I$4:$I$203,'Công nợ'!$B$4:$B$203,$A74))</f>
        <v/>
      </c>
      <c r="U74" s="38" t="str">
        <f aca="false">IF($A74="","",SUMIFS('Công nợ'!$I$4:$I$203,'Công nợ'!$B$4:$B$203,$A74,'Công nợ'!$K$4:$K$203,"&gt;0"))</f>
        <v/>
      </c>
    </row>
    <row r="75" customFormat="false" ht="15" hidden="false" customHeight="false" outlineLevel="0" collapsed="false">
      <c r="A75" s="37" t="str">
        <f aca="false">IF('Dự án'!$A75="","",'Dự án'!$A75)</f>
        <v/>
      </c>
      <c r="B75" s="37" t="str">
        <f aca="false">IF($A75="","",'Dự án'!$B75)</f>
        <v/>
      </c>
      <c r="C75" s="37" t="str">
        <f aca="false">IF($A75="","",'Dự án'!$C75)</f>
        <v/>
      </c>
      <c r="D75" s="37" t="str">
        <f aca="false">IF($A75="","",'Dự án'!$H75)</f>
        <v/>
      </c>
      <c r="E75" s="38" t="str">
        <f aca="false">IF($A75="","",'Dự án'!$G75)</f>
        <v/>
      </c>
      <c r="F75" s="38" t="str">
        <f aca="false">IF($A75="","",COUNTIFS('Check giá'!$C$4:$C$203,$A75))</f>
        <v/>
      </c>
      <c r="G75" s="38" t="str">
        <f aca="false">IF($A75="","",COUNTIFS('Check giá'!$C$4:$C$203,$A75,'Check giá'!$O$4:$O$203,"Đang xử lý")+COUNTIFS('Check giá'!$C$4:$C$203,$A75,'Check giá'!$O$4:$O$203,"Quá hạn chưa trả"))</f>
        <v/>
      </c>
      <c r="H75" s="38" t="str">
        <f aca="false">IF($A75="","",SUMIFS('Check giá'!$J$4:$J$203,'Check giá'!$C$4:$C$203,$A75))</f>
        <v/>
      </c>
      <c r="I75" s="38" t="str">
        <f aca="false">IF($A75="","",COUNTIFS(PR!$D$4:$D$203,$A75))</f>
        <v/>
      </c>
      <c r="J75" s="38" t="str">
        <f aca="false">IF($A75="","",SUMIFS(PR!$L$4:$L$203,PR!$D$4:$D$203,$A75))</f>
        <v/>
      </c>
      <c r="K75" s="38" t="str">
        <f aca="false">IF($A75="","",COUNTIFS(PO!$D$4:$D$203,$A75))</f>
        <v/>
      </c>
      <c r="L75" s="38" t="str">
        <f aca="false">IF($A75="","",SUMIFS(PO!$L$4:$L$203,PO!$D$4:$D$203,$A75))</f>
        <v/>
      </c>
      <c r="M75" s="38" t="str">
        <f aca="false">IF($A75="","",SUMIFS(PO!$N$4:$N$203,PO!$D$4:$D$203,$A75))</f>
        <v/>
      </c>
      <c r="N75" s="39" t="str">
        <f aca="false">IF($A75="","",IFERROR($L75/$E75,""))</f>
        <v/>
      </c>
      <c r="O75" s="38" t="str">
        <f aca="false">IF($A75="","",IFERROR($E75-$L75,""))</f>
        <v/>
      </c>
      <c r="P75" s="38" t="str">
        <f aca="false">IF($A75="","",COUNTIFS(PO!$D$4:$D$203,$A75,PO!$S$4:$S$203,"Đúng hạn")+COUNTIFS(PO!$D$4:$D$203,$A75,PO!$S$4:$S$203,"Giao trễ")+COUNTIFS(PO!$D$4:$D$203,$A75,PO!$S$4:$S$203,"Trễ hạn"))</f>
        <v/>
      </c>
      <c r="Q75" s="38" t="str">
        <f aca="false">IF($A75="","",COUNTIFS(PO!$D$4:$D$203,$A75,PO!$S$4:$S$203,"Đúng hạn"))</f>
        <v/>
      </c>
      <c r="R75" s="39" t="str">
        <f aca="false">IF($A75="","",IFERROR($Q75/$P75,""))</f>
        <v/>
      </c>
      <c r="S75" s="38" t="str">
        <f aca="false">IF($A75="","",SUMIFS('Thanh toán'!$H$4:$H$203,'Thanh toán'!$D$4:$D$203,$A75))</f>
        <v/>
      </c>
      <c r="T75" s="38" t="str">
        <f aca="false">IF($A75="","",SUMIFS('Công nợ'!$I$4:$I$203,'Công nợ'!$B$4:$B$203,$A75))</f>
        <v/>
      </c>
      <c r="U75" s="38" t="str">
        <f aca="false">IF($A75="","",SUMIFS('Công nợ'!$I$4:$I$203,'Công nợ'!$B$4:$B$203,$A75,'Công nợ'!$K$4:$K$203,"&gt;0"))</f>
        <v/>
      </c>
    </row>
    <row r="76" customFormat="false" ht="15" hidden="false" customHeight="false" outlineLevel="0" collapsed="false">
      <c r="A76" s="37" t="str">
        <f aca="false">IF('Dự án'!$A76="","",'Dự án'!$A76)</f>
        <v/>
      </c>
      <c r="B76" s="37" t="str">
        <f aca="false">IF($A76="","",'Dự án'!$B76)</f>
        <v/>
      </c>
      <c r="C76" s="37" t="str">
        <f aca="false">IF($A76="","",'Dự án'!$C76)</f>
        <v/>
      </c>
      <c r="D76" s="37" t="str">
        <f aca="false">IF($A76="","",'Dự án'!$H76)</f>
        <v/>
      </c>
      <c r="E76" s="38" t="str">
        <f aca="false">IF($A76="","",'Dự án'!$G76)</f>
        <v/>
      </c>
      <c r="F76" s="38" t="str">
        <f aca="false">IF($A76="","",COUNTIFS('Check giá'!$C$4:$C$203,$A76))</f>
        <v/>
      </c>
      <c r="G76" s="38" t="str">
        <f aca="false">IF($A76="","",COUNTIFS('Check giá'!$C$4:$C$203,$A76,'Check giá'!$O$4:$O$203,"Đang xử lý")+COUNTIFS('Check giá'!$C$4:$C$203,$A76,'Check giá'!$O$4:$O$203,"Quá hạn chưa trả"))</f>
        <v/>
      </c>
      <c r="H76" s="38" t="str">
        <f aca="false">IF($A76="","",SUMIFS('Check giá'!$J$4:$J$203,'Check giá'!$C$4:$C$203,$A76))</f>
        <v/>
      </c>
      <c r="I76" s="38" t="str">
        <f aca="false">IF($A76="","",COUNTIFS(PR!$D$4:$D$203,$A76))</f>
        <v/>
      </c>
      <c r="J76" s="38" t="str">
        <f aca="false">IF($A76="","",SUMIFS(PR!$L$4:$L$203,PR!$D$4:$D$203,$A76))</f>
        <v/>
      </c>
      <c r="K76" s="38" t="str">
        <f aca="false">IF($A76="","",COUNTIFS(PO!$D$4:$D$203,$A76))</f>
        <v/>
      </c>
      <c r="L76" s="38" t="str">
        <f aca="false">IF($A76="","",SUMIFS(PO!$L$4:$L$203,PO!$D$4:$D$203,$A76))</f>
        <v/>
      </c>
      <c r="M76" s="38" t="str">
        <f aca="false">IF($A76="","",SUMIFS(PO!$N$4:$N$203,PO!$D$4:$D$203,$A76))</f>
        <v/>
      </c>
      <c r="N76" s="39" t="str">
        <f aca="false">IF($A76="","",IFERROR($L76/$E76,""))</f>
        <v/>
      </c>
      <c r="O76" s="38" t="str">
        <f aca="false">IF($A76="","",IFERROR($E76-$L76,""))</f>
        <v/>
      </c>
      <c r="P76" s="38" t="str">
        <f aca="false">IF($A76="","",COUNTIFS(PO!$D$4:$D$203,$A76,PO!$S$4:$S$203,"Đúng hạn")+COUNTIFS(PO!$D$4:$D$203,$A76,PO!$S$4:$S$203,"Giao trễ")+COUNTIFS(PO!$D$4:$D$203,$A76,PO!$S$4:$S$203,"Trễ hạn"))</f>
        <v/>
      </c>
      <c r="Q76" s="38" t="str">
        <f aca="false">IF($A76="","",COUNTIFS(PO!$D$4:$D$203,$A76,PO!$S$4:$S$203,"Đúng hạn"))</f>
        <v/>
      </c>
      <c r="R76" s="39" t="str">
        <f aca="false">IF($A76="","",IFERROR($Q76/$P76,""))</f>
        <v/>
      </c>
      <c r="S76" s="38" t="str">
        <f aca="false">IF($A76="","",SUMIFS('Thanh toán'!$H$4:$H$203,'Thanh toán'!$D$4:$D$203,$A76))</f>
        <v/>
      </c>
      <c r="T76" s="38" t="str">
        <f aca="false">IF($A76="","",SUMIFS('Công nợ'!$I$4:$I$203,'Công nợ'!$B$4:$B$203,$A76))</f>
        <v/>
      </c>
      <c r="U76" s="38" t="str">
        <f aca="false">IF($A76="","",SUMIFS('Công nợ'!$I$4:$I$203,'Công nợ'!$B$4:$B$203,$A76,'Công nợ'!$K$4:$K$203,"&gt;0"))</f>
        <v/>
      </c>
    </row>
    <row r="77" customFormat="false" ht="15" hidden="false" customHeight="false" outlineLevel="0" collapsed="false">
      <c r="A77" s="37" t="str">
        <f aca="false">IF('Dự án'!$A77="","",'Dự án'!$A77)</f>
        <v/>
      </c>
      <c r="B77" s="37" t="str">
        <f aca="false">IF($A77="","",'Dự án'!$B77)</f>
        <v/>
      </c>
      <c r="C77" s="37" t="str">
        <f aca="false">IF($A77="","",'Dự án'!$C77)</f>
        <v/>
      </c>
      <c r="D77" s="37" t="str">
        <f aca="false">IF($A77="","",'Dự án'!$H77)</f>
        <v/>
      </c>
      <c r="E77" s="38" t="str">
        <f aca="false">IF($A77="","",'Dự án'!$G77)</f>
        <v/>
      </c>
      <c r="F77" s="38" t="str">
        <f aca="false">IF($A77="","",COUNTIFS('Check giá'!$C$4:$C$203,$A77))</f>
        <v/>
      </c>
      <c r="G77" s="38" t="str">
        <f aca="false">IF($A77="","",COUNTIFS('Check giá'!$C$4:$C$203,$A77,'Check giá'!$O$4:$O$203,"Đang xử lý")+COUNTIFS('Check giá'!$C$4:$C$203,$A77,'Check giá'!$O$4:$O$203,"Quá hạn chưa trả"))</f>
        <v/>
      </c>
      <c r="H77" s="38" t="str">
        <f aca="false">IF($A77="","",SUMIFS('Check giá'!$J$4:$J$203,'Check giá'!$C$4:$C$203,$A77))</f>
        <v/>
      </c>
      <c r="I77" s="38" t="str">
        <f aca="false">IF($A77="","",COUNTIFS(PR!$D$4:$D$203,$A77))</f>
        <v/>
      </c>
      <c r="J77" s="38" t="str">
        <f aca="false">IF($A77="","",SUMIFS(PR!$L$4:$L$203,PR!$D$4:$D$203,$A77))</f>
        <v/>
      </c>
      <c r="K77" s="38" t="str">
        <f aca="false">IF($A77="","",COUNTIFS(PO!$D$4:$D$203,$A77))</f>
        <v/>
      </c>
      <c r="L77" s="38" t="str">
        <f aca="false">IF($A77="","",SUMIFS(PO!$L$4:$L$203,PO!$D$4:$D$203,$A77))</f>
        <v/>
      </c>
      <c r="M77" s="38" t="str">
        <f aca="false">IF($A77="","",SUMIFS(PO!$N$4:$N$203,PO!$D$4:$D$203,$A77))</f>
        <v/>
      </c>
      <c r="N77" s="39" t="str">
        <f aca="false">IF($A77="","",IFERROR($L77/$E77,""))</f>
        <v/>
      </c>
      <c r="O77" s="38" t="str">
        <f aca="false">IF($A77="","",IFERROR($E77-$L77,""))</f>
        <v/>
      </c>
      <c r="P77" s="38" t="str">
        <f aca="false">IF($A77="","",COUNTIFS(PO!$D$4:$D$203,$A77,PO!$S$4:$S$203,"Đúng hạn")+COUNTIFS(PO!$D$4:$D$203,$A77,PO!$S$4:$S$203,"Giao trễ")+COUNTIFS(PO!$D$4:$D$203,$A77,PO!$S$4:$S$203,"Trễ hạn"))</f>
        <v/>
      </c>
      <c r="Q77" s="38" t="str">
        <f aca="false">IF($A77="","",COUNTIFS(PO!$D$4:$D$203,$A77,PO!$S$4:$S$203,"Đúng hạn"))</f>
        <v/>
      </c>
      <c r="R77" s="39" t="str">
        <f aca="false">IF($A77="","",IFERROR($Q77/$P77,""))</f>
        <v/>
      </c>
      <c r="S77" s="38" t="str">
        <f aca="false">IF($A77="","",SUMIFS('Thanh toán'!$H$4:$H$203,'Thanh toán'!$D$4:$D$203,$A77))</f>
        <v/>
      </c>
      <c r="T77" s="38" t="str">
        <f aca="false">IF($A77="","",SUMIFS('Công nợ'!$I$4:$I$203,'Công nợ'!$B$4:$B$203,$A77))</f>
        <v/>
      </c>
      <c r="U77" s="38" t="str">
        <f aca="false">IF($A77="","",SUMIFS('Công nợ'!$I$4:$I$203,'Công nợ'!$B$4:$B$203,$A77,'Công nợ'!$K$4:$K$203,"&gt;0"))</f>
        <v/>
      </c>
    </row>
    <row r="78" customFormat="false" ht="15" hidden="false" customHeight="false" outlineLevel="0" collapsed="false">
      <c r="A78" s="37" t="str">
        <f aca="false">IF('Dự án'!$A78="","",'Dự án'!$A78)</f>
        <v/>
      </c>
      <c r="B78" s="37" t="str">
        <f aca="false">IF($A78="","",'Dự án'!$B78)</f>
        <v/>
      </c>
      <c r="C78" s="37" t="str">
        <f aca="false">IF($A78="","",'Dự án'!$C78)</f>
        <v/>
      </c>
      <c r="D78" s="37" t="str">
        <f aca="false">IF($A78="","",'Dự án'!$H78)</f>
        <v/>
      </c>
      <c r="E78" s="38" t="str">
        <f aca="false">IF($A78="","",'Dự án'!$G78)</f>
        <v/>
      </c>
      <c r="F78" s="38" t="str">
        <f aca="false">IF($A78="","",COUNTIFS('Check giá'!$C$4:$C$203,$A78))</f>
        <v/>
      </c>
      <c r="G78" s="38" t="str">
        <f aca="false">IF($A78="","",COUNTIFS('Check giá'!$C$4:$C$203,$A78,'Check giá'!$O$4:$O$203,"Đang xử lý")+COUNTIFS('Check giá'!$C$4:$C$203,$A78,'Check giá'!$O$4:$O$203,"Quá hạn chưa trả"))</f>
        <v/>
      </c>
      <c r="H78" s="38" t="str">
        <f aca="false">IF($A78="","",SUMIFS('Check giá'!$J$4:$J$203,'Check giá'!$C$4:$C$203,$A78))</f>
        <v/>
      </c>
      <c r="I78" s="38" t="str">
        <f aca="false">IF($A78="","",COUNTIFS(PR!$D$4:$D$203,$A78))</f>
        <v/>
      </c>
      <c r="J78" s="38" t="str">
        <f aca="false">IF($A78="","",SUMIFS(PR!$L$4:$L$203,PR!$D$4:$D$203,$A78))</f>
        <v/>
      </c>
      <c r="K78" s="38" t="str">
        <f aca="false">IF($A78="","",COUNTIFS(PO!$D$4:$D$203,$A78))</f>
        <v/>
      </c>
      <c r="L78" s="38" t="str">
        <f aca="false">IF($A78="","",SUMIFS(PO!$L$4:$L$203,PO!$D$4:$D$203,$A78))</f>
        <v/>
      </c>
      <c r="M78" s="38" t="str">
        <f aca="false">IF($A78="","",SUMIFS(PO!$N$4:$N$203,PO!$D$4:$D$203,$A78))</f>
        <v/>
      </c>
      <c r="N78" s="39" t="str">
        <f aca="false">IF($A78="","",IFERROR($L78/$E78,""))</f>
        <v/>
      </c>
      <c r="O78" s="38" t="str">
        <f aca="false">IF($A78="","",IFERROR($E78-$L78,""))</f>
        <v/>
      </c>
      <c r="P78" s="38" t="str">
        <f aca="false">IF($A78="","",COUNTIFS(PO!$D$4:$D$203,$A78,PO!$S$4:$S$203,"Đúng hạn")+COUNTIFS(PO!$D$4:$D$203,$A78,PO!$S$4:$S$203,"Giao trễ")+COUNTIFS(PO!$D$4:$D$203,$A78,PO!$S$4:$S$203,"Trễ hạn"))</f>
        <v/>
      </c>
      <c r="Q78" s="38" t="str">
        <f aca="false">IF($A78="","",COUNTIFS(PO!$D$4:$D$203,$A78,PO!$S$4:$S$203,"Đúng hạn"))</f>
        <v/>
      </c>
      <c r="R78" s="39" t="str">
        <f aca="false">IF($A78="","",IFERROR($Q78/$P78,""))</f>
        <v/>
      </c>
      <c r="S78" s="38" t="str">
        <f aca="false">IF($A78="","",SUMIFS('Thanh toán'!$H$4:$H$203,'Thanh toán'!$D$4:$D$203,$A78))</f>
        <v/>
      </c>
      <c r="T78" s="38" t="str">
        <f aca="false">IF($A78="","",SUMIFS('Công nợ'!$I$4:$I$203,'Công nợ'!$B$4:$B$203,$A78))</f>
        <v/>
      </c>
      <c r="U78" s="38" t="str">
        <f aca="false">IF($A78="","",SUMIFS('Công nợ'!$I$4:$I$203,'Công nợ'!$B$4:$B$203,$A78,'Công nợ'!$K$4:$K$203,"&gt;0"))</f>
        <v/>
      </c>
    </row>
    <row r="79" customFormat="false" ht="15" hidden="false" customHeight="false" outlineLevel="0" collapsed="false">
      <c r="A79" s="37" t="str">
        <f aca="false">IF('Dự án'!$A79="","",'Dự án'!$A79)</f>
        <v/>
      </c>
      <c r="B79" s="37" t="str">
        <f aca="false">IF($A79="","",'Dự án'!$B79)</f>
        <v/>
      </c>
      <c r="C79" s="37" t="str">
        <f aca="false">IF($A79="","",'Dự án'!$C79)</f>
        <v/>
      </c>
      <c r="D79" s="37" t="str">
        <f aca="false">IF($A79="","",'Dự án'!$H79)</f>
        <v/>
      </c>
      <c r="E79" s="38" t="str">
        <f aca="false">IF($A79="","",'Dự án'!$G79)</f>
        <v/>
      </c>
      <c r="F79" s="38" t="str">
        <f aca="false">IF($A79="","",COUNTIFS('Check giá'!$C$4:$C$203,$A79))</f>
        <v/>
      </c>
      <c r="G79" s="38" t="str">
        <f aca="false">IF($A79="","",COUNTIFS('Check giá'!$C$4:$C$203,$A79,'Check giá'!$O$4:$O$203,"Đang xử lý")+COUNTIFS('Check giá'!$C$4:$C$203,$A79,'Check giá'!$O$4:$O$203,"Quá hạn chưa trả"))</f>
        <v/>
      </c>
      <c r="H79" s="38" t="str">
        <f aca="false">IF($A79="","",SUMIFS('Check giá'!$J$4:$J$203,'Check giá'!$C$4:$C$203,$A79))</f>
        <v/>
      </c>
      <c r="I79" s="38" t="str">
        <f aca="false">IF($A79="","",COUNTIFS(PR!$D$4:$D$203,$A79))</f>
        <v/>
      </c>
      <c r="J79" s="38" t="str">
        <f aca="false">IF($A79="","",SUMIFS(PR!$L$4:$L$203,PR!$D$4:$D$203,$A79))</f>
        <v/>
      </c>
      <c r="K79" s="38" t="str">
        <f aca="false">IF($A79="","",COUNTIFS(PO!$D$4:$D$203,$A79))</f>
        <v/>
      </c>
      <c r="L79" s="38" t="str">
        <f aca="false">IF($A79="","",SUMIFS(PO!$L$4:$L$203,PO!$D$4:$D$203,$A79))</f>
        <v/>
      </c>
      <c r="M79" s="38" t="str">
        <f aca="false">IF($A79="","",SUMIFS(PO!$N$4:$N$203,PO!$D$4:$D$203,$A79))</f>
        <v/>
      </c>
      <c r="N79" s="39" t="str">
        <f aca="false">IF($A79="","",IFERROR($L79/$E79,""))</f>
        <v/>
      </c>
      <c r="O79" s="38" t="str">
        <f aca="false">IF($A79="","",IFERROR($E79-$L79,""))</f>
        <v/>
      </c>
      <c r="P79" s="38" t="str">
        <f aca="false">IF($A79="","",COUNTIFS(PO!$D$4:$D$203,$A79,PO!$S$4:$S$203,"Đúng hạn")+COUNTIFS(PO!$D$4:$D$203,$A79,PO!$S$4:$S$203,"Giao trễ")+COUNTIFS(PO!$D$4:$D$203,$A79,PO!$S$4:$S$203,"Trễ hạn"))</f>
        <v/>
      </c>
      <c r="Q79" s="38" t="str">
        <f aca="false">IF($A79="","",COUNTIFS(PO!$D$4:$D$203,$A79,PO!$S$4:$S$203,"Đúng hạn"))</f>
        <v/>
      </c>
      <c r="R79" s="39" t="str">
        <f aca="false">IF($A79="","",IFERROR($Q79/$P79,""))</f>
        <v/>
      </c>
      <c r="S79" s="38" t="str">
        <f aca="false">IF($A79="","",SUMIFS('Thanh toán'!$H$4:$H$203,'Thanh toán'!$D$4:$D$203,$A79))</f>
        <v/>
      </c>
      <c r="T79" s="38" t="str">
        <f aca="false">IF($A79="","",SUMIFS('Công nợ'!$I$4:$I$203,'Công nợ'!$B$4:$B$203,$A79))</f>
        <v/>
      </c>
      <c r="U79" s="38" t="str">
        <f aca="false">IF($A79="","",SUMIFS('Công nợ'!$I$4:$I$203,'Công nợ'!$B$4:$B$203,$A79,'Công nợ'!$K$4:$K$203,"&gt;0"))</f>
        <v/>
      </c>
    </row>
    <row r="80" customFormat="false" ht="15" hidden="false" customHeight="false" outlineLevel="0" collapsed="false">
      <c r="A80" s="37" t="str">
        <f aca="false">IF('Dự án'!$A80="","",'Dự án'!$A80)</f>
        <v/>
      </c>
      <c r="B80" s="37" t="str">
        <f aca="false">IF($A80="","",'Dự án'!$B80)</f>
        <v/>
      </c>
      <c r="C80" s="37" t="str">
        <f aca="false">IF($A80="","",'Dự án'!$C80)</f>
        <v/>
      </c>
      <c r="D80" s="37" t="str">
        <f aca="false">IF($A80="","",'Dự án'!$H80)</f>
        <v/>
      </c>
      <c r="E80" s="38" t="str">
        <f aca="false">IF($A80="","",'Dự án'!$G80)</f>
        <v/>
      </c>
      <c r="F80" s="38" t="str">
        <f aca="false">IF($A80="","",COUNTIFS('Check giá'!$C$4:$C$203,$A80))</f>
        <v/>
      </c>
      <c r="G80" s="38" t="str">
        <f aca="false">IF($A80="","",COUNTIFS('Check giá'!$C$4:$C$203,$A80,'Check giá'!$O$4:$O$203,"Đang xử lý")+COUNTIFS('Check giá'!$C$4:$C$203,$A80,'Check giá'!$O$4:$O$203,"Quá hạn chưa trả"))</f>
        <v/>
      </c>
      <c r="H80" s="38" t="str">
        <f aca="false">IF($A80="","",SUMIFS('Check giá'!$J$4:$J$203,'Check giá'!$C$4:$C$203,$A80))</f>
        <v/>
      </c>
      <c r="I80" s="38" t="str">
        <f aca="false">IF($A80="","",COUNTIFS(PR!$D$4:$D$203,$A80))</f>
        <v/>
      </c>
      <c r="J80" s="38" t="str">
        <f aca="false">IF($A80="","",SUMIFS(PR!$L$4:$L$203,PR!$D$4:$D$203,$A80))</f>
        <v/>
      </c>
      <c r="K80" s="38" t="str">
        <f aca="false">IF($A80="","",COUNTIFS(PO!$D$4:$D$203,$A80))</f>
        <v/>
      </c>
      <c r="L80" s="38" t="str">
        <f aca="false">IF($A80="","",SUMIFS(PO!$L$4:$L$203,PO!$D$4:$D$203,$A80))</f>
        <v/>
      </c>
      <c r="M80" s="38" t="str">
        <f aca="false">IF($A80="","",SUMIFS(PO!$N$4:$N$203,PO!$D$4:$D$203,$A80))</f>
        <v/>
      </c>
      <c r="N80" s="39" t="str">
        <f aca="false">IF($A80="","",IFERROR($L80/$E80,""))</f>
        <v/>
      </c>
      <c r="O80" s="38" t="str">
        <f aca="false">IF($A80="","",IFERROR($E80-$L80,""))</f>
        <v/>
      </c>
      <c r="P80" s="38" t="str">
        <f aca="false">IF($A80="","",COUNTIFS(PO!$D$4:$D$203,$A80,PO!$S$4:$S$203,"Đúng hạn")+COUNTIFS(PO!$D$4:$D$203,$A80,PO!$S$4:$S$203,"Giao trễ")+COUNTIFS(PO!$D$4:$D$203,$A80,PO!$S$4:$S$203,"Trễ hạn"))</f>
        <v/>
      </c>
      <c r="Q80" s="38" t="str">
        <f aca="false">IF($A80="","",COUNTIFS(PO!$D$4:$D$203,$A80,PO!$S$4:$S$203,"Đúng hạn"))</f>
        <v/>
      </c>
      <c r="R80" s="39" t="str">
        <f aca="false">IF($A80="","",IFERROR($Q80/$P80,""))</f>
        <v/>
      </c>
      <c r="S80" s="38" t="str">
        <f aca="false">IF($A80="","",SUMIFS('Thanh toán'!$H$4:$H$203,'Thanh toán'!$D$4:$D$203,$A80))</f>
        <v/>
      </c>
      <c r="T80" s="38" t="str">
        <f aca="false">IF($A80="","",SUMIFS('Công nợ'!$I$4:$I$203,'Công nợ'!$B$4:$B$203,$A80))</f>
        <v/>
      </c>
      <c r="U80" s="38" t="str">
        <f aca="false">IF($A80="","",SUMIFS('Công nợ'!$I$4:$I$203,'Công nợ'!$B$4:$B$203,$A80,'Công nợ'!$K$4:$K$203,"&gt;0"))</f>
        <v/>
      </c>
    </row>
    <row r="81" customFormat="false" ht="15" hidden="false" customHeight="false" outlineLevel="0" collapsed="false">
      <c r="A81" s="37" t="str">
        <f aca="false">IF('Dự án'!$A81="","",'Dự án'!$A81)</f>
        <v/>
      </c>
      <c r="B81" s="37" t="str">
        <f aca="false">IF($A81="","",'Dự án'!$B81)</f>
        <v/>
      </c>
      <c r="C81" s="37" t="str">
        <f aca="false">IF($A81="","",'Dự án'!$C81)</f>
        <v/>
      </c>
      <c r="D81" s="37" t="str">
        <f aca="false">IF($A81="","",'Dự án'!$H81)</f>
        <v/>
      </c>
      <c r="E81" s="38" t="str">
        <f aca="false">IF($A81="","",'Dự án'!$G81)</f>
        <v/>
      </c>
      <c r="F81" s="38" t="str">
        <f aca="false">IF($A81="","",COUNTIFS('Check giá'!$C$4:$C$203,$A81))</f>
        <v/>
      </c>
      <c r="G81" s="38" t="str">
        <f aca="false">IF($A81="","",COUNTIFS('Check giá'!$C$4:$C$203,$A81,'Check giá'!$O$4:$O$203,"Đang xử lý")+COUNTIFS('Check giá'!$C$4:$C$203,$A81,'Check giá'!$O$4:$O$203,"Quá hạn chưa trả"))</f>
        <v/>
      </c>
      <c r="H81" s="38" t="str">
        <f aca="false">IF($A81="","",SUMIFS('Check giá'!$J$4:$J$203,'Check giá'!$C$4:$C$203,$A81))</f>
        <v/>
      </c>
      <c r="I81" s="38" t="str">
        <f aca="false">IF($A81="","",COUNTIFS(PR!$D$4:$D$203,$A81))</f>
        <v/>
      </c>
      <c r="J81" s="38" t="str">
        <f aca="false">IF($A81="","",SUMIFS(PR!$L$4:$L$203,PR!$D$4:$D$203,$A81))</f>
        <v/>
      </c>
      <c r="K81" s="38" t="str">
        <f aca="false">IF($A81="","",COUNTIFS(PO!$D$4:$D$203,$A81))</f>
        <v/>
      </c>
      <c r="L81" s="38" t="str">
        <f aca="false">IF($A81="","",SUMIFS(PO!$L$4:$L$203,PO!$D$4:$D$203,$A81))</f>
        <v/>
      </c>
      <c r="M81" s="38" t="str">
        <f aca="false">IF($A81="","",SUMIFS(PO!$N$4:$N$203,PO!$D$4:$D$203,$A81))</f>
        <v/>
      </c>
      <c r="N81" s="39" t="str">
        <f aca="false">IF($A81="","",IFERROR($L81/$E81,""))</f>
        <v/>
      </c>
      <c r="O81" s="38" t="str">
        <f aca="false">IF($A81="","",IFERROR($E81-$L81,""))</f>
        <v/>
      </c>
      <c r="P81" s="38" t="str">
        <f aca="false">IF($A81="","",COUNTIFS(PO!$D$4:$D$203,$A81,PO!$S$4:$S$203,"Đúng hạn")+COUNTIFS(PO!$D$4:$D$203,$A81,PO!$S$4:$S$203,"Giao trễ")+COUNTIFS(PO!$D$4:$D$203,$A81,PO!$S$4:$S$203,"Trễ hạn"))</f>
        <v/>
      </c>
      <c r="Q81" s="38" t="str">
        <f aca="false">IF($A81="","",COUNTIFS(PO!$D$4:$D$203,$A81,PO!$S$4:$S$203,"Đúng hạn"))</f>
        <v/>
      </c>
      <c r="R81" s="39" t="str">
        <f aca="false">IF($A81="","",IFERROR($Q81/$P81,""))</f>
        <v/>
      </c>
      <c r="S81" s="38" t="str">
        <f aca="false">IF($A81="","",SUMIFS('Thanh toán'!$H$4:$H$203,'Thanh toán'!$D$4:$D$203,$A81))</f>
        <v/>
      </c>
      <c r="T81" s="38" t="str">
        <f aca="false">IF($A81="","",SUMIFS('Công nợ'!$I$4:$I$203,'Công nợ'!$B$4:$B$203,$A81))</f>
        <v/>
      </c>
      <c r="U81" s="38" t="str">
        <f aca="false">IF($A81="","",SUMIFS('Công nợ'!$I$4:$I$203,'Công nợ'!$B$4:$B$203,$A81,'Công nợ'!$K$4:$K$203,"&gt;0"))</f>
        <v/>
      </c>
    </row>
    <row r="82" customFormat="false" ht="15" hidden="false" customHeight="false" outlineLevel="0" collapsed="false">
      <c r="A82" s="37" t="str">
        <f aca="false">IF('Dự án'!$A82="","",'Dự án'!$A82)</f>
        <v/>
      </c>
      <c r="B82" s="37" t="str">
        <f aca="false">IF($A82="","",'Dự án'!$B82)</f>
        <v/>
      </c>
      <c r="C82" s="37" t="str">
        <f aca="false">IF($A82="","",'Dự án'!$C82)</f>
        <v/>
      </c>
      <c r="D82" s="37" t="str">
        <f aca="false">IF($A82="","",'Dự án'!$H82)</f>
        <v/>
      </c>
      <c r="E82" s="38" t="str">
        <f aca="false">IF($A82="","",'Dự án'!$G82)</f>
        <v/>
      </c>
      <c r="F82" s="38" t="str">
        <f aca="false">IF($A82="","",COUNTIFS('Check giá'!$C$4:$C$203,$A82))</f>
        <v/>
      </c>
      <c r="G82" s="38" t="str">
        <f aca="false">IF($A82="","",COUNTIFS('Check giá'!$C$4:$C$203,$A82,'Check giá'!$O$4:$O$203,"Đang xử lý")+COUNTIFS('Check giá'!$C$4:$C$203,$A82,'Check giá'!$O$4:$O$203,"Quá hạn chưa trả"))</f>
        <v/>
      </c>
      <c r="H82" s="38" t="str">
        <f aca="false">IF($A82="","",SUMIFS('Check giá'!$J$4:$J$203,'Check giá'!$C$4:$C$203,$A82))</f>
        <v/>
      </c>
      <c r="I82" s="38" t="str">
        <f aca="false">IF($A82="","",COUNTIFS(PR!$D$4:$D$203,$A82))</f>
        <v/>
      </c>
      <c r="J82" s="38" t="str">
        <f aca="false">IF($A82="","",SUMIFS(PR!$L$4:$L$203,PR!$D$4:$D$203,$A82))</f>
        <v/>
      </c>
      <c r="K82" s="38" t="str">
        <f aca="false">IF($A82="","",COUNTIFS(PO!$D$4:$D$203,$A82))</f>
        <v/>
      </c>
      <c r="L82" s="38" t="str">
        <f aca="false">IF($A82="","",SUMIFS(PO!$L$4:$L$203,PO!$D$4:$D$203,$A82))</f>
        <v/>
      </c>
      <c r="M82" s="38" t="str">
        <f aca="false">IF($A82="","",SUMIFS(PO!$N$4:$N$203,PO!$D$4:$D$203,$A82))</f>
        <v/>
      </c>
      <c r="N82" s="39" t="str">
        <f aca="false">IF($A82="","",IFERROR($L82/$E82,""))</f>
        <v/>
      </c>
      <c r="O82" s="38" t="str">
        <f aca="false">IF($A82="","",IFERROR($E82-$L82,""))</f>
        <v/>
      </c>
      <c r="P82" s="38" t="str">
        <f aca="false">IF($A82="","",COUNTIFS(PO!$D$4:$D$203,$A82,PO!$S$4:$S$203,"Đúng hạn")+COUNTIFS(PO!$D$4:$D$203,$A82,PO!$S$4:$S$203,"Giao trễ")+COUNTIFS(PO!$D$4:$D$203,$A82,PO!$S$4:$S$203,"Trễ hạn"))</f>
        <v/>
      </c>
      <c r="Q82" s="38" t="str">
        <f aca="false">IF($A82="","",COUNTIFS(PO!$D$4:$D$203,$A82,PO!$S$4:$S$203,"Đúng hạn"))</f>
        <v/>
      </c>
      <c r="R82" s="39" t="str">
        <f aca="false">IF($A82="","",IFERROR($Q82/$P82,""))</f>
        <v/>
      </c>
      <c r="S82" s="38" t="str">
        <f aca="false">IF($A82="","",SUMIFS('Thanh toán'!$H$4:$H$203,'Thanh toán'!$D$4:$D$203,$A82))</f>
        <v/>
      </c>
      <c r="T82" s="38" t="str">
        <f aca="false">IF($A82="","",SUMIFS('Công nợ'!$I$4:$I$203,'Công nợ'!$B$4:$B$203,$A82))</f>
        <v/>
      </c>
      <c r="U82" s="38" t="str">
        <f aca="false">IF($A82="","",SUMIFS('Công nợ'!$I$4:$I$203,'Công nợ'!$B$4:$B$203,$A82,'Công nợ'!$K$4:$K$203,"&gt;0"))</f>
        <v/>
      </c>
    </row>
    <row r="83" customFormat="false" ht="15" hidden="false" customHeight="false" outlineLevel="0" collapsed="false">
      <c r="A83" s="37" t="str">
        <f aca="false">IF('Dự án'!$A83="","",'Dự án'!$A83)</f>
        <v/>
      </c>
      <c r="B83" s="37" t="str">
        <f aca="false">IF($A83="","",'Dự án'!$B83)</f>
        <v/>
      </c>
      <c r="C83" s="37" t="str">
        <f aca="false">IF($A83="","",'Dự án'!$C83)</f>
        <v/>
      </c>
      <c r="D83" s="37" t="str">
        <f aca="false">IF($A83="","",'Dự án'!$H83)</f>
        <v/>
      </c>
      <c r="E83" s="38" t="str">
        <f aca="false">IF($A83="","",'Dự án'!$G83)</f>
        <v/>
      </c>
      <c r="F83" s="38" t="str">
        <f aca="false">IF($A83="","",COUNTIFS('Check giá'!$C$4:$C$203,$A83))</f>
        <v/>
      </c>
      <c r="G83" s="38" t="str">
        <f aca="false">IF($A83="","",COUNTIFS('Check giá'!$C$4:$C$203,$A83,'Check giá'!$O$4:$O$203,"Đang xử lý")+COUNTIFS('Check giá'!$C$4:$C$203,$A83,'Check giá'!$O$4:$O$203,"Quá hạn chưa trả"))</f>
        <v/>
      </c>
      <c r="H83" s="38" t="str">
        <f aca="false">IF($A83="","",SUMIFS('Check giá'!$J$4:$J$203,'Check giá'!$C$4:$C$203,$A83))</f>
        <v/>
      </c>
      <c r="I83" s="38" t="str">
        <f aca="false">IF($A83="","",COUNTIFS(PR!$D$4:$D$203,$A83))</f>
        <v/>
      </c>
      <c r="J83" s="38" t="str">
        <f aca="false">IF($A83="","",SUMIFS(PR!$L$4:$L$203,PR!$D$4:$D$203,$A83))</f>
        <v/>
      </c>
      <c r="K83" s="38" t="str">
        <f aca="false">IF($A83="","",COUNTIFS(PO!$D$4:$D$203,$A83))</f>
        <v/>
      </c>
      <c r="L83" s="38" t="str">
        <f aca="false">IF($A83="","",SUMIFS(PO!$L$4:$L$203,PO!$D$4:$D$203,$A83))</f>
        <v/>
      </c>
      <c r="M83" s="38" t="str">
        <f aca="false">IF($A83="","",SUMIFS(PO!$N$4:$N$203,PO!$D$4:$D$203,$A83))</f>
        <v/>
      </c>
      <c r="N83" s="39" t="str">
        <f aca="false">IF($A83="","",IFERROR($L83/$E83,""))</f>
        <v/>
      </c>
      <c r="O83" s="38" t="str">
        <f aca="false">IF($A83="","",IFERROR($E83-$L83,""))</f>
        <v/>
      </c>
      <c r="P83" s="38" t="str">
        <f aca="false">IF($A83="","",COUNTIFS(PO!$D$4:$D$203,$A83,PO!$S$4:$S$203,"Đúng hạn")+COUNTIFS(PO!$D$4:$D$203,$A83,PO!$S$4:$S$203,"Giao trễ")+COUNTIFS(PO!$D$4:$D$203,$A83,PO!$S$4:$S$203,"Trễ hạn"))</f>
        <v/>
      </c>
      <c r="Q83" s="38" t="str">
        <f aca="false">IF($A83="","",COUNTIFS(PO!$D$4:$D$203,$A83,PO!$S$4:$S$203,"Đúng hạn"))</f>
        <v/>
      </c>
      <c r="R83" s="39" t="str">
        <f aca="false">IF($A83="","",IFERROR($Q83/$P83,""))</f>
        <v/>
      </c>
      <c r="S83" s="38" t="str">
        <f aca="false">IF($A83="","",SUMIFS('Thanh toán'!$H$4:$H$203,'Thanh toán'!$D$4:$D$203,$A83))</f>
        <v/>
      </c>
      <c r="T83" s="38" t="str">
        <f aca="false">IF($A83="","",SUMIFS('Công nợ'!$I$4:$I$203,'Công nợ'!$B$4:$B$203,$A83))</f>
        <v/>
      </c>
      <c r="U83" s="38" t="str">
        <f aca="false">IF($A83="","",SUMIFS('Công nợ'!$I$4:$I$203,'Công nợ'!$B$4:$B$203,$A83,'Công nợ'!$K$4:$K$203,"&gt;0"))</f>
        <v/>
      </c>
    </row>
    <row r="84" customFormat="false" ht="15" hidden="false" customHeight="false" outlineLevel="0" collapsed="false">
      <c r="A84" s="37" t="str">
        <f aca="false">IF('Dự án'!$A84="","",'Dự án'!$A84)</f>
        <v/>
      </c>
      <c r="B84" s="37" t="str">
        <f aca="false">IF($A84="","",'Dự án'!$B84)</f>
        <v/>
      </c>
      <c r="C84" s="37" t="str">
        <f aca="false">IF($A84="","",'Dự án'!$C84)</f>
        <v/>
      </c>
      <c r="D84" s="37" t="str">
        <f aca="false">IF($A84="","",'Dự án'!$H84)</f>
        <v/>
      </c>
      <c r="E84" s="38" t="str">
        <f aca="false">IF($A84="","",'Dự án'!$G84)</f>
        <v/>
      </c>
      <c r="F84" s="38" t="str">
        <f aca="false">IF($A84="","",COUNTIFS('Check giá'!$C$4:$C$203,$A84))</f>
        <v/>
      </c>
      <c r="G84" s="38" t="str">
        <f aca="false">IF($A84="","",COUNTIFS('Check giá'!$C$4:$C$203,$A84,'Check giá'!$O$4:$O$203,"Đang xử lý")+COUNTIFS('Check giá'!$C$4:$C$203,$A84,'Check giá'!$O$4:$O$203,"Quá hạn chưa trả"))</f>
        <v/>
      </c>
      <c r="H84" s="38" t="str">
        <f aca="false">IF($A84="","",SUMIFS('Check giá'!$J$4:$J$203,'Check giá'!$C$4:$C$203,$A84))</f>
        <v/>
      </c>
      <c r="I84" s="38" t="str">
        <f aca="false">IF($A84="","",COUNTIFS(PR!$D$4:$D$203,$A84))</f>
        <v/>
      </c>
      <c r="J84" s="38" t="str">
        <f aca="false">IF($A84="","",SUMIFS(PR!$L$4:$L$203,PR!$D$4:$D$203,$A84))</f>
        <v/>
      </c>
      <c r="K84" s="38" t="str">
        <f aca="false">IF($A84="","",COUNTIFS(PO!$D$4:$D$203,$A84))</f>
        <v/>
      </c>
      <c r="L84" s="38" t="str">
        <f aca="false">IF($A84="","",SUMIFS(PO!$L$4:$L$203,PO!$D$4:$D$203,$A84))</f>
        <v/>
      </c>
      <c r="M84" s="38" t="str">
        <f aca="false">IF($A84="","",SUMIFS(PO!$N$4:$N$203,PO!$D$4:$D$203,$A84))</f>
        <v/>
      </c>
      <c r="N84" s="39" t="str">
        <f aca="false">IF($A84="","",IFERROR($L84/$E84,""))</f>
        <v/>
      </c>
      <c r="O84" s="38" t="str">
        <f aca="false">IF($A84="","",IFERROR($E84-$L84,""))</f>
        <v/>
      </c>
      <c r="P84" s="38" t="str">
        <f aca="false">IF($A84="","",COUNTIFS(PO!$D$4:$D$203,$A84,PO!$S$4:$S$203,"Đúng hạn")+COUNTIFS(PO!$D$4:$D$203,$A84,PO!$S$4:$S$203,"Giao trễ")+COUNTIFS(PO!$D$4:$D$203,$A84,PO!$S$4:$S$203,"Trễ hạn"))</f>
        <v/>
      </c>
      <c r="Q84" s="38" t="str">
        <f aca="false">IF($A84="","",COUNTIFS(PO!$D$4:$D$203,$A84,PO!$S$4:$S$203,"Đúng hạn"))</f>
        <v/>
      </c>
      <c r="R84" s="39" t="str">
        <f aca="false">IF($A84="","",IFERROR($Q84/$P84,""))</f>
        <v/>
      </c>
      <c r="S84" s="38" t="str">
        <f aca="false">IF($A84="","",SUMIFS('Thanh toán'!$H$4:$H$203,'Thanh toán'!$D$4:$D$203,$A84))</f>
        <v/>
      </c>
      <c r="T84" s="38" t="str">
        <f aca="false">IF($A84="","",SUMIFS('Công nợ'!$I$4:$I$203,'Công nợ'!$B$4:$B$203,$A84))</f>
        <v/>
      </c>
      <c r="U84" s="38" t="str">
        <f aca="false">IF($A84="","",SUMIFS('Công nợ'!$I$4:$I$203,'Công nợ'!$B$4:$B$203,$A84,'Công nợ'!$K$4:$K$203,"&gt;0"))</f>
        <v/>
      </c>
    </row>
    <row r="85" customFormat="false" ht="15" hidden="false" customHeight="false" outlineLevel="0" collapsed="false">
      <c r="A85" s="37" t="str">
        <f aca="false">IF('Dự án'!$A85="","",'Dự án'!$A85)</f>
        <v/>
      </c>
      <c r="B85" s="37" t="str">
        <f aca="false">IF($A85="","",'Dự án'!$B85)</f>
        <v/>
      </c>
      <c r="C85" s="37" t="str">
        <f aca="false">IF($A85="","",'Dự án'!$C85)</f>
        <v/>
      </c>
      <c r="D85" s="37" t="str">
        <f aca="false">IF($A85="","",'Dự án'!$H85)</f>
        <v/>
      </c>
      <c r="E85" s="38" t="str">
        <f aca="false">IF($A85="","",'Dự án'!$G85)</f>
        <v/>
      </c>
      <c r="F85" s="38" t="str">
        <f aca="false">IF($A85="","",COUNTIFS('Check giá'!$C$4:$C$203,$A85))</f>
        <v/>
      </c>
      <c r="G85" s="38" t="str">
        <f aca="false">IF($A85="","",COUNTIFS('Check giá'!$C$4:$C$203,$A85,'Check giá'!$O$4:$O$203,"Đang xử lý")+COUNTIFS('Check giá'!$C$4:$C$203,$A85,'Check giá'!$O$4:$O$203,"Quá hạn chưa trả"))</f>
        <v/>
      </c>
      <c r="H85" s="38" t="str">
        <f aca="false">IF($A85="","",SUMIFS('Check giá'!$J$4:$J$203,'Check giá'!$C$4:$C$203,$A85))</f>
        <v/>
      </c>
      <c r="I85" s="38" t="str">
        <f aca="false">IF($A85="","",COUNTIFS(PR!$D$4:$D$203,$A85))</f>
        <v/>
      </c>
      <c r="J85" s="38" t="str">
        <f aca="false">IF($A85="","",SUMIFS(PR!$L$4:$L$203,PR!$D$4:$D$203,$A85))</f>
        <v/>
      </c>
      <c r="K85" s="38" t="str">
        <f aca="false">IF($A85="","",COUNTIFS(PO!$D$4:$D$203,$A85))</f>
        <v/>
      </c>
      <c r="L85" s="38" t="str">
        <f aca="false">IF($A85="","",SUMIFS(PO!$L$4:$L$203,PO!$D$4:$D$203,$A85))</f>
        <v/>
      </c>
      <c r="M85" s="38" t="str">
        <f aca="false">IF($A85="","",SUMIFS(PO!$N$4:$N$203,PO!$D$4:$D$203,$A85))</f>
        <v/>
      </c>
      <c r="N85" s="39" t="str">
        <f aca="false">IF($A85="","",IFERROR($L85/$E85,""))</f>
        <v/>
      </c>
      <c r="O85" s="38" t="str">
        <f aca="false">IF($A85="","",IFERROR($E85-$L85,""))</f>
        <v/>
      </c>
      <c r="P85" s="38" t="str">
        <f aca="false">IF($A85="","",COUNTIFS(PO!$D$4:$D$203,$A85,PO!$S$4:$S$203,"Đúng hạn")+COUNTIFS(PO!$D$4:$D$203,$A85,PO!$S$4:$S$203,"Giao trễ")+COUNTIFS(PO!$D$4:$D$203,$A85,PO!$S$4:$S$203,"Trễ hạn"))</f>
        <v/>
      </c>
      <c r="Q85" s="38" t="str">
        <f aca="false">IF($A85="","",COUNTIFS(PO!$D$4:$D$203,$A85,PO!$S$4:$S$203,"Đúng hạn"))</f>
        <v/>
      </c>
      <c r="R85" s="39" t="str">
        <f aca="false">IF($A85="","",IFERROR($Q85/$P85,""))</f>
        <v/>
      </c>
      <c r="S85" s="38" t="str">
        <f aca="false">IF($A85="","",SUMIFS('Thanh toán'!$H$4:$H$203,'Thanh toán'!$D$4:$D$203,$A85))</f>
        <v/>
      </c>
      <c r="T85" s="38" t="str">
        <f aca="false">IF($A85="","",SUMIFS('Công nợ'!$I$4:$I$203,'Công nợ'!$B$4:$B$203,$A85))</f>
        <v/>
      </c>
      <c r="U85" s="38" t="str">
        <f aca="false">IF($A85="","",SUMIFS('Công nợ'!$I$4:$I$203,'Công nợ'!$B$4:$B$203,$A85,'Công nợ'!$K$4:$K$203,"&gt;0"))</f>
        <v/>
      </c>
    </row>
    <row r="86" customFormat="false" ht="15" hidden="false" customHeight="false" outlineLevel="0" collapsed="false">
      <c r="A86" s="37" t="str">
        <f aca="false">IF('Dự án'!$A86="","",'Dự án'!$A86)</f>
        <v/>
      </c>
      <c r="B86" s="37" t="str">
        <f aca="false">IF($A86="","",'Dự án'!$B86)</f>
        <v/>
      </c>
      <c r="C86" s="37" t="str">
        <f aca="false">IF($A86="","",'Dự án'!$C86)</f>
        <v/>
      </c>
      <c r="D86" s="37" t="str">
        <f aca="false">IF($A86="","",'Dự án'!$H86)</f>
        <v/>
      </c>
      <c r="E86" s="38" t="str">
        <f aca="false">IF($A86="","",'Dự án'!$G86)</f>
        <v/>
      </c>
      <c r="F86" s="38" t="str">
        <f aca="false">IF($A86="","",COUNTIFS('Check giá'!$C$4:$C$203,$A86))</f>
        <v/>
      </c>
      <c r="G86" s="38" t="str">
        <f aca="false">IF($A86="","",COUNTIFS('Check giá'!$C$4:$C$203,$A86,'Check giá'!$O$4:$O$203,"Đang xử lý")+COUNTIFS('Check giá'!$C$4:$C$203,$A86,'Check giá'!$O$4:$O$203,"Quá hạn chưa trả"))</f>
        <v/>
      </c>
      <c r="H86" s="38" t="str">
        <f aca="false">IF($A86="","",SUMIFS('Check giá'!$J$4:$J$203,'Check giá'!$C$4:$C$203,$A86))</f>
        <v/>
      </c>
      <c r="I86" s="38" t="str">
        <f aca="false">IF($A86="","",COUNTIFS(PR!$D$4:$D$203,$A86))</f>
        <v/>
      </c>
      <c r="J86" s="38" t="str">
        <f aca="false">IF($A86="","",SUMIFS(PR!$L$4:$L$203,PR!$D$4:$D$203,$A86))</f>
        <v/>
      </c>
      <c r="K86" s="38" t="str">
        <f aca="false">IF($A86="","",COUNTIFS(PO!$D$4:$D$203,$A86))</f>
        <v/>
      </c>
      <c r="L86" s="38" t="str">
        <f aca="false">IF($A86="","",SUMIFS(PO!$L$4:$L$203,PO!$D$4:$D$203,$A86))</f>
        <v/>
      </c>
      <c r="M86" s="38" t="str">
        <f aca="false">IF($A86="","",SUMIFS(PO!$N$4:$N$203,PO!$D$4:$D$203,$A86))</f>
        <v/>
      </c>
      <c r="N86" s="39" t="str">
        <f aca="false">IF($A86="","",IFERROR($L86/$E86,""))</f>
        <v/>
      </c>
      <c r="O86" s="38" t="str">
        <f aca="false">IF($A86="","",IFERROR($E86-$L86,""))</f>
        <v/>
      </c>
      <c r="P86" s="38" t="str">
        <f aca="false">IF($A86="","",COUNTIFS(PO!$D$4:$D$203,$A86,PO!$S$4:$S$203,"Đúng hạn")+COUNTIFS(PO!$D$4:$D$203,$A86,PO!$S$4:$S$203,"Giao trễ")+COUNTIFS(PO!$D$4:$D$203,$A86,PO!$S$4:$S$203,"Trễ hạn"))</f>
        <v/>
      </c>
      <c r="Q86" s="38" t="str">
        <f aca="false">IF($A86="","",COUNTIFS(PO!$D$4:$D$203,$A86,PO!$S$4:$S$203,"Đúng hạn"))</f>
        <v/>
      </c>
      <c r="R86" s="39" t="str">
        <f aca="false">IF($A86="","",IFERROR($Q86/$P86,""))</f>
        <v/>
      </c>
      <c r="S86" s="38" t="str">
        <f aca="false">IF($A86="","",SUMIFS('Thanh toán'!$H$4:$H$203,'Thanh toán'!$D$4:$D$203,$A86))</f>
        <v/>
      </c>
      <c r="T86" s="38" t="str">
        <f aca="false">IF($A86="","",SUMIFS('Công nợ'!$I$4:$I$203,'Công nợ'!$B$4:$B$203,$A86))</f>
        <v/>
      </c>
      <c r="U86" s="38" t="str">
        <f aca="false">IF($A86="","",SUMIFS('Công nợ'!$I$4:$I$203,'Công nợ'!$B$4:$B$203,$A86,'Công nợ'!$K$4:$K$203,"&gt;0"))</f>
        <v/>
      </c>
    </row>
    <row r="87" customFormat="false" ht="15" hidden="false" customHeight="false" outlineLevel="0" collapsed="false">
      <c r="A87" s="37" t="str">
        <f aca="false">IF('Dự án'!$A87="","",'Dự án'!$A87)</f>
        <v/>
      </c>
      <c r="B87" s="37" t="str">
        <f aca="false">IF($A87="","",'Dự án'!$B87)</f>
        <v/>
      </c>
      <c r="C87" s="37" t="str">
        <f aca="false">IF($A87="","",'Dự án'!$C87)</f>
        <v/>
      </c>
      <c r="D87" s="37" t="str">
        <f aca="false">IF($A87="","",'Dự án'!$H87)</f>
        <v/>
      </c>
      <c r="E87" s="38" t="str">
        <f aca="false">IF($A87="","",'Dự án'!$G87)</f>
        <v/>
      </c>
      <c r="F87" s="38" t="str">
        <f aca="false">IF($A87="","",COUNTIFS('Check giá'!$C$4:$C$203,$A87))</f>
        <v/>
      </c>
      <c r="G87" s="38" t="str">
        <f aca="false">IF($A87="","",COUNTIFS('Check giá'!$C$4:$C$203,$A87,'Check giá'!$O$4:$O$203,"Đang xử lý")+COUNTIFS('Check giá'!$C$4:$C$203,$A87,'Check giá'!$O$4:$O$203,"Quá hạn chưa trả"))</f>
        <v/>
      </c>
      <c r="H87" s="38" t="str">
        <f aca="false">IF($A87="","",SUMIFS('Check giá'!$J$4:$J$203,'Check giá'!$C$4:$C$203,$A87))</f>
        <v/>
      </c>
      <c r="I87" s="38" t="str">
        <f aca="false">IF($A87="","",COUNTIFS(PR!$D$4:$D$203,$A87))</f>
        <v/>
      </c>
      <c r="J87" s="38" t="str">
        <f aca="false">IF($A87="","",SUMIFS(PR!$L$4:$L$203,PR!$D$4:$D$203,$A87))</f>
        <v/>
      </c>
      <c r="K87" s="38" t="str">
        <f aca="false">IF($A87="","",COUNTIFS(PO!$D$4:$D$203,$A87))</f>
        <v/>
      </c>
      <c r="L87" s="38" t="str">
        <f aca="false">IF($A87="","",SUMIFS(PO!$L$4:$L$203,PO!$D$4:$D$203,$A87))</f>
        <v/>
      </c>
      <c r="M87" s="38" t="str">
        <f aca="false">IF($A87="","",SUMIFS(PO!$N$4:$N$203,PO!$D$4:$D$203,$A87))</f>
        <v/>
      </c>
      <c r="N87" s="39" t="str">
        <f aca="false">IF($A87="","",IFERROR($L87/$E87,""))</f>
        <v/>
      </c>
      <c r="O87" s="38" t="str">
        <f aca="false">IF($A87="","",IFERROR($E87-$L87,""))</f>
        <v/>
      </c>
      <c r="P87" s="38" t="str">
        <f aca="false">IF($A87="","",COUNTIFS(PO!$D$4:$D$203,$A87,PO!$S$4:$S$203,"Đúng hạn")+COUNTIFS(PO!$D$4:$D$203,$A87,PO!$S$4:$S$203,"Giao trễ")+COUNTIFS(PO!$D$4:$D$203,$A87,PO!$S$4:$S$203,"Trễ hạn"))</f>
        <v/>
      </c>
      <c r="Q87" s="38" t="str">
        <f aca="false">IF($A87="","",COUNTIFS(PO!$D$4:$D$203,$A87,PO!$S$4:$S$203,"Đúng hạn"))</f>
        <v/>
      </c>
      <c r="R87" s="39" t="str">
        <f aca="false">IF($A87="","",IFERROR($Q87/$P87,""))</f>
        <v/>
      </c>
      <c r="S87" s="38" t="str">
        <f aca="false">IF($A87="","",SUMIFS('Thanh toán'!$H$4:$H$203,'Thanh toán'!$D$4:$D$203,$A87))</f>
        <v/>
      </c>
      <c r="T87" s="38" t="str">
        <f aca="false">IF($A87="","",SUMIFS('Công nợ'!$I$4:$I$203,'Công nợ'!$B$4:$B$203,$A87))</f>
        <v/>
      </c>
      <c r="U87" s="38" t="str">
        <f aca="false">IF($A87="","",SUMIFS('Công nợ'!$I$4:$I$203,'Công nợ'!$B$4:$B$203,$A87,'Công nợ'!$K$4:$K$203,"&gt;0"))</f>
        <v/>
      </c>
    </row>
    <row r="88" customFormat="false" ht="15" hidden="false" customHeight="false" outlineLevel="0" collapsed="false">
      <c r="A88" s="37" t="str">
        <f aca="false">IF('Dự án'!$A88="","",'Dự án'!$A88)</f>
        <v/>
      </c>
      <c r="B88" s="37" t="str">
        <f aca="false">IF($A88="","",'Dự án'!$B88)</f>
        <v/>
      </c>
      <c r="C88" s="37" t="str">
        <f aca="false">IF($A88="","",'Dự án'!$C88)</f>
        <v/>
      </c>
      <c r="D88" s="37" t="str">
        <f aca="false">IF($A88="","",'Dự án'!$H88)</f>
        <v/>
      </c>
      <c r="E88" s="38" t="str">
        <f aca="false">IF($A88="","",'Dự án'!$G88)</f>
        <v/>
      </c>
      <c r="F88" s="38" t="str">
        <f aca="false">IF($A88="","",COUNTIFS('Check giá'!$C$4:$C$203,$A88))</f>
        <v/>
      </c>
      <c r="G88" s="38" t="str">
        <f aca="false">IF($A88="","",COUNTIFS('Check giá'!$C$4:$C$203,$A88,'Check giá'!$O$4:$O$203,"Đang xử lý")+COUNTIFS('Check giá'!$C$4:$C$203,$A88,'Check giá'!$O$4:$O$203,"Quá hạn chưa trả"))</f>
        <v/>
      </c>
      <c r="H88" s="38" t="str">
        <f aca="false">IF($A88="","",SUMIFS('Check giá'!$J$4:$J$203,'Check giá'!$C$4:$C$203,$A88))</f>
        <v/>
      </c>
      <c r="I88" s="38" t="str">
        <f aca="false">IF($A88="","",COUNTIFS(PR!$D$4:$D$203,$A88))</f>
        <v/>
      </c>
      <c r="J88" s="38" t="str">
        <f aca="false">IF($A88="","",SUMIFS(PR!$L$4:$L$203,PR!$D$4:$D$203,$A88))</f>
        <v/>
      </c>
      <c r="K88" s="38" t="str">
        <f aca="false">IF($A88="","",COUNTIFS(PO!$D$4:$D$203,$A88))</f>
        <v/>
      </c>
      <c r="L88" s="38" t="str">
        <f aca="false">IF($A88="","",SUMIFS(PO!$L$4:$L$203,PO!$D$4:$D$203,$A88))</f>
        <v/>
      </c>
      <c r="M88" s="38" t="str">
        <f aca="false">IF($A88="","",SUMIFS(PO!$N$4:$N$203,PO!$D$4:$D$203,$A88))</f>
        <v/>
      </c>
      <c r="N88" s="39" t="str">
        <f aca="false">IF($A88="","",IFERROR($L88/$E88,""))</f>
        <v/>
      </c>
      <c r="O88" s="38" t="str">
        <f aca="false">IF($A88="","",IFERROR($E88-$L88,""))</f>
        <v/>
      </c>
      <c r="P88" s="38" t="str">
        <f aca="false">IF($A88="","",COUNTIFS(PO!$D$4:$D$203,$A88,PO!$S$4:$S$203,"Đúng hạn")+COUNTIFS(PO!$D$4:$D$203,$A88,PO!$S$4:$S$203,"Giao trễ")+COUNTIFS(PO!$D$4:$D$203,$A88,PO!$S$4:$S$203,"Trễ hạn"))</f>
        <v/>
      </c>
      <c r="Q88" s="38" t="str">
        <f aca="false">IF($A88="","",COUNTIFS(PO!$D$4:$D$203,$A88,PO!$S$4:$S$203,"Đúng hạn"))</f>
        <v/>
      </c>
      <c r="R88" s="39" t="str">
        <f aca="false">IF($A88="","",IFERROR($Q88/$P88,""))</f>
        <v/>
      </c>
      <c r="S88" s="38" t="str">
        <f aca="false">IF($A88="","",SUMIFS('Thanh toán'!$H$4:$H$203,'Thanh toán'!$D$4:$D$203,$A88))</f>
        <v/>
      </c>
      <c r="T88" s="38" t="str">
        <f aca="false">IF($A88="","",SUMIFS('Công nợ'!$I$4:$I$203,'Công nợ'!$B$4:$B$203,$A88))</f>
        <v/>
      </c>
      <c r="U88" s="38" t="str">
        <f aca="false">IF($A88="","",SUMIFS('Công nợ'!$I$4:$I$203,'Công nợ'!$B$4:$B$203,$A88,'Công nợ'!$K$4:$K$203,"&gt;0"))</f>
        <v/>
      </c>
    </row>
    <row r="89" customFormat="false" ht="15" hidden="false" customHeight="false" outlineLevel="0" collapsed="false">
      <c r="A89" s="37" t="str">
        <f aca="false">IF('Dự án'!$A89="","",'Dự án'!$A89)</f>
        <v/>
      </c>
      <c r="B89" s="37" t="str">
        <f aca="false">IF($A89="","",'Dự án'!$B89)</f>
        <v/>
      </c>
      <c r="C89" s="37" t="str">
        <f aca="false">IF($A89="","",'Dự án'!$C89)</f>
        <v/>
      </c>
      <c r="D89" s="37" t="str">
        <f aca="false">IF($A89="","",'Dự án'!$H89)</f>
        <v/>
      </c>
      <c r="E89" s="38" t="str">
        <f aca="false">IF($A89="","",'Dự án'!$G89)</f>
        <v/>
      </c>
      <c r="F89" s="38" t="str">
        <f aca="false">IF($A89="","",COUNTIFS('Check giá'!$C$4:$C$203,$A89))</f>
        <v/>
      </c>
      <c r="G89" s="38" t="str">
        <f aca="false">IF($A89="","",COUNTIFS('Check giá'!$C$4:$C$203,$A89,'Check giá'!$O$4:$O$203,"Đang xử lý")+COUNTIFS('Check giá'!$C$4:$C$203,$A89,'Check giá'!$O$4:$O$203,"Quá hạn chưa trả"))</f>
        <v/>
      </c>
      <c r="H89" s="38" t="str">
        <f aca="false">IF($A89="","",SUMIFS('Check giá'!$J$4:$J$203,'Check giá'!$C$4:$C$203,$A89))</f>
        <v/>
      </c>
      <c r="I89" s="38" t="str">
        <f aca="false">IF($A89="","",COUNTIFS(PR!$D$4:$D$203,$A89))</f>
        <v/>
      </c>
      <c r="J89" s="38" t="str">
        <f aca="false">IF($A89="","",SUMIFS(PR!$L$4:$L$203,PR!$D$4:$D$203,$A89))</f>
        <v/>
      </c>
      <c r="K89" s="38" t="str">
        <f aca="false">IF($A89="","",COUNTIFS(PO!$D$4:$D$203,$A89))</f>
        <v/>
      </c>
      <c r="L89" s="38" t="str">
        <f aca="false">IF($A89="","",SUMIFS(PO!$L$4:$L$203,PO!$D$4:$D$203,$A89))</f>
        <v/>
      </c>
      <c r="M89" s="38" t="str">
        <f aca="false">IF($A89="","",SUMIFS(PO!$N$4:$N$203,PO!$D$4:$D$203,$A89))</f>
        <v/>
      </c>
      <c r="N89" s="39" t="str">
        <f aca="false">IF($A89="","",IFERROR($L89/$E89,""))</f>
        <v/>
      </c>
      <c r="O89" s="38" t="str">
        <f aca="false">IF($A89="","",IFERROR($E89-$L89,""))</f>
        <v/>
      </c>
      <c r="P89" s="38" t="str">
        <f aca="false">IF($A89="","",COUNTIFS(PO!$D$4:$D$203,$A89,PO!$S$4:$S$203,"Đúng hạn")+COUNTIFS(PO!$D$4:$D$203,$A89,PO!$S$4:$S$203,"Giao trễ")+COUNTIFS(PO!$D$4:$D$203,$A89,PO!$S$4:$S$203,"Trễ hạn"))</f>
        <v/>
      </c>
      <c r="Q89" s="38" t="str">
        <f aca="false">IF($A89="","",COUNTIFS(PO!$D$4:$D$203,$A89,PO!$S$4:$S$203,"Đúng hạn"))</f>
        <v/>
      </c>
      <c r="R89" s="39" t="str">
        <f aca="false">IF($A89="","",IFERROR($Q89/$P89,""))</f>
        <v/>
      </c>
      <c r="S89" s="38" t="str">
        <f aca="false">IF($A89="","",SUMIFS('Thanh toán'!$H$4:$H$203,'Thanh toán'!$D$4:$D$203,$A89))</f>
        <v/>
      </c>
      <c r="T89" s="38" t="str">
        <f aca="false">IF($A89="","",SUMIFS('Công nợ'!$I$4:$I$203,'Công nợ'!$B$4:$B$203,$A89))</f>
        <v/>
      </c>
      <c r="U89" s="38" t="str">
        <f aca="false">IF($A89="","",SUMIFS('Công nợ'!$I$4:$I$203,'Công nợ'!$B$4:$B$203,$A89,'Công nợ'!$K$4:$K$203,"&gt;0"))</f>
        <v/>
      </c>
    </row>
    <row r="90" customFormat="false" ht="15" hidden="false" customHeight="false" outlineLevel="0" collapsed="false">
      <c r="A90" s="37" t="str">
        <f aca="false">IF('Dự án'!$A90="","",'Dự án'!$A90)</f>
        <v/>
      </c>
      <c r="B90" s="37" t="str">
        <f aca="false">IF($A90="","",'Dự án'!$B90)</f>
        <v/>
      </c>
      <c r="C90" s="37" t="str">
        <f aca="false">IF($A90="","",'Dự án'!$C90)</f>
        <v/>
      </c>
      <c r="D90" s="37" t="str">
        <f aca="false">IF($A90="","",'Dự án'!$H90)</f>
        <v/>
      </c>
      <c r="E90" s="38" t="str">
        <f aca="false">IF($A90="","",'Dự án'!$G90)</f>
        <v/>
      </c>
      <c r="F90" s="38" t="str">
        <f aca="false">IF($A90="","",COUNTIFS('Check giá'!$C$4:$C$203,$A90))</f>
        <v/>
      </c>
      <c r="G90" s="38" t="str">
        <f aca="false">IF($A90="","",COUNTIFS('Check giá'!$C$4:$C$203,$A90,'Check giá'!$O$4:$O$203,"Đang xử lý")+COUNTIFS('Check giá'!$C$4:$C$203,$A90,'Check giá'!$O$4:$O$203,"Quá hạn chưa trả"))</f>
        <v/>
      </c>
      <c r="H90" s="38" t="str">
        <f aca="false">IF($A90="","",SUMIFS('Check giá'!$J$4:$J$203,'Check giá'!$C$4:$C$203,$A90))</f>
        <v/>
      </c>
      <c r="I90" s="38" t="str">
        <f aca="false">IF($A90="","",COUNTIFS(PR!$D$4:$D$203,$A90))</f>
        <v/>
      </c>
      <c r="J90" s="38" t="str">
        <f aca="false">IF($A90="","",SUMIFS(PR!$L$4:$L$203,PR!$D$4:$D$203,$A90))</f>
        <v/>
      </c>
      <c r="K90" s="38" t="str">
        <f aca="false">IF($A90="","",COUNTIFS(PO!$D$4:$D$203,$A90))</f>
        <v/>
      </c>
      <c r="L90" s="38" t="str">
        <f aca="false">IF($A90="","",SUMIFS(PO!$L$4:$L$203,PO!$D$4:$D$203,$A90))</f>
        <v/>
      </c>
      <c r="M90" s="38" t="str">
        <f aca="false">IF($A90="","",SUMIFS(PO!$N$4:$N$203,PO!$D$4:$D$203,$A90))</f>
        <v/>
      </c>
      <c r="N90" s="39" t="str">
        <f aca="false">IF($A90="","",IFERROR($L90/$E90,""))</f>
        <v/>
      </c>
      <c r="O90" s="38" t="str">
        <f aca="false">IF($A90="","",IFERROR($E90-$L90,""))</f>
        <v/>
      </c>
      <c r="P90" s="38" t="str">
        <f aca="false">IF($A90="","",COUNTIFS(PO!$D$4:$D$203,$A90,PO!$S$4:$S$203,"Đúng hạn")+COUNTIFS(PO!$D$4:$D$203,$A90,PO!$S$4:$S$203,"Giao trễ")+COUNTIFS(PO!$D$4:$D$203,$A90,PO!$S$4:$S$203,"Trễ hạn"))</f>
        <v/>
      </c>
      <c r="Q90" s="38" t="str">
        <f aca="false">IF($A90="","",COUNTIFS(PO!$D$4:$D$203,$A90,PO!$S$4:$S$203,"Đúng hạn"))</f>
        <v/>
      </c>
      <c r="R90" s="39" t="str">
        <f aca="false">IF($A90="","",IFERROR($Q90/$P90,""))</f>
        <v/>
      </c>
      <c r="S90" s="38" t="str">
        <f aca="false">IF($A90="","",SUMIFS('Thanh toán'!$H$4:$H$203,'Thanh toán'!$D$4:$D$203,$A90))</f>
        <v/>
      </c>
      <c r="T90" s="38" t="str">
        <f aca="false">IF($A90="","",SUMIFS('Công nợ'!$I$4:$I$203,'Công nợ'!$B$4:$B$203,$A90))</f>
        <v/>
      </c>
      <c r="U90" s="38" t="str">
        <f aca="false">IF($A90="","",SUMIFS('Công nợ'!$I$4:$I$203,'Công nợ'!$B$4:$B$203,$A90,'Công nợ'!$K$4:$K$203,"&gt;0"))</f>
        <v/>
      </c>
    </row>
    <row r="91" customFormat="false" ht="15" hidden="false" customHeight="false" outlineLevel="0" collapsed="false">
      <c r="A91" s="37" t="str">
        <f aca="false">IF('Dự án'!$A91="","",'Dự án'!$A91)</f>
        <v/>
      </c>
      <c r="B91" s="37" t="str">
        <f aca="false">IF($A91="","",'Dự án'!$B91)</f>
        <v/>
      </c>
      <c r="C91" s="37" t="str">
        <f aca="false">IF($A91="","",'Dự án'!$C91)</f>
        <v/>
      </c>
      <c r="D91" s="37" t="str">
        <f aca="false">IF($A91="","",'Dự án'!$H91)</f>
        <v/>
      </c>
      <c r="E91" s="38" t="str">
        <f aca="false">IF($A91="","",'Dự án'!$G91)</f>
        <v/>
      </c>
      <c r="F91" s="38" t="str">
        <f aca="false">IF($A91="","",COUNTIFS('Check giá'!$C$4:$C$203,$A91))</f>
        <v/>
      </c>
      <c r="G91" s="38" t="str">
        <f aca="false">IF($A91="","",COUNTIFS('Check giá'!$C$4:$C$203,$A91,'Check giá'!$O$4:$O$203,"Đang xử lý")+COUNTIFS('Check giá'!$C$4:$C$203,$A91,'Check giá'!$O$4:$O$203,"Quá hạn chưa trả"))</f>
        <v/>
      </c>
      <c r="H91" s="38" t="str">
        <f aca="false">IF($A91="","",SUMIFS('Check giá'!$J$4:$J$203,'Check giá'!$C$4:$C$203,$A91))</f>
        <v/>
      </c>
      <c r="I91" s="38" t="str">
        <f aca="false">IF($A91="","",COUNTIFS(PR!$D$4:$D$203,$A91))</f>
        <v/>
      </c>
      <c r="J91" s="38" t="str">
        <f aca="false">IF($A91="","",SUMIFS(PR!$L$4:$L$203,PR!$D$4:$D$203,$A91))</f>
        <v/>
      </c>
      <c r="K91" s="38" t="str">
        <f aca="false">IF($A91="","",COUNTIFS(PO!$D$4:$D$203,$A91))</f>
        <v/>
      </c>
      <c r="L91" s="38" t="str">
        <f aca="false">IF($A91="","",SUMIFS(PO!$L$4:$L$203,PO!$D$4:$D$203,$A91))</f>
        <v/>
      </c>
      <c r="M91" s="38" t="str">
        <f aca="false">IF($A91="","",SUMIFS(PO!$N$4:$N$203,PO!$D$4:$D$203,$A91))</f>
        <v/>
      </c>
      <c r="N91" s="39" t="str">
        <f aca="false">IF($A91="","",IFERROR($L91/$E91,""))</f>
        <v/>
      </c>
      <c r="O91" s="38" t="str">
        <f aca="false">IF($A91="","",IFERROR($E91-$L91,""))</f>
        <v/>
      </c>
      <c r="P91" s="38" t="str">
        <f aca="false">IF($A91="","",COUNTIFS(PO!$D$4:$D$203,$A91,PO!$S$4:$S$203,"Đúng hạn")+COUNTIFS(PO!$D$4:$D$203,$A91,PO!$S$4:$S$203,"Giao trễ")+COUNTIFS(PO!$D$4:$D$203,$A91,PO!$S$4:$S$203,"Trễ hạn"))</f>
        <v/>
      </c>
      <c r="Q91" s="38" t="str">
        <f aca="false">IF($A91="","",COUNTIFS(PO!$D$4:$D$203,$A91,PO!$S$4:$S$203,"Đúng hạn"))</f>
        <v/>
      </c>
      <c r="R91" s="39" t="str">
        <f aca="false">IF($A91="","",IFERROR($Q91/$P91,""))</f>
        <v/>
      </c>
      <c r="S91" s="38" t="str">
        <f aca="false">IF($A91="","",SUMIFS('Thanh toán'!$H$4:$H$203,'Thanh toán'!$D$4:$D$203,$A91))</f>
        <v/>
      </c>
      <c r="T91" s="38" t="str">
        <f aca="false">IF($A91="","",SUMIFS('Công nợ'!$I$4:$I$203,'Công nợ'!$B$4:$B$203,$A91))</f>
        <v/>
      </c>
      <c r="U91" s="38" t="str">
        <f aca="false">IF($A91="","",SUMIFS('Công nợ'!$I$4:$I$203,'Công nợ'!$B$4:$B$203,$A91,'Công nợ'!$K$4:$K$203,"&gt;0"))</f>
        <v/>
      </c>
    </row>
    <row r="92" customFormat="false" ht="15" hidden="false" customHeight="false" outlineLevel="0" collapsed="false">
      <c r="A92" s="37" t="str">
        <f aca="false">IF('Dự án'!$A92="","",'Dự án'!$A92)</f>
        <v/>
      </c>
      <c r="B92" s="37" t="str">
        <f aca="false">IF($A92="","",'Dự án'!$B92)</f>
        <v/>
      </c>
      <c r="C92" s="37" t="str">
        <f aca="false">IF($A92="","",'Dự án'!$C92)</f>
        <v/>
      </c>
      <c r="D92" s="37" t="str">
        <f aca="false">IF($A92="","",'Dự án'!$H92)</f>
        <v/>
      </c>
      <c r="E92" s="38" t="str">
        <f aca="false">IF($A92="","",'Dự án'!$G92)</f>
        <v/>
      </c>
      <c r="F92" s="38" t="str">
        <f aca="false">IF($A92="","",COUNTIFS('Check giá'!$C$4:$C$203,$A92))</f>
        <v/>
      </c>
      <c r="G92" s="38" t="str">
        <f aca="false">IF($A92="","",COUNTIFS('Check giá'!$C$4:$C$203,$A92,'Check giá'!$O$4:$O$203,"Đang xử lý")+COUNTIFS('Check giá'!$C$4:$C$203,$A92,'Check giá'!$O$4:$O$203,"Quá hạn chưa trả"))</f>
        <v/>
      </c>
      <c r="H92" s="38" t="str">
        <f aca="false">IF($A92="","",SUMIFS('Check giá'!$J$4:$J$203,'Check giá'!$C$4:$C$203,$A92))</f>
        <v/>
      </c>
      <c r="I92" s="38" t="str">
        <f aca="false">IF($A92="","",COUNTIFS(PR!$D$4:$D$203,$A92))</f>
        <v/>
      </c>
      <c r="J92" s="38" t="str">
        <f aca="false">IF($A92="","",SUMIFS(PR!$L$4:$L$203,PR!$D$4:$D$203,$A92))</f>
        <v/>
      </c>
      <c r="K92" s="38" t="str">
        <f aca="false">IF($A92="","",COUNTIFS(PO!$D$4:$D$203,$A92))</f>
        <v/>
      </c>
      <c r="L92" s="38" t="str">
        <f aca="false">IF($A92="","",SUMIFS(PO!$L$4:$L$203,PO!$D$4:$D$203,$A92))</f>
        <v/>
      </c>
      <c r="M92" s="38" t="str">
        <f aca="false">IF($A92="","",SUMIFS(PO!$N$4:$N$203,PO!$D$4:$D$203,$A92))</f>
        <v/>
      </c>
      <c r="N92" s="39" t="str">
        <f aca="false">IF($A92="","",IFERROR($L92/$E92,""))</f>
        <v/>
      </c>
      <c r="O92" s="38" t="str">
        <f aca="false">IF($A92="","",IFERROR($E92-$L92,""))</f>
        <v/>
      </c>
      <c r="P92" s="38" t="str">
        <f aca="false">IF($A92="","",COUNTIFS(PO!$D$4:$D$203,$A92,PO!$S$4:$S$203,"Đúng hạn")+COUNTIFS(PO!$D$4:$D$203,$A92,PO!$S$4:$S$203,"Giao trễ")+COUNTIFS(PO!$D$4:$D$203,$A92,PO!$S$4:$S$203,"Trễ hạn"))</f>
        <v/>
      </c>
      <c r="Q92" s="38" t="str">
        <f aca="false">IF($A92="","",COUNTIFS(PO!$D$4:$D$203,$A92,PO!$S$4:$S$203,"Đúng hạn"))</f>
        <v/>
      </c>
      <c r="R92" s="39" t="str">
        <f aca="false">IF($A92="","",IFERROR($Q92/$P92,""))</f>
        <v/>
      </c>
      <c r="S92" s="38" t="str">
        <f aca="false">IF($A92="","",SUMIFS('Thanh toán'!$H$4:$H$203,'Thanh toán'!$D$4:$D$203,$A92))</f>
        <v/>
      </c>
      <c r="T92" s="38" t="str">
        <f aca="false">IF($A92="","",SUMIFS('Công nợ'!$I$4:$I$203,'Công nợ'!$B$4:$B$203,$A92))</f>
        <v/>
      </c>
      <c r="U92" s="38" t="str">
        <f aca="false">IF($A92="","",SUMIFS('Công nợ'!$I$4:$I$203,'Công nợ'!$B$4:$B$203,$A92,'Công nợ'!$K$4:$K$203,"&gt;0"))</f>
        <v/>
      </c>
    </row>
    <row r="93" customFormat="false" ht="15" hidden="false" customHeight="false" outlineLevel="0" collapsed="false">
      <c r="A93" s="37" t="str">
        <f aca="false">IF('Dự án'!$A93="","",'Dự án'!$A93)</f>
        <v/>
      </c>
      <c r="B93" s="37" t="str">
        <f aca="false">IF($A93="","",'Dự án'!$B93)</f>
        <v/>
      </c>
      <c r="C93" s="37" t="str">
        <f aca="false">IF($A93="","",'Dự án'!$C93)</f>
        <v/>
      </c>
      <c r="D93" s="37" t="str">
        <f aca="false">IF($A93="","",'Dự án'!$H93)</f>
        <v/>
      </c>
      <c r="E93" s="38" t="str">
        <f aca="false">IF($A93="","",'Dự án'!$G93)</f>
        <v/>
      </c>
      <c r="F93" s="38" t="str">
        <f aca="false">IF($A93="","",COUNTIFS('Check giá'!$C$4:$C$203,$A93))</f>
        <v/>
      </c>
      <c r="G93" s="38" t="str">
        <f aca="false">IF($A93="","",COUNTIFS('Check giá'!$C$4:$C$203,$A93,'Check giá'!$O$4:$O$203,"Đang xử lý")+COUNTIFS('Check giá'!$C$4:$C$203,$A93,'Check giá'!$O$4:$O$203,"Quá hạn chưa trả"))</f>
        <v/>
      </c>
      <c r="H93" s="38" t="str">
        <f aca="false">IF($A93="","",SUMIFS('Check giá'!$J$4:$J$203,'Check giá'!$C$4:$C$203,$A93))</f>
        <v/>
      </c>
      <c r="I93" s="38" t="str">
        <f aca="false">IF($A93="","",COUNTIFS(PR!$D$4:$D$203,$A93))</f>
        <v/>
      </c>
      <c r="J93" s="38" t="str">
        <f aca="false">IF($A93="","",SUMIFS(PR!$L$4:$L$203,PR!$D$4:$D$203,$A93))</f>
        <v/>
      </c>
      <c r="K93" s="38" t="str">
        <f aca="false">IF($A93="","",COUNTIFS(PO!$D$4:$D$203,$A93))</f>
        <v/>
      </c>
      <c r="L93" s="38" t="str">
        <f aca="false">IF($A93="","",SUMIFS(PO!$L$4:$L$203,PO!$D$4:$D$203,$A93))</f>
        <v/>
      </c>
      <c r="M93" s="38" t="str">
        <f aca="false">IF($A93="","",SUMIFS(PO!$N$4:$N$203,PO!$D$4:$D$203,$A93))</f>
        <v/>
      </c>
      <c r="N93" s="39" t="str">
        <f aca="false">IF($A93="","",IFERROR($L93/$E93,""))</f>
        <v/>
      </c>
      <c r="O93" s="38" t="str">
        <f aca="false">IF($A93="","",IFERROR($E93-$L93,""))</f>
        <v/>
      </c>
      <c r="P93" s="38" t="str">
        <f aca="false">IF($A93="","",COUNTIFS(PO!$D$4:$D$203,$A93,PO!$S$4:$S$203,"Đúng hạn")+COUNTIFS(PO!$D$4:$D$203,$A93,PO!$S$4:$S$203,"Giao trễ")+COUNTIFS(PO!$D$4:$D$203,$A93,PO!$S$4:$S$203,"Trễ hạn"))</f>
        <v/>
      </c>
      <c r="Q93" s="38" t="str">
        <f aca="false">IF($A93="","",COUNTIFS(PO!$D$4:$D$203,$A93,PO!$S$4:$S$203,"Đúng hạn"))</f>
        <v/>
      </c>
      <c r="R93" s="39" t="str">
        <f aca="false">IF($A93="","",IFERROR($Q93/$P93,""))</f>
        <v/>
      </c>
      <c r="S93" s="38" t="str">
        <f aca="false">IF($A93="","",SUMIFS('Thanh toán'!$H$4:$H$203,'Thanh toán'!$D$4:$D$203,$A93))</f>
        <v/>
      </c>
      <c r="T93" s="38" t="str">
        <f aca="false">IF($A93="","",SUMIFS('Công nợ'!$I$4:$I$203,'Công nợ'!$B$4:$B$203,$A93))</f>
        <v/>
      </c>
      <c r="U93" s="38" t="str">
        <f aca="false">IF($A93="","",SUMIFS('Công nợ'!$I$4:$I$203,'Công nợ'!$B$4:$B$203,$A93,'Công nợ'!$K$4:$K$203,"&gt;0"))</f>
        <v/>
      </c>
    </row>
    <row r="94" customFormat="false" ht="15" hidden="false" customHeight="false" outlineLevel="0" collapsed="false">
      <c r="A94" s="37" t="str">
        <f aca="false">IF('Dự án'!$A94="","",'Dự án'!$A94)</f>
        <v/>
      </c>
      <c r="B94" s="37" t="str">
        <f aca="false">IF($A94="","",'Dự án'!$B94)</f>
        <v/>
      </c>
      <c r="C94" s="37" t="str">
        <f aca="false">IF($A94="","",'Dự án'!$C94)</f>
        <v/>
      </c>
      <c r="D94" s="37" t="str">
        <f aca="false">IF($A94="","",'Dự án'!$H94)</f>
        <v/>
      </c>
      <c r="E94" s="38" t="str">
        <f aca="false">IF($A94="","",'Dự án'!$G94)</f>
        <v/>
      </c>
      <c r="F94" s="38" t="str">
        <f aca="false">IF($A94="","",COUNTIFS('Check giá'!$C$4:$C$203,$A94))</f>
        <v/>
      </c>
      <c r="G94" s="38" t="str">
        <f aca="false">IF($A94="","",COUNTIFS('Check giá'!$C$4:$C$203,$A94,'Check giá'!$O$4:$O$203,"Đang xử lý")+COUNTIFS('Check giá'!$C$4:$C$203,$A94,'Check giá'!$O$4:$O$203,"Quá hạn chưa trả"))</f>
        <v/>
      </c>
      <c r="H94" s="38" t="str">
        <f aca="false">IF($A94="","",SUMIFS('Check giá'!$J$4:$J$203,'Check giá'!$C$4:$C$203,$A94))</f>
        <v/>
      </c>
      <c r="I94" s="38" t="str">
        <f aca="false">IF($A94="","",COUNTIFS(PR!$D$4:$D$203,$A94))</f>
        <v/>
      </c>
      <c r="J94" s="38" t="str">
        <f aca="false">IF($A94="","",SUMIFS(PR!$L$4:$L$203,PR!$D$4:$D$203,$A94))</f>
        <v/>
      </c>
      <c r="K94" s="38" t="str">
        <f aca="false">IF($A94="","",COUNTIFS(PO!$D$4:$D$203,$A94))</f>
        <v/>
      </c>
      <c r="L94" s="38" t="str">
        <f aca="false">IF($A94="","",SUMIFS(PO!$L$4:$L$203,PO!$D$4:$D$203,$A94))</f>
        <v/>
      </c>
      <c r="M94" s="38" t="str">
        <f aca="false">IF($A94="","",SUMIFS(PO!$N$4:$N$203,PO!$D$4:$D$203,$A94))</f>
        <v/>
      </c>
      <c r="N94" s="39" t="str">
        <f aca="false">IF($A94="","",IFERROR($L94/$E94,""))</f>
        <v/>
      </c>
      <c r="O94" s="38" t="str">
        <f aca="false">IF($A94="","",IFERROR($E94-$L94,""))</f>
        <v/>
      </c>
      <c r="P94" s="38" t="str">
        <f aca="false">IF($A94="","",COUNTIFS(PO!$D$4:$D$203,$A94,PO!$S$4:$S$203,"Đúng hạn")+COUNTIFS(PO!$D$4:$D$203,$A94,PO!$S$4:$S$203,"Giao trễ")+COUNTIFS(PO!$D$4:$D$203,$A94,PO!$S$4:$S$203,"Trễ hạn"))</f>
        <v/>
      </c>
      <c r="Q94" s="38" t="str">
        <f aca="false">IF($A94="","",COUNTIFS(PO!$D$4:$D$203,$A94,PO!$S$4:$S$203,"Đúng hạn"))</f>
        <v/>
      </c>
      <c r="R94" s="39" t="str">
        <f aca="false">IF($A94="","",IFERROR($Q94/$P94,""))</f>
        <v/>
      </c>
      <c r="S94" s="38" t="str">
        <f aca="false">IF($A94="","",SUMIFS('Thanh toán'!$H$4:$H$203,'Thanh toán'!$D$4:$D$203,$A94))</f>
        <v/>
      </c>
      <c r="T94" s="38" t="str">
        <f aca="false">IF($A94="","",SUMIFS('Công nợ'!$I$4:$I$203,'Công nợ'!$B$4:$B$203,$A94))</f>
        <v/>
      </c>
      <c r="U94" s="38" t="str">
        <f aca="false">IF($A94="","",SUMIFS('Công nợ'!$I$4:$I$203,'Công nợ'!$B$4:$B$203,$A94,'Công nợ'!$K$4:$K$203,"&gt;0"))</f>
        <v/>
      </c>
    </row>
    <row r="95" customFormat="false" ht="15" hidden="false" customHeight="false" outlineLevel="0" collapsed="false">
      <c r="A95" s="37" t="str">
        <f aca="false">IF('Dự án'!$A95="","",'Dự án'!$A95)</f>
        <v/>
      </c>
      <c r="B95" s="37" t="str">
        <f aca="false">IF($A95="","",'Dự án'!$B95)</f>
        <v/>
      </c>
      <c r="C95" s="37" t="str">
        <f aca="false">IF($A95="","",'Dự án'!$C95)</f>
        <v/>
      </c>
      <c r="D95" s="37" t="str">
        <f aca="false">IF($A95="","",'Dự án'!$H95)</f>
        <v/>
      </c>
      <c r="E95" s="38" t="str">
        <f aca="false">IF($A95="","",'Dự án'!$G95)</f>
        <v/>
      </c>
      <c r="F95" s="38" t="str">
        <f aca="false">IF($A95="","",COUNTIFS('Check giá'!$C$4:$C$203,$A95))</f>
        <v/>
      </c>
      <c r="G95" s="38" t="str">
        <f aca="false">IF($A95="","",COUNTIFS('Check giá'!$C$4:$C$203,$A95,'Check giá'!$O$4:$O$203,"Đang xử lý")+COUNTIFS('Check giá'!$C$4:$C$203,$A95,'Check giá'!$O$4:$O$203,"Quá hạn chưa trả"))</f>
        <v/>
      </c>
      <c r="H95" s="38" t="str">
        <f aca="false">IF($A95="","",SUMIFS('Check giá'!$J$4:$J$203,'Check giá'!$C$4:$C$203,$A95))</f>
        <v/>
      </c>
      <c r="I95" s="38" t="str">
        <f aca="false">IF($A95="","",COUNTIFS(PR!$D$4:$D$203,$A95))</f>
        <v/>
      </c>
      <c r="J95" s="38" t="str">
        <f aca="false">IF($A95="","",SUMIFS(PR!$L$4:$L$203,PR!$D$4:$D$203,$A95))</f>
        <v/>
      </c>
      <c r="K95" s="38" t="str">
        <f aca="false">IF($A95="","",COUNTIFS(PO!$D$4:$D$203,$A95))</f>
        <v/>
      </c>
      <c r="L95" s="38" t="str">
        <f aca="false">IF($A95="","",SUMIFS(PO!$L$4:$L$203,PO!$D$4:$D$203,$A95))</f>
        <v/>
      </c>
      <c r="M95" s="38" t="str">
        <f aca="false">IF($A95="","",SUMIFS(PO!$N$4:$N$203,PO!$D$4:$D$203,$A95))</f>
        <v/>
      </c>
      <c r="N95" s="39" t="str">
        <f aca="false">IF($A95="","",IFERROR($L95/$E95,""))</f>
        <v/>
      </c>
      <c r="O95" s="38" t="str">
        <f aca="false">IF($A95="","",IFERROR($E95-$L95,""))</f>
        <v/>
      </c>
      <c r="P95" s="38" t="str">
        <f aca="false">IF($A95="","",COUNTIFS(PO!$D$4:$D$203,$A95,PO!$S$4:$S$203,"Đúng hạn")+COUNTIFS(PO!$D$4:$D$203,$A95,PO!$S$4:$S$203,"Giao trễ")+COUNTIFS(PO!$D$4:$D$203,$A95,PO!$S$4:$S$203,"Trễ hạn"))</f>
        <v/>
      </c>
      <c r="Q95" s="38" t="str">
        <f aca="false">IF($A95="","",COUNTIFS(PO!$D$4:$D$203,$A95,PO!$S$4:$S$203,"Đúng hạn"))</f>
        <v/>
      </c>
      <c r="R95" s="39" t="str">
        <f aca="false">IF($A95="","",IFERROR($Q95/$P95,""))</f>
        <v/>
      </c>
      <c r="S95" s="38" t="str">
        <f aca="false">IF($A95="","",SUMIFS('Thanh toán'!$H$4:$H$203,'Thanh toán'!$D$4:$D$203,$A95))</f>
        <v/>
      </c>
      <c r="T95" s="38" t="str">
        <f aca="false">IF($A95="","",SUMIFS('Công nợ'!$I$4:$I$203,'Công nợ'!$B$4:$B$203,$A95))</f>
        <v/>
      </c>
      <c r="U95" s="38" t="str">
        <f aca="false">IF($A95="","",SUMIFS('Công nợ'!$I$4:$I$203,'Công nợ'!$B$4:$B$203,$A95,'Công nợ'!$K$4:$K$203,"&gt;0"))</f>
        <v/>
      </c>
    </row>
    <row r="96" customFormat="false" ht="15" hidden="false" customHeight="false" outlineLevel="0" collapsed="false">
      <c r="A96" s="37" t="str">
        <f aca="false">IF('Dự án'!$A96="","",'Dự án'!$A96)</f>
        <v/>
      </c>
      <c r="B96" s="37" t="str">
        <f aca="false">IF($A96="","",'Dự án'!$B96)</f>
        <v/>
      </c>
      <c r="C96" s="37" t="str">
        <f aca="false">IF($A96="","",'Dự án'!$C96)</f>
        <v/>
      </c>
      <c r="D96" s="37" t="str">
        <f aca="false">IF($A96="","",'Dự án'!$H96)</f>
        <v/>
      </c>
      <c r="E96" s="38" t="str">
        <f aca="false">IF($A96="","",'Dự án'!$G96)</f>
        <v/>
      </c>
      <c r="F96" s="38" t="str">
        <f aca="false">IF($A96="","",COUNTIFS('Check giá'!$C$4:$C$203,$A96))</f>
        <v/>
      </c>
      <c r="G96" s="38" t="str">
        <f aca="false">IF($A96="","",COUNTIFS('Check giá'!$C$4:$C$203,$A96,'Check giá'!$O$4:$O$203,"Đang xử lý")+COUNTIFS('Check giá'!$C$4:$C$203,$A96,'Check giá'!$O$4:$O$203,"Quá hạn chưa trả"))</f>
        <v/>
      </c>
      <c r="H96" s="38" t="str">
        <f aca="false">IF($A96="","",SUMIFS('Check giá'!$J$4:$J$203,'Check giá'!$C$4:$C$203,$A96))</f>
        <v/>
      </c>
      <c r="I96" s="38" t="str">
        <f aca="false">IF($A96="","",COUNTIFS(PR!$D$4:$D$203,$A96))</f>
        <v/>
      </c>
      <c r="J96" s="38" t="str">
        <f aca="false">IF($A96="","",SUMIFS(PR!$L$4:$L$203,PR!$D$4:$D$203,$A96))</f>
        <v/>
      </c>
      <c r="K96" s="38" t="str">
        <f aca="false">IF($A96="","",COUNTIFS(PO!$D$4:$D$203,$A96))</f>
        <v/>
      </c>
      <c r="L96" s="38" t="str">
        <f aca="false">IF($A96="","",SUMIFS(PO!$L$4:$L$203,PO!$D$4:$D$203,$A96))</f>
        <v/>
      </c>
      <c r="M96" s="38" t="str">
        <f aca="false">IF($A96="","",SUMIFS(PO!$N$4:$N$203,PO!$D$4:$D$203,$A96))</f>
        <v/>
      </c>
      <c r="N96" s="39" t="str">
        <f aca="false">IF($A96="","",IFERROR($L96/$E96,""))</f>
        <v/>
      </c>
      <c r="O96" s="38" t="str">
        <f aca="false">IF($A96="","",IFERROR($E96-$L96,""))</f>
        <v/>
      </c>
      <c r="P96" s="38" t="str">
        <f aca="false">IF($A96="","",COUNTIFS(PO!$D$4:$D$203,$A96,PO!$S$4:$S$203,"Đúng hạn")+COUNTIFS(PO!$D$4:$D$203,$A96,PO!$S$4:$S$203,"Giao trễ")+COUNTIFS(PO!$D$4:$D$203,$A96,PO!$S$4:$S$203,"Trễ hạn"))</f>
        <v/>
      </c>
      <c r="Q96" s="38" t="str">
        <f aca="false">IF($A96="","",COUNTIFS(PO!$D$4:$D$203,$A96,PO!$S$4:$S$203,"Đúng hạn"))</f>
        <v/>
      </c>
      <c r="R96" s="39" t="str">
        <f aca="false">IF($A96="","",IFERROR($Q96/$P96,""))</f>
        <v/>
      </c>
      <c r="S96" s="38" t="str">
        <f aca="false">IF($A96="","",SUMIFS('Thanh toán'!$H$4:$H$203,'Thanh toán'!$D$4:$D$203,$A96))</f>
        <v/>
      </c>
      <c r="T96" s="38" t="str">
        <f aca="false">IF($A96="","",SUMIFS('Công nợ'!$I$4:$I$203,'Công nợ'!$B$4:$B$203,$A96))</f>
        <v/>
      </c>
      <c r="U96" s="38" t="str">
        <f aca="false">IF($A96="","",SUMIFS('Công nợ'!$I$4:$I$203,'Công nợ'!$B$4:$B$203,$A96,'Công nợ'!$K$4:$K$203,"&gt;0"))</f>
        <v/>
      </c>
    </row>
    <row r="97" customFormat="false" ht="15" hidden="false" customHeight="false" outlineLevel="0" collapsed="false">
      <c r="A97" s="37" t="str">
        <f aca="false">IF('Dự án'!$A97="","",'Dự án'!$A97)</f>
        <v/>
      </c>
      <c r="B97" s="37" t="str">
        <f aca="false">IF($A97="","",'Dự án'!$B97)</f>
        <v/>
      </c>
      <c r="C97" s="37" t="str">
        <f aca="false">IF($A97="","",'Dự án'!$C97)</f>
        <v/>
      </c>
      <c r="D97" s="37" t="str">
        <f aca="false">IF($A97="","",'Dự án'!$H97)</f>
        <v/>
      </c>
      <c r="E97" s="38" t="str">
        <f aca="false">IF($A97="","",'Dự án'!$G97)</f>
        <v/>
      </c>
      <c r="F97" s="38" t="str">
        <f aca="false">IF($A97="","",COUNTIFS('Check giá'!$C$4:$C$203,$A97))</f>
        <v/>
      </c>
      <c r="G97" s="38" t="str">
        <f aca="false">IF($A97="","",COUNTIFS('Check giá'!$C$4:$C$203,$A97,'Check giá'!$O$4:$O$203,"Đang xử lý")+COUNTIFS('Check giá'!$C$4:$C$203,$A97,'Check giá'!$O$4:$O$203,"Quá hạn chưa trả"))</f>
        <v/>
      </c>
      <c r="H97" s="38" t="str">
        <f aca="false">IF($A97="","",SUMIFS('Check giá'!$J$4:$J$203,'Check giá'!$C$4:$C$203,$A97))</f>
        <v/>
      </c>
      <c r="I97" s="38" t="str">
        <f aca="false">IF($A97="","",COUNTIFS(PR!$D$4:$D$203,$A97))</f>
        <v/>
      </c>
      <c r="J97" s="38" t="str">
        <f aca="false">IF($A97="","",SUMIFS(PR!$L$4:$L$203,PR!$D$4:$D$203,$A97))</f>
        <v/>
      </c>
      <c r="K97" s="38" t="str">
        <f aca="false">IF($A97="","",COUNTIFS(PO!$D$4:$D$203,$A97))</f>
        <v/>
      </c>
      <c r="L97" s="38" t="str">
        <f aca="false">IF($A97="","",SUMIFS(PO!$L$4:$L$203,PO!$D$4:$D$203,$A97))</f>
        <v/>
      </c>
      <c r="M97" s="38" t="str">
        <f aca="false">IF($A97="","",SUMIFS(PO!$N$4:$N$203,PO!$D$4:$D$203,$A97))</f>
        <v/>
      </c>
      <c r="N97" s="39" t="str">
        <f aca="false">IF($A97="","",IFERROR($L97/$E97,""))</f>
        <v/>
      </c>
      <c r="O97" s="38" t="str">
        <f aca="false">IF($A97="","",IFERROR($E97-$L97,""))</f>
        <v/>
      </c>
      <c r="P97" s="38" t="str">
        <f aca="false">IF($A97="","",COUNTIFS(PO!$D$4:$D$203,$A97,PO!$S$4:$S$203,"Đúng hạn")+COUNTIFS(PO!$D$4:$D$203,$A97,PO!$S$4:$S$203,"Giao trễ")+COUNTIFS(PO!$D$4:$D$203,$A97,PO!$S$4:$S$203,"Trễ hạn"))</f>
        <v/>
      </c>
      <c r="Q97" s="38" t="str">
        <f aca="false">IF($A97="","",COUNTIFS(PO!$D$4:$D$203,$A97,PO!$S$4:$S$203,"Đúng hạn"))</f>
        <v/>
      </c>
      <c r="R97" s="39" t="str">
        <f aca="false">IF($A97="","",IFERROR($Q97/$P97,""))</f>
        <v/>
      </c>
      <c r="S97" s="38" t="str">
        <f aca="false">IF($A97="","",SUMIFS('Thanh toán'!$H$4:$H$203,'Thanh toán'!$D$4:$D$203,$A97))</f>
        <v/>
      </c>
      <c r="T97" s="38" t="str">
        <f aca="false">IF($A97="","",SUMIFS('Công nợ'!$I$4:$I$203,'Công nợ'!$B$4:$B$203,$A97))</f>
        <v/>
      </c>
      <c r="U97" s="38" t="str">
        <f aca="false">IF($A97="","",SUMIFS('Công nợ'!$I$4:$I$203,'Công nợ'!$B$4:$B$203,$A97,'Công nợ'!$K$4:$K$203,"&gt;0"))</f>
        <v/>
      </c>
    </row>
    <row r="98" customFormat="false" ht="15" hidden="false" customHeight="false" outlineLevel="0" collapsed="false">
      <c r="A98" s="37" t="str">
        <f aca="false">IF('Dự án'!$A98="","",'Dự án'!$A98)</f>
        <v/>
      </c>
      <c r="B98" s="37" t="str">
        <f aca="false">IF($A98="","",'Dự án'!$B98)</f>
        <v/>
      </c>
      <c r="C98" s="37" t="str">
        <f aca="false">IF($A98="","",'Dự án'!$C98)</f>
        <v/>
      </c>
      <c r="D98" s="37" t="str">
        <f aca="false">IF($A98="","",'Dự án'!$H98)</f>
        <v/>
      </c>
      <c r="E98" s="38" t="str">
        <f aca="false">IF($A98="","",'Dự án'!$G98)</f>
        <v/>
      </c>
      <c r="F98" s="38" t="str">
        <f aca="false">IF($A98="","",COUNTIFS('Check giá'!$C$4:$C$203,$A98))</f>
        <v/>
      </c>
      <c r="G98" s="38" t="str">
        <f aca="false">IF($A98="","",COUNTIFS('Check giá'!$C$4:$C$203,$A98,'Check giá'!$O$4:$O$203,"Đang xử lý")+COUNTIFS('Check giá'!$C$4:$C$203,$A98,'Check giá'!$O$4:$O$203,"Quá hạn chưa trả"))</f>
        <v/>
      </c>
      <c r="H98" s="38" t="str">
        <f aca="false">IF($A98="","",SUMIFS('Check giá'!$J$4:$J$203,'Check giá'!$C$4:$C$203,$A98))</f>
        <v/>
      </c>
      <c r="I98" s="38" t="str">
        <f aca="false">IF($A98="","",COUNTIFS(PR!$D$4:$D$203,$A98))</f>
        <v/>
      </c>
      <c r="J98" s="38" t="str">
        <f aca="false">IF($A98="","",SUMIFS(PR!$L$4:$L$203,PR!$D$4:$D$203,$A98))</f>
        <v/>
      </c>
      <c r="K98" s="38" t="str">
        <f aca="false">IF($A98="","",COUNTIFS(PO!$D$4:$D$203,$A98))</f>
        <v/>
      </c>
      <c r="L98" s="38" t="str">
        <f aca="false">IF($A98="","",SUMIFS(PO!$L$4:$L$203,PO!$D$4:$D$203,$A98))</f>
        <v/>
      </c>
      <c r="M98" s="38" t="str">
        <f aca="false">IF($A98="","",SUMIFS(PO!$N$4:$N$203,PO!$D$4:$D$203,$A98))</f>
        <v/>
      </c>
      <c r="N98" s="39" t="str">
        <f aca="false">IF($A98="","",IFERROR($L98/$E98,""))</f>
        <v/>
      </c>
      <c r="O98" s="38" t="str">
        <f aca="false">IF($A98="","",IFERROR($E98-$L98,""))</f>
        <v/>
      </c>
      <c r="P98" s="38" t="str">
        <f aca="false">IF($A98="","",COUNTIFS(PO!$D$4:$D$203,$A98,PO!$S$4:$S$203,"Đúng hạn")+COUNTIFS(PO!$D$4:$D$203,$A98,PO!$S$4:$S$203,"Giao trễ")+COUNTIFS(PO!$D$4:$D$203,$A98,PO!$S$4:$S$203,"Trễ hạn"))</f>
        <v/>
      </c>
      <c r="Q98" s="38" t="str">
        <f aca="false">IF($A98="","",COUNTIFS(PO!$D$4:$D$203,$A98,PO!$S$4:$S$203,"Đúng hạn"))</f>
        <v/>
      </c>
      <c r="R98" s="39" t="str">
        <f aca="false">IF($A98="","",IFERROR($Q98/$P98,""))</f>
        <v/>
      </c>
      <c r="S98" s="38" t="str">
        <f aca="false">IF($A98="","",SUMIFS('Thanh toán'!$H$4:$H$203,'Thanh toán'!$D$4:$D$203,$A98))</f>
        <v/>
      </c>
      <c r="T98" s="38" t="str">
        <f aca="false">IF($A98="","",SUMIFS('Công nợ'!$I$4:$I$203,'Công nợ'!$B$4:$B$203,$A98))</f>
        <v/>
      </c>
      <c r="U98" s="38" t="str">
        <f aca="false">IF($A98="","",SUMIFS('Công nợ'!$I$4:$I$203,'Công nợ'!$B$4:$B$203,$A98,'Công nợ'!$K$4:$K$203,"&gt;0"))</f>
        <v/>
      </c>
    </row>
    <row r="99" customFormat="false" ht="15" hidden="false" customHeight="false" outlineLevel="0" collapsed="false">
      <c r="A99" s="37" t="str">
        <f aca="false">IF('Dự án'!$A99="","",'Dự án'!$A99)</f>
        <v/>
      </c>
      <c r="B99" s="37" t="str">
        <f aca="false">IF($A99="","",'Dự án'!$B99)</f>
        <v/>
      </c>
      <c r="C99" s="37" t="str">
        <f aca="false">IF($A99="","",'Dự án'!$C99)</f>
        <v/>
      </c>
      <c r="D99" s="37" t="str">
        <f aca="false">IF($A99="","",'Dự án'!$H99)</f>
        <v/>
      </c>
      <c r="E99" s="38" t="str">
        <f aca="false">IF($A99="","",'Dự án'!$G99)</f>
        <v/>
      </c>
      <c r="F99" s="38" t="str">
        <f aca="false">IF($A99="","",COUNTIFS('Check giá'!$C$4:$C$203,$A99))</f>
        <v/>
      </c>
      <c r="G99" s="38" t="str">
        <f aca="false">IF($A99="","",COUNTIFS('Check giá'!$C$4:$C$203,$A99,'Check giá'!$O$4:$O$203,"Đang xử lý")+COUNTIFS('Check giá'!$C$4:$C$203,$A99,'Check giá'!$O$4:$O$203,"Quá hạn chưa trả"))</f>
        <v/>
      </c>
      <c r="H99" s="38" t="str">
        <f aca="false">IF($A99="","",SUMIFS('Check giá'!$J$4:$J$203,'Check giá'!$C$4:$C$203,$A99))</f>
        <v/>
      </c>
      <c r="I99" s="38" t="str">
        <f aca="false">IF($A99="","",COUNTIFS(PR!$D$4:$D$203,$A99))</f>
        <v/>
      </c>
      <c r="J99" s="38" t="str">
        <f aca="false">IF($A99="","",SUMIFS(PR!$L$4:$L$203,PR!$D$4:$D$203,$A99))</f>
        <v/>
      </c>
      <c r="K99" s="38" t="str">
        <f aca="false">IF($A99="","",COUNTIFS(PO!$D$4:$D$203,$A99))</f>
        <v/>
      </c>
      <c r="L99" s="38" t="str">
        <f aca="false">IF($A99="","",SUMIFS(PO!$L$4:$L$203,PO!$D$4:$D$203,$A99))</f>
        <v/>
      </c>
      <c r="M99" s="38" t="str">
        <f aca="false">IF($A99="","",SUMIFS(PO!$N$4:$N$203,PO!$D$4:$D$203,$A99))</f>
        <v/>
      </c>
      <c r="N99" s="39" t="str">
        <f aca="false">IF($A99="","",IFERROR($L99/$E99,""))</f>
        <v/>
      </c>
      <c r="O99" s="38" t="str">
        <f aca="false">IF($A99="","",IFERROR($E99-$L99,""))</f>
        <v/>
      </c>
      <c r="P99" s="38" t="str">
        <f aca="false">IF($A99="","",COUNTIFS(PO!$D$4:$D$203,$A99,PO!$S$4:$S$203,"Đúng hạn")+COUNTIFS(PO!$D$4:$D$203,$A99,PO!$S$4:$S$203,"Giao trễ")+COUNTIFS(PO!$D$4:$D$203,$A99,PO!$S$4:$S$203,"Trễ hạn"))</f>
        <v/>
      </c>
      <c r="Q99" s="38" t="str">
        <f aca="false">IF($A99="","",COUNTIFS(PO!$D$4:$D$203,$A99,PO!$S$4:$S$203,"Đúng hạn"))</f>
        <v/>
      </c>
      <c r="R99" s="39" t="str">
        <f aca="false">IF($A99="","",IFERROR($Q99/$P99,""))</f>
        <v/>
      </c>
      <c r="S99" s="38" t="str">
        <f aca="false">IF($A99="","",SUMIFS('Thanh toán'!$H$4:$H$203,'Thanh toán'!$D$4:$D$203,$A99))</f>
        <v/>
      </c>
      <c r="T99" s="38" t="str">
        <f aca="false">IF($A99="","",SUMIFS('Công nợ'!$I$4:$I$203,'Công nợ'!$B$4:$B$203,$A99))</f>
        <v/>
      </c>
      <c r="U99" s="38" t="str">
        <f aca="false">IF($A99="","",SUMIFS('Công nợ'!$I$4:$I$203,'Công nợ'!$B$4:$B$203,$A99,'Công nợ'!$K$4:$K$203,"&gt;0"))</f>
        <v/>
      </c>
    </row>
    <row r="100" customFormat="false" ht="15" hidden="false" customHeight="false" outlineLevel="0" collapsed="false">
      <c r="A100" s="37" t="str">
        <f aca="false">IF('Dự án'!$A100="","",'Dự án'!$A100)</f>
        <v/>
      </c>
      <c r="B100" s="37" t="str">
        <f aca="false">IF($A100="","",'Dự án'!$B100)</f>
        <v/>
      </c>
      <c r="C100" s="37" t="str">
        <f aca="false">IF($A100="","",'Dự án'!$C100)</f>
        <v/>
      </c>
      <c r="D100" s="37" t="str">
        <f aca="false">IF($A100="","",'Dự án'!$H100)</f>
        <v/>
      </c>
      <c r="E100" s="38" t="str">
        <f aca="false">IF($A100="","",'Dự án'!$G100)</f>
        <v/>
      </c>
      <c r="F100" s="38" t="str">
        <f aca="false">IF($A100="","",COUNTIFS('Check giá'!$C$4:$C$203,$A100))</f>
        <v/>
      </c>
      <c r="G100" s="38" t="str">
        <f aca="false">IF($A100="","",COUNTIFS('Check giá'!$C$4:$C$203,$A100,'Check giá'!$O$4:$O$203,"Đang xử lý")+COUNTIFS('Check giá'!$C$4:$C$203,$A100,'Check giá'!$O$4:$O$203,"Quá hạn chưa trả"))</f>
        <v/>
      </c>
      <c r="H100" s="38" t="str">
        <f aca="false">IF($A100="","",SUMIFS('Check giá'!$J$4:$J$203,'Check giá'!$C$4:$C$203,$A100))</f>
        <v/>
      </c>
      <c r="I100" s="38" t="str">
        <f aca="false">IF($A100="","",COUNTIFS(PR!$D$4:$D$203,$A100))</f>
        <v/>
      </c>
      <c r="J100" s="38" t="str">
        <f aca="false">IF($A100="","",SUMIFS(PR!$L$4:$L$203,PR!$D$4:$D$203,$A100))</f>
        <v/>
      </c>
      <c r="K100" s="38" t="str">
        <f aca="false">IF($A100="","",COUNTIFS(PO!$D$4:$D$203,$A100))</f>
        <v/>
      </c>
      <c r="L100" s="38" t="str">
        <f aca="false">IF($A100="","",SUMIFS(PO!$L$4:$L$203,PO!$D$4:$D$203,$A100))</f>
        <v/>
      </c>
      <c r="M100" s="38" t="str">
        <f aca="false">IF($A100="","",SUMIFS(PO!$N$4:$N$203,PO!$D$4:$D$203,$A100))</f>
        <v/>
      </c>
      <c r="N100" s="39" t="str">
        <f aca="false">IF($A100="","",IFERROR($L100/$E100,""))</f>
        <v/>
      </c>
      <c r="O100" s="38" t="str">
        <f aca="false">IF($A100="","",IFERROR($E100-$L100,""))</f>
        <v/>
      </c>
      <c r="P100" s="38" t="str">
        <f aca="false">IF($A100="","",COUNTIFS(PO!$D$4:$D$203,$A100,PO!$S$4:$S$203,"Đúng hạn")+COUNTIFS(PO!$D$4:$D$203,$A100,PO!$S$4:$S$203,"Giao trễ")+COUNTIFS(PO!$D$4:$D$203,$A100,PO!$S$4:$S$203,"Trễ hạn"))</f>
        <v/>
      </c>
      <c r="Q100" s="38" t="str">
        <f aca="false">IF($A100="","",COUNTIFS(PO!$D$4:$D$203,$A100,PO!$S$4:$S$203,"Đúng hạn"))</f>
        <v/>
      </c>
      <c r="R100" s="39" t="str">
        <f aca="false">IF($A100="","",IFERROR($Q100/$P100,""))</f>
        <v/>
      </c>
      <c r="S100" s="38" t="str">
        <f aca="false">IF($A100="","",SUMIFS('Thanh toán'!$H$4:$H$203,'Thanh toán'!$D$4:$D$203,$A100))</f>
        <v/>
      </c>
      <c r="T100" s="38" t="str">
        <f aca="false">IF($A100="","",SUMIFS('Công nợ'!$I$4:$I$203,'Công nợ'!$B$4:$B$203,$A100))</f>
        <v/>
      </c>
      <c r="U100" s="38" t="str">
        <f aca="false">IF($A100="","",SUMIFS('Công nợ'!$I$4:$I$203,'Công nợ'!$B$4:$B$203,$A100,'Công nợ'!$K$4:$K$203,"&gt;0"))</f>
        <v/>
      </c>
    </row>
    <row r="101" customFormat="false" ht="15" hidden="false" customHeight="false" outlineLevel="0" collapsed="false">
      <c r="A101" s="37" t="str">
        <f aca="false">IF('Dự án'!$A101="","",'Dự án'!$A101)</f>
        <v/>
      </c>
      <c r="B101" s="37" t="str">
        <f aca="false">IF($A101="","",'Dự án'!$B101)</f>
        <v/>
      </c>
      <c r="C101" s="37" t="str">
        <f aca="false">IF($A101="","",'Dự án'!$C101)</f>
        <v/>
      </c>
      <c r="D101" s="37" t="str">
        <f aca="false">IF($A101="","",'Dự án'!$H101)</f>
        <v/>
      </c>
      <c r="E101" s="38" t="str">
        <f aca="false">IF($A101="","",'Dự án'!$G101)</f>
        <v/>
      </c>
      <c r="F101" s="38" t="str">
        <f aca="false">IF($A101="","",COUNTIFS('Check giá'!$C$4:$C$203,$A101))</f>
        <v/>
      </c>
      <c r="G101" s="38" t="str">
        <f aca="false">IF($A101="","",COUNTIFS('Check giá'!$C$4:$C$203,$A101,'Check giá'!$O$4:$O$203,"Đang xử lý")+COUNTIFS('Check giá'!$C$4:$C$203,$A101,'Check giá'!$O$4:$O$203,"Quá hạn chưa trả"))</f>
        <v/>
      </c>
      <c r="H101" s="38" t="str">
        <f aca="false">IF($A101="","",SUMIFS('Check giá'!$J$4:$J$203,'Check giá'!$C$4:$C$203,$A101))</f>
        <v/>
      </c>
      <c r="I101" s="38" t="str">
        <f aca="false">IF($A101="","",COUNTIFS(PR!$D$4:$D$203,$A101))</f>
        <v/>
      </c>
      <c r="J101" s="38" t="str">
        <f aca="false">IF($A101="","",SUMIFS(PR!$L$4:$L$203,PR!$D$4:$D$203,$A101))</f>
        <v/>
      </c>
      <c r="K101" s="38" t="str">
        <f aca="false">IF($A101="","",COUNTIFS(PO!$D$4:$D$203,$A101))</f>
        <v/>
      </c>
      <c r="L101" s="38" t="str">
        <f aca="false">IF($A101="","",SUMIFS(PO!$L$4:$L$203,PO!$D$4:$D$203,$A101))</f>
        <v/>
      </c>
      <c r="M101" s="38" t="str">
        <f aca="false">IF($A101="","",SUMIFS(PO!$N$4:$N$203,PO!$D$4:$D$203,$A101))</f>
        <v/>
      </c>
      <c r="N101" s="39" t="str">
        <f aca="false">IF($A101="","",IFERROR($L101/$E101,""))</f>
        <v/>
      </c>
      <c r="O101" s="38" t="str">
        <f aca="false">IF($A101="","",IFERROR($E101-$L101,""))</f>
        <v/>
      </c>
      <c r="P101" s="38" t="str">
        <f aca="false">IF($A101="","",COUNTIFS(PO!$D$4:$D$203,$A101,PO!$S$4:$S$203,"Đúng hạn")+COUNTIFS(PO!$D$4:$D$203,$A101,PO!$S$4:$S$203,"Giao trễ")+COUNTIFS(PO!$D$4:$D$203,$A101,PO!$S$4:$S$203,"Trễ hạn"))</f>
        <v/>
      </c>
      <c r="Q101" s="38" t="str">
        <f aca="false">IF($A101="","",COUNTIFS(PO!$D$4:$D$203,$A101,PO!$S$4:$S$203,"Đúng hạn"))</f>
        <v/>
      </c>
      <c r="R101" s="39" t="str">
        <f aca="false">IF($A101="","",IFERROR($Q101/$P101,""))</f>
        <v/>
      </c>
      <c r="S101" s="38" t="str">
        <f aca="false">IF($A101="","",SUMIFS('Thanh toán'!$H$4:$H$203,'Thanh toán'!$D$4:$D$203,$A101))</f>
        <v/>
      </c>
      <c r="T101" s="38" t="str">
        <f aca="false">IF($A101="","",SUMIFS('Công nợ'!$I$4:$I$203,'Công nợ'!$B$4:$B$203,$A101))</f>
        <v/>
      </c>
      <c r="U101" s="38" t="str">
        <f aca="false">IF($A101="","",SUMIFS('Công nợ'!$I$4:$I$203,'Công nợ'!$B$4:$B$203,$A101,'Công nợ'!$K$4:$K$203,"&gt;0"))</f>
        <v/>
      </c>
    </row>
    <row r="102" customFormat="false" ht="15" hidden="false" customHeight="false" outlineLevel="0" collapsed="false">
      <c r="A102" s="37" t="str">
        <f aca="false">IF('Dự án'!$A102="","",'Dự án'!$A102)</f>
        <v/>
      </c>
      <c r="B102" s="37" t="str">
        <f aca="false">IF($A102="","",'Dự án'!$B102)</f>
        <v/>
      </c>
      <c r="C102" s="37" t="str">
        <f aca="false">IF($A102="","",'Dự án'!$C102)</f>
        <v/>
      </c>
      <c r="D102" s="37" t="str">
        <f aca="false">IF($A102="","",'Dự án'!$H102)</f>
        <v/>
      </c>
      <c r="E102" s="38" t="str">
        <f aca="false">IF($A102="","",'Dự án'!$G102)</f>
        <v/>
      </c>
      <c r="F102" s="38" t="str">
        <f aca="false">IF($A102="","",COUNTIFS('Check giá'!$C$4:$C$203,$A102))</f>
        <v/>
      </c>
      <c r="G102" s="38" t="str">
        <f aca="false">IF($A102="","",COUNTIFS('Check giá'!$C$4:$C$203,$A102,'Check giá'!$O$4:$O$203,"Đang xử lý")+COUNTIFS('Check giá'!$C$4:$C$203,$A102,'Check giá'!$O$4:$O$203,"Quá hạn chưa trả"))</f>
        <v/>
      </c>
      <c r="H102" s="38" t="str">
        <f aca="false">IF($A102="","",SUMIFS('Check giá'!$J$4:$J$203,'Check giá'!$C$4:$C$203,$A102))</f>
        <v/>
      </c>
      <c r="I102" s="38" t="str">
        <f aca="false">IF($A102="","",COUNTIFS(PR!$D$4:$D$203,$A102))</f>
        <v/>
      </c>
      <c r="J102" s="38" t="str">
        <f aca="false">IF($A102="","",SUMIFS(PR!$L$4:$L$203,PR!$D$4:$D$203,$A102))</f>
        <v/>
      </c>
      <c r="K102" s="38" t="str">
        <f aca="false">IF($A102="","",COUNTIFS(PO!$D$4:$D$203,$A102))</f>
        <v/>
      </c>
      <c r="L102" s="38" t="str">
        <f aca="false">IF($A102="","",SUMIFS(PO!$L$4:$L$203,PO!$D$4:$D$203,$A102))</f>
        <v/>
      </c>
      <c r="M102" s="38" t="str">
        <f aca="false">IF($A102="","",SUMIFS(PO!$N$4:$N$203,PO!$D$4:$D$203,$A102))</f>
        <v/>
      </c>
      <c r="N102" s="39" t="str">
        <f aca="false">IF($A102="","",IFERROR($L102/$E102,""))</f>
        <v/>
      </c>
      <c r="O102" s="38" t="str">
        <f aca="false">IF($A102="","",IFERROR($E102-$L102,""))</f>
        <v/>
      </c>
      <c r="P102" s="38" t="str">
        <f aca="false">IF($A102="","",COUNTIFS(PO!$D$4:$D$203,$A102,PO!$S$4:$S$203,"Đúng hạn")+COUNTIFS(PO!$D$4:$D$203,$A102,PO!$S$4:$S$203,"Giao trễ")+COUNTIFS(PO!$D$4:$D$203,$A102,PO!$S$4:$S$203,"Trễ hạn"))</f>
        <v/>
      </c>
      <c r="Q102" s="38" t="str">
        <f aca="false">IF($A102="","",COUNTIFS(PO!$D$4:$D$203,$A102,PO!$S$4:$S$203,"Đúng hạn"))</f>
        <v/>
      </c>
      <c r="R102" s="39" t="str">
        <f aca="false">IF($A102="","",IFERROR($Q102/$P102,""))</f>
        <v/>
      </c>
      <c r="S102" s="38" t="str">
        <f aca="false">IF($A102="","",SUMIFS('Thanh toán'!$H$4:$H$203,'Thanh toán'!$D$4:$D$203,$A102))</f>
        <v/>
      </c>
      <c r="T102" s="38" t="str">
        <f aca="false">IF($A102="","",SUMIFS('Công nợ'!$I$4:$I$203,'Công nợ'!$B$4:$B$203,$A102))</f>
        <v/>
      </c>
      <c r="U102" s="38" t="str">
        <f aca="false">IF($A102="","",SUMIFS('Công nợ'!$I$4:$I$203,'Công nợ'!$B$4:$B$203,$A102,'Công nợ'!$K$4:$K$203,"&gt;0"))</f>
        <v/>
      </c>
    </row>
    <row r="103" customFormat="false" ht="15" hidden="false" customHeight="false" outlineLevel="0" collapsed="false">
      <c r="A103" s="37" t="str">
        <f aca="false">IF('Dự án'!$A103="","",'Dự án'!$A103)</f>
        <v/>
      </c>
      <c r="B103" s="37" t="str">
        <f aca="false">IF($A103="","",'Dự án'!$B103)</f>
        <v/>
      </c>
      <c r="C103" s="37" t="str">
        <f aca="false">IF($A103="","",'Dự án'!$C103)</f>
        <v/>
      </c>
      <c r="D103" s="37" t="str">
        <f aca="false">IF($A103="","",'Dự án'!$H103)</f>
        <v/>
      </c>
      <c r="E103" s="38" t="str">
        <f aca="false">IF($A103="","",'Dự án'!$G103)</f>
        <v/>
      </c>
      <c r="F103" s="38" t="str">
        <f aca="false">IF($A103="","",COUNTIFS('Check giá'!$C$4:$C$203,$A103))</f>
        <v/>
      </c>
      <c r="G103" s="38" t="str">
        <f aca="false">IF($A103="","",COUNTIFS('Check giá'!$C$4:$C$203,$A103,'Check giá'!$O$4:$O$203,"Đang xử lý")+COUNTIFS('Check giá'!$C$4:$C$203,$A103,'Check giá'!$O$4:$O$203,"Quá hạn chưa trả"))</f>
        <v/>
      </c>
      <c r="H103" s="38" t="str">
        <f aca="false">IF($A103="","",SUMIFS('Check giá'!$J$4:$J$203,'Check giá'!$C$4:$C$203,$A103))</f>
        <v/>
      </c>
      <c r="I103" s="38" t="str">
        <f aca="false">IF($A103="","",COUNTIFS(PR!$D$4:$D$203,$A103))</f>
        <v/>
      </c>
      <c r="J103" s="38" t="str">
        <f aca="false">IF($A103="","",SUMIFS(PR!$L$4:$L$203,PR!$D$4:$D$203,$A103))</f>
        <v/>
      </c>
      <c r="K103" s="38" t="str">
        <f aca="false">IF($A103="","",COUNTIFS(PO!$D$4:$D$203,$A103))</f>
        <v/>
      </c>
      <c r="L103" s="38" t="str">
        <f aca="false">IF($A103="","",SUMIFS(PO!$L$4:$L$203,PO!$D$4:$D$203,$A103))</f>
        <v/>
      </c>
      <c r="M103" s="38" t="str">
        <f aca="false">IF($A103="","",SUMIFS(PO!$N$4:$N$203,PO!$D$4:$D$203,$A103))</f>
        <v/>
      </c>
      <c r="N103" s="39" t="str">
        <f aca="false">IF($A103="","",IFERROR($L103/$E103,""))</f>
        <v/>
      </c>
      <c r="O103" s="38" t="str">
        <f aca="false">IF($A103="","",IFERROR($E103-$L103,""))</f>
        <v/>
      </c>
      <c r="P103" s="38" t="str">
        <f aca="false">IF($A103="","",COUNTIFS(PO!$D$4:$D$203,$A103,PO!$S$4:$S$203,"Đúng hạn")+COUNTIFS(PO!$D$4:$D$203,$A103,PO!$S$4:$S$203,"Giao trễ")+COUNTIFS(PO!$D$4:$D$203,$A103,PO!$S$4:$S$203,"Trễ hạn"))</f>
        <v/>
      </c>
      <c r="Q103" s="38" t="str">
        <f aca="false">IF($A103="","",COUNTIFS(PO!$D$4:$D$203,$A103,PO!$S$4:$S$203,"Đúng hạn"))</f>
        <v/>
      </c>
      <c r="R103" s="39" t="str">
        <f aca="false">IF($A103="","",IFERROR($Q103/$P103,""))</f>
        <v/>
      </c>
      <c r="S103" s="38" t="str">
        <f aca="false">IF($A103="","",SUMIFS('Thanh toán'!$H$4:$H$203,'Thanh toán'!$D$4:$D$203,$A103))</f>
        <v/>
      </c>
      <c r="T103" s="38" t="str">
        <f aca="false">IF($A103="","",SUMIFS('Công nợ'!$I$4:$I$203,'Công nợ'!$B$4:$B$203,$A103))</f>
        <v/>
      </c>
      <c r="U103" s="38" t="str">
        <f aca="false">IF($A103="","",SUMIFS('Công nợ'!$I$4:$I$203,'Công nợ'!$B$4:$B$203,$A103,'Công nợ'!$K$4:$K$203,"&gt;0"))</f>
        <v/>
      </c>
    </row>
    <row r="104" customFormat="false" ht="15" hidden="false" customHeight="false" outlineLevel="0" collapsed="false">
      <c r="A104" s="37" t="str">
        <f aca="false">IF('Dự án'!$A104="","",'Dự án'!$A104)</f>
        <v/>
      </c>
      <c r="B104" s="37" t="str">
        <f aca="false">IF($A104="","",'Dự án'!$B104)</f>
        <v/>
      </c>
      <c r="C104" s="37" t="str">
        <f aca="false">IF($A104="","",'Dự án'!$C104)</f>
        <v/>
      </c>
      <c r="D104" s="37" t="str">
        <f aca="false">IF($A104="","",'Dự án'!$H104)</f>
        <v/>
      </c>
      <c r="E104" s="38" t="str">
        <f aca="false">IF($A104="","",'Dự án'!$G104)</f>
        <v/>
      </c>
      <c r="F104" s="38" t="str">
        <f aca="false">IF($A104="","",COUNTIFS('Check giá'!$C$4:$C$203,$A104))</f>
        <v/>
      </c>
      <c r="G104" s="38" t="str">
        <f aca="false">IF($A104="","",COUNTIFS('Check giá'!$C$4:$C$203,$A104,'Check giá'!$O$4:$O$203,"Đang xử lý")+COUNTIFS('Check giá'!$C$4:$C$203,$A104,'Check giá'!$O$4:$O$203,"Quá hạn chưa trả"))</f>
        <v/>
      </c>
      <c r="H104" s="38" t="str">
        <f aca="false">IF($A104="","",SUMIFS('Check giá'!$J$4:$J$203,'Check giá'!$C$4:$C$203,$A104))</f>
        <v/>
      </c>
      <c r="I104" s="38" t="str">
        <f aca="false">IF($A104="","",COUNTIFS(PR!$D$4:$D$203,$A104))</f>
        <v/>
      </c>
      <c r="J104" s="38" t="str">
        <f aca="false">IF($A104="","",SUMIFS(PR!$L$4:$L$203,PR!$D$4:$D$203,$A104))</f>
        <v/>
      </c>
      <c r="K104" s="38" t="str">
        <f aca="false">IF($A104="","",COUNTIFS(PO!$D$4:$D$203,$A104))</f>
        <v/>
      </c>
      <c r="L104" s="38" t="str">
        <f aca="false">IF($A104="","",SUMIFS(PO!$L$4:$L$203,PO!$D$4:$D$203,$A104))</f>
        <v/>
      </c>
      <c r="M104" s="38" t="str">
        <f aca="false">IF($A104="","",SUMIFS(PO!$N$4:$N$203,PO!$D$4:$D$203,$A104))</f>
        <v/>
      </c>
      <c r="N104" s="39" t="str">
        <f aca="false">IF($A104="","",IFERROR($L104/$E104,""))</f>
        <v/>
      </c>
      <c r="O104" s="38" t="str">
        <f aca="false">IF($A104="","",IFERROR($E104-$L104,""))</f>
        <v/>
      </c>
      <c r="P104" s="38" t="str">
        <f aca="false">IF($A104="","",COUNTIFS(PO!$D$4:$D$203,$A104,PO!$S$4:$S$203,"Đúng hạn")+COUNTIFS(PO!$D$4:$D$203,$A104,PO!$S$4:$S$203,"Giao trễ")+COUNTIFS(PO!$D$4:$D$203,$A104,PO!$S$4:$S$203,"Trễ hạn"))</f>
        <v/>
      </c>
      <c r="Q104" s="38" t="str">
        <f aca="false">IF($A104="","",COUNTIFS(PO!$D$4:$D$203,$A104,PO!$S$4:$S$203,"Đúng hạn"))</f>
        <v/>
      </c>
      <c r="R104" s="39" t="str">
        <f aca="false">IF($A104="","",IFERROR($Q104/$P104,""))</f>
        <v/>
      </c>
      <c r="S104" s="38" t="str">
        <f aca="false">IF($A104="","",SUMIFS('Thanh toán'!$H$4:$H$203,'Thanh toán'!$D$4:$D$203,$A104))</f>
        <v/>
      </c>
      <c r="T104" s="38" t="str">
        <f aca="false">IF($A104="","",SUMIFS('Công nợ'!$I$4:$I$203,'Công nợ'!$B$4:$B$203,$A104))</f>
        <v/>
      </c>
      <c r="U104" s="38" t="str">
        <f aca="false">IF($A104="","",SUMIFS('Công nợ'!$I$4:$I$203,'Công nợ'!$B$4:$B$203,$A104,'Công nợ'!$K$4:$K$203,"&gt;0"))</f>
        <v/>
      </c>
    </row>
    <row r="105" customFormat="false" ht="15" hidden="false" customHeight="false" outlineLevel="0" collapsed="false">
      <c r="A105" s="37" t="str">
        <f aca="false">IF('Dự án'!$A105="","",'Dự án'!$A105)</f>
        <v/>
      </c>
      <c r="B105" s="37" t="str">
        <f aca="false">IF($A105="","",'Dự án'!$B105)</f>
        <v/>
      </c>
      <c r="C105" s="37" t="str">
        <f aca="false">IF($A105="","",'Dự án'!$C105)</f>
        <v/>
      </c>
      <c r="D105" s="37" t="str">
        <f aca="false">IF($A105="","",'Dự án'!$H105)</f>
        <v/>
      </c>
      <c r="E105" s="38" t="str">
        <f aca="false">IF($A105="","",'Dự án'!$G105)</f>
        <v/>
      </c>
      <c r="F105" s="38" t="str">
        <f aca="false">IF($A105="","",COUNTIFS('Check giá'!$C$4:$C$203,$A105))</f>
        <v/>
      </c>
      <c r="G105" s="38" t="str">
        <f aca="false">IF($A105="","",COUNTIFS('Check giá'!$C$4:$C$203,$A105,'Check giá'!$O$4:$O$203,"Đang xử lý")+COUNTIFS('Check giá'!$C$4:$C$203,$A105,'Check giá'!$O$4:$O$203,"Quá hạn chưa trả"))</f>
        <v/>
      </c>
      <c r="H105" s="38" t="str">
        <f aca="false">IF($A105="","",SUMIFS('Check giá'!$J$4:$J$203,'Check giá'!$C$4:$C$203,$A105))</f>
        <v/>
      </c>
      <c r="I105" s="38" t="str">
        <f aca="false">IF($A105="","",COUNTIFS(PR!$D$4:$D$203,$A105))</f>
        <v/>
      </c>
      <c r="J105" s="38" t="str">
        <f aca="false">IF($A105="","",SUMIFS(PR!$L$4:$L$203,PR!$D$4:$D$203,$A105))</f>
        <v/>
      </c>
      <c r="K105" s="38" t="str">
        <f aca="false">IF($A105="","",COUNTIFS(PO!$D$4:$D$203,$A105))</f>
        <v/>
      </c>
      <c r="L105" s="38" t="str">
        <f aca="false">IF($A105="","",SUMIFS(PO!$L$4:$L$203,PO!$D$4:$D$203,$A105))</f>
        <v/>
      </c>
      <c r="M105" s="38" t="str">
        <f aca="false">IF($A105="","",SUMIFS(PO!$N$4:$N$203,PO!$D$4:$D$203,$A105))</f>
        <v/>
      </c>
      <c r="N105" s="39" t="str">
        <f aca="false">IF($A105="","",IFERROR($L105/$E105,""))</f>
        <v/>
      </c>
      <c r="O105" s="38" t="str">
        <f aca="false">IF($A105="","",IFERROR($E105-$L105,""))</f>
        <v/>
      </c>
      <c r="P105" s="38" t="str">
        <f aca="false">IF($A105="","",COUNTIFS(PO!$D$4:$D$203,$A105,PO!$S$4:$S$203,"Đúng hạn")+COUNTIFS(PO!$D$4:$D$203,$A105,PO!$S$4:$S$203,"Giao trễ")+COUNTIFS(PO!$D$4:$D$203,$A105,PO!$S$4:$S$203,"Trễ hạn"))</f>
        <v/>
      </c>
      <c r="Q105" s="38" t="str">
        <f aca="false">IF($A105="","",COUNTIFS(PO!$D$4:$D$203,$A105,PO!$S$4:$S$203,"Đúng hạn"))</f>
        <v/>
      </c>
      <c r="R105" s="39" t="str">
        <f aca="false">IF($A105="","",IFERROR($Q105/$P105,""))</f>
        <v/>
      </c>
      <c r="S105" s="38" t="str">
        <f aca="false">IF($A105="","",SUMIFS('Thanh toán'!$H$4:$H$203,'Thanh toán'!$D$4:$D$203,$A105))</f>
        <v/>
      </c>
      <c r="T105" s="38" t="str">
        <f aca="false">IF($A105="","",SUMIFS('Công nợ'!$I$4:$I$203,'Công nợ'!$B$4:$B$203,$A105))</f>
        <v/>
      </c>
      <c r="U105" s="38" t="str">
        <f aca="false">IF($A105="","",SUMIFS('Công nợ'!$I$4:$I$203,'Công nợ'!$B$4:$B$203,$A105,'Công nợ'!$K$4:$K$203,"&gt;0"))</f>
        <v/>
      </c>
    </row>
    <row r="106" customFormat="false" ht="15" hidden="false" customHeight="false" outlineLevel="0" collapsed="false">
      <c r="A106" s="37" t="str">
        <f aca="false">IF('Dự án'!$A106="","",'Dự án'!$A106)</f>
        <v/>
      </c>
      <c r="B106" s="37" t="str">
        <f aca="false">IF($A106="","",'Dự án'!$B106)</f>
        <v/>
      </c>
      <c r="C106" s="37" t="str">
        <f aca="false">IF($A106="","",'Dự án'!$C106)</f>
        <v/>
      </c>
      <c r="D106" s="37" t="str">
        <f aca="false">IF($A106="","",'Dự án'!$H106)</f>
        <v/>
      </c>
      <c r="E106" s="38" t="str">
        <f aca="false">IF($A106="","",'Dự án'!$G106)</f>
        <v/>
      </c>
      <c r="F106" s="38" t="str">
        <f aca="false">IF($A106="","",COUNTIFS('Check giá'!$C$4:$C$203,$A106))</f>
        <v/>
      </c>
      <c r="G106" s="38" t="str">
        <f aca="false">IF($A106="","",COUNTIFS('Check giá'!$C$4:$C$203,$A106,'Check giá'!$O$4:$O$203,"Đang xử lý")+COUNTIFS('Check giá'!$C$4:$C$203,$A106,'Check giá'!$O$4:$O$203,"Quá hạn chưa trả"))</f>
        <v/>
      </c>
      <c r="H106" s="38" t="str">
        <f aca="false">IF($A106="","",SUMIFS('Check giá'!$J$4:$J$203,'Check giá'!$C$4:$C$203,$A106))</f>
        <v/>
      </c>
      <c r="I106" s="38" t="str">
        <f aca="false">IF($A106="","",COUNTIFS(PR!$D$4:$D$203,$A106))</f>
        <v/>
      </c>
      <c r="J106" s="38" t="str">
        <f aca="false">IF($A106="","",SUMIFS(PR!$L$4:$L$203,PR!$D$4:$D$203,$A106))</f>
        <v/>
      </c>
      <c r="K106" s="38" t="str">
        <f aca="false">IF($A106="","",COUNTIFS(PO!$D$4:$D$203,$A106))</f>
        <v/>
      </c>
      <c r="L106" s="38" t="str">
        <f aca="false">IF($A106="","",SUMIFS(PO!$L$4:$L$203,PO!$D$4:$D$203,$A106))</f>
        <v/>
      </c>
      <c r="M106" s="38" t="str">
        <f aca="false">IF($A106="","",SUMIFS(PO!$N$4:$N$203,PO!$D$4:$D$203,$A106))</f>
        <v/>
      </c>
      <c r="N106" s="39" t="str">
        <f aca="false">IF($A106="","",IFERROR($L106/$E106,""))</f>
        <v/>
      </c>
      <c r="O106" s="38" t="str">
        <f aca="false">IF($A106="","",IFERROR($E106-$L106,""))</f>
        <v/>
      </c>
      <c r="P106" s="38" t="str">
        <f aca="false">IF($A106="","",COUNTIFS(PO!$D$4:$D$203,$A106,PO!$S$4:$S$203,"Đúng hạn")+COUNTIFS(PO!$D$4:$D$203,$A106,PO!$S$4:$S$203,"Giao trễ")+COUNTIFS(PO!$D$4:$D$203,$A106,PO!$S$4:$S$203,"Trễ hạn"))</f>
        <v/>
      </c>
      <c r="Q106" s="38" t="str">
        <f aca="false">IF($A106="","",COUNTIFS(PO!$D$4:$D$203,$A106,PO!$S$4:$S$203,"Đúng hạn"))</f>
        <v/>
      </c>
      <c r="R106" s="39" t="str">
        <f aca="false">IF($A106="","",IFERROR($Q106/$P106,""))</f>
        <v/>
      </c>
      <c r="S106" s="38" t="str">
        <f aca="false">IF($A106="","",SUMIFS('Thanh toán'!$H$4:$H$203,'Thanh toán'!$D$4:$D$203,$A106))</f>
        <v/>
      </c>
      <c r="T106" s="38" t="str">
        <f aca="false">IF($A106="","",SUMIFS('Công nợ'!$I$4:$I$203,'Công nợ'!$B$4:$B$203,$A106))</f>
        <v/>
      </c>
      <c r="U106" s="38" t="str">
        <f aca="false">IF($A106="","",SUMIFS('Công nợ'!$I$4:$I$203,'Công nợ'!$B$4:$B$203,$A106,'Công nợ'!$K$4:$K$203,"&gt;0"))</f>
        <v/>
      </c>
    </row>
    <row r="107" customFormat="false" ht="15" hidden="false" customHeight="false" outlineLevel="0" collapsed="false">
      <c r="A107" s="37" t="str">
        <f aca="false">IF('Dự án'!$A107="","",'Dự án'!$A107)</f>
        <v/>
      </c>
      <c r="B107" s="37" t="str">
        <f aca="false">IF($A107="","",'Dự án'!$B107)</f>
        <v/>
      </c>
      <c r="C107" s="37" t="str">
        <f aca="false">IF($A107="","",'Dự án'!$C107)</f>
        <v/>
      </c>
      <c r="D107" s="37" t="str">
        <f aca="false">IF($A107="","",'Dự án'!$H107)</f>
        <v/>
      </c>
      <c r="E107" s="38" t="str">
        <f aca="false">IF($A107="","",'Dự án'!$G107)</f>
        <v/>
      </c>
      <c r="F107" s="38" t="str">
        <f aca="false">IF($A107="","",COUNTIFS('Check giá'!$C$4:$C$203,$A107))</f>
        <v/>
      </c>
      <c r="G107" s="38" t="str">
        <f aca="false">IF($A107="","",COUNTIFS('Check giá'!$C$4:$C$203,$A107,'Check giá'!$O$4:$O$203,"Đang xử lý")+COUNTIFS('Check giá'!$C$4:$C$203,$A107,'Check giá'!$O$4:$O$203,"Quá hạn chưa trả"))</f>
        <v/>
      </c>
      <c r="H107" s="38" t="str">
        <f aca="false">IF($A107="","",SUMIFS('Check giá'!$J$4:$J$203,'Check giá'!$C$4:$C$203,$A107))</f>
        <v/>
      </c>
      <c r="I107" s="38" t="str">
        <f aca="false">IF($A107="","",COUNTIFS(PR!$D$4:$D$203,$A107))</f>
        <v/>
      </c>
      <c r="J107" s="38" t="str">
        <f aca="false">IF($A107="","",SUMIFS(PR!$L$4:$L$203,PR!$D$4:$D$203,$A107))</f>
        <v/>
      </c>
      <c r="K107" s="38" t="str">
        <f aca="false">IF($A107="","",COUNTIFS(PO!$D$4:$D$203,$A107))</f>
        <v/>
      </c>
      <c r="L107" s="38" t="str">
        <f aca="false">IF($A107="","",SUMIFS(PO!$L$4:$L$203,PO!$D$4:$D$203,$A107))</f>
        <v/>
      </c>
      <c r="M107" s="38" t="str">
        <f aca="false">IF($A107="","",SUMIFS(PO!$N$4:$N$203,PO!$D$4:$D$203,$A107))</f>
        <v/>
      </c>
      <c r="N107" s="39" t="str">
        <f aca="false">IF($A107="","",IFERROR($L107/$E107,""))</f>
        <v/>
      </c>
      <c r="O107" s="38" t="str">
        <f aca="false">IF($A107="","",IFERROR($E107-$L107,""))</f>
        <v/>
      </c>
      <c r="P107" s="38" t="str">
        <f aca="false">IF($A107="","",COUNTIFS(PO!$D$4:$D$203,$A107,PO!$S$4:$S$203,"Đúng hạn")+COUNTIFS(PO!$D$4:$D$203,$A107,PO!$S$4:$S$203,"Giao trễ")+COUNTIFS(PO!$D$4:$D$203,$A107,PO!$S$4:$S$203,"Trễ hạn"))</f>
        <v/>
      </c>
      <c r="Q107" s="38" t="str">
        <f aca="false">IF($A107="","",COUNTIFS(PO!$D$4:$D$203,$A107,PO!$S$4:$S$203,"Đúng hạn"))</f>
        <v/>
      </c>
      <c r="R107" s="39" t="str">
        <f aca="false">IF($A107="","",IFERROR($Q107/$P107,""))</f>
        <v/>
      </c>
      <c r="S107" s="38" t="str">
        <f aca="false">IF($A107="","",SUMIFS('Thanh toán'!$H$4:$H$203,'Thanh toán'!$D$4:$D$203,$A107))</f>
        <v/>
      </c>
      <c r="T107" s="38" t="str">
        <f aca="false">IF($A107="","",SUMIFS('Công nợ'!$I$4:$I$203,'Công nợ'!$B$4:$B$203,$A107))</f>
        <v/>
      </c>
      <c r="U107" s="38" t="str">
        <f aca="false">IF($A107="","",SUMIFS('Công nợ'!$I$4:$I$203,'Công nợ'!$B$4:$B$203,$A107,'Công nợ'!$K$4:$K$203,"&gt;0"))</f>
        <v/>
      </c>
    </row>
    <row r="108" customFormat="false" ht="15" hidden="false" customHeight="false" outlineLevel="0" collapsed="false">
      <c r="A108" s="37" t="str">
        <f aca="false">IF('Dự án'!$A108="","",'Dự án'!$A108)</f>
        <v/>
      </c>
      <c r="B108" s="37" t="str">
        <f aca="false">IF($A108="","",'Dự án'!$B108)</f>
        <v/>
      </c>
      <c r="C108" s="37" t="str">
        <f aca="false">IF($A108="","",'Dự án'!$C108)</f>
        <v/>
      </c>
      <c r="D108" s="37" t="str">
        <f aca="false">IF($A108="","",'Dự án'!$H108)</f>
        <v/>
      </c>
      <c r="E108" s="38" t="str">
        <f aca="false">IF($A108="","",'Dự án'!$G108)</f>
        <v/>
      </c>
      <c r="F108" s="38" t="str">
        <f aca="false">IF($A108="","",COUNTIFS('Check giá'!$C$4:$C$203,$A108))</f>
        <v/>
      </c>
      <c r="G108" s="38" t="str">
        <f aca="false">IF($A108="","",COUNTIFS('Check giá'!$C$4:$C$203,$A108,'Check giá'!$O$4:$O$203,"Đang xử lý")+COUNTIFS('Check giá'!$C$4:$C$203,$A108,'Check giá'!$O$4:$O$203,"Quá hạn chưa trả"))</f>
        <v/>
      </c>
      <c r="H108" s="38" t="str">
        <f aca="false">IF($A108="","",SUMIFS('Check giá'!$J$4:$J$203,'Check giá'!$C$4:$C$203,$A108))</f>
        <v/>
      </c>
      <c r="I108" s="38" t="str">
        <f aca="false">IF($A108="","",COUNTIFS(PR!$D$4:$D$203,$A108))</f>
        <v/>
      </c>
      <c r="J108" s="38" t="str">
        <f aca="false">IF($A108="","",SUMIFS(PR!$L$4:$L$203,PR!$D$4:$D$203,$A108))</f>
        <v/>
      </c>
      <c r="K108" s="38" t="str">
        <f aca="false">IF($A108="","",COUNTIFS(PO!$D$4:$D$203,$A108))</f>
        <v/>
      </c>
      <c r="L108" s="38" t="str">
        <f aca="false">IF($A108="","",SUMIFS(PO!$L$4:$L$203,PO!$D$4:$D$203,$A108))</f>
        <v/>
      </c>
      <c r="M108" s="38" t="str">
        <f aca="false">IF($A108="","",SUMIFS(PO!$N$4:$N$203,PO!$D$4:$D$203,$A108))</f>
        <v/>
      </c>
      <c r="N108" s="39" t="str">
        <f aca="false">IF($A108="","",IFERROR($L108/$E108,""))</f>
        <v/>
      </c>
      <c r="O108" s="38" t="str">
        <f aca="false">IF($A108="","",IFERROR($E108-$L108,""))</f>
        <v/>
      </c>
      <c r="P108" s="38" t="str">
        <f aca="false">IF($A108="","",COUNTIFS(PO!$D$4:$D$203,$A108,PO!$S$4:$S$203,"Đúng hạn")+COUNTIFS(PO!$D$4:$D$203,$A108,PO!$S$4:$S$203,"Giao trễ")+COUNTIFS(PO!$D$4:$D$203,$A108,PO!$S$4:$S$203,"Trễ hạn"))</f>
        <v/>
      </c>
      <c r="Q108" s="38" t="str">
        <f aca="false">IF($A108="","",COUNTIFS(PO!$D$4:$D$203,$A108,PO!$S$4:$S$203,"Đúng hạn"))</f>
        <v/>
      </c>
      <c r="R108" s="39" t="str">
        <f aca="false">IF($A108="","",IFERROR($Q108/$P108,""))</f>
        <v/>
      </c>
      <c r="S108" s="38" t="str">
        <f aca="false">IF($A108="","",SUMIFS('Thanh toán'!$H$4:$H$203,'Thanh toán'!$D$4:$D$203,$A108))</f>
        <v/>
      </c>
      <c r="T108" s="38" t="str">
        <f aca="false">IF($A108="","",SUMIFS('Công nợ'!$I$4:$I$203,'Công nợ'!$B$4:$B$203,$A108))</f>
        <v/>
      </c>
      <c r="U108" s="38" t="str">
        <f aca="false">IF($A108="","",SUMIFS('Công nợ'!$I$4:$I$203,'Công nợ'!$B$4:$B$203,$A108,'Công nợ'!$K$4:$K$203,"&gt;0"))</f>
        <v/>
      </c>
    </row>
    <row r="109" customFormat="false" ht="15" hidden="false" customHeight="false" outlineLevel="0" collapsed="false">
      <c r="A109" s="37" t="str">
        <f aca="false">IF('Dự án'!$A109="","",'Dự án'!$A109)</f>
        <v/>
      </c>
      <c r="B109" s="37" t="str">
        <f aca="false">IF($A109="","",'Dự án'!$B109)</f>
        <v/>
      </c>
      <c r="C109" s="37" t="str">
        <f aca="false">IF($A109="","",'Dự án'!$C109)</f>
        <v/>
      </c>
      <c r="D109" s="37" t="str">
        <f aca="false">IF($A109="","",'Dự án'!$H109)</f>
        <v/>
      </c>
      <c r="E109" s="38" t="str">
        <f aca="false">IF($A109="","",'Dự án'!$G109)</f>
        <v/>
      </c>
      <c r="F109" s="38" t="str">
        <f aca="false">IF($A109="","",COUNTIFS('Check giá'!$C$4:$C$203,$A109))</f>
        <v/>
      </c>
      <c r="G109" s="38" t="str">
        <f aca="false">IF($A109="","",COUNTIFS('Check giá'!$C$4:$C$203,$A109,'Check giá'!$O$4:$O$203,"Đang xử lý")+COUNTIFS('Check giá'!$C$4:$C$203,$A109,'Check giá'!$O$4:$O$203,"Quá hạn chưa trả"))</f>
        <v/>
      </c>
      <c r="H109" s="38" t="str">
        <f aca="false">IF($A109="","",SUMIFS('Check giá'!$J$4:$J$203,'Check giá'!$C$4:$C$203,$A109))</f>
        <v/>
      </c>
      <c r="I109" s="38" t="str">
        <f aca="false">IF($A109="","",COUNTIFS(PR!$D$4:$D$203,$A109))</f>
        <v/>
      </c>
      <c r="J109" s="38" t="str">
        <f aca="false">IF($A109="","",SUMIFS(PR!$L$4:$L$203,PR!$D$4:$D$203,$A109))</f>
        <v/>
      </c>
      <c r="K109" s="38" t="str">
        <f aca="false">IF($A109="","",COUNTIFS(PO!$D$4:$D$203,$A109))</f>
        <v/>
      </c>
      <c r="L109" s="38" t="str">
        <f aca="false">IF($A109="","",SUMIFS(PO!$L$4:$L$203,PO!$D$4:$D$203,$A109))</f>
        <v/>
      </c>
      <c r="M109" s="38" t="str">
        <f aca="false">IF($A109="","",SUMIFS(PO!$N$4:$N$203,PO!$D$4:$D$203,$A109))</f>
        <v/>
      </c>
      <c r="N109" s="39" t="str">
        <f aca="false">IF($A109="","",IFERROR($L109/$E109,""))</f>
        <v/>
      </c>
      <c r="O109" s="38" t="str">
        <f aca="false">IF($A109="","",IFERROR($E109-$L109,""))</f>
        <v/>
      </c>
      <c r="P109" s="38" t="str">
        <f aca="false">IF($A109="","",COUNTIFS(PO!$D$4:$D$203,$A109,PO!$S$4:$S$203,"Đúng hạn")+COUNTIFS(PO!$D$4:$D$203,$A109,PO!$S$4:$S$203,"Giao trễ")+COUNTIFS(PO!$D$4:$D$203,$A109,PO!$S$4:$S$203,"Trễ hạn"))</f>
        <v/>
      </c>
      <c r="Q109" s="38" t="str">
        <f aca="false">IF($A109="","",COUNTIFS(PO!$D$4:$D$203,$A109,PO!$S$4:$S$203,"Đúng hạn"))</f>
        <v/>
      </c>
      <c r="R109" s="39" t="str">
        <f aca="false">IF($A109="","",IFERROR($Q109/$P109,""))</f>
        <v/>
      </c>
      <c r="S109" s="38" t="str">
        <f aca="false">IF($A109="","",SUMIFS('Thanh toán'!$H$4:$H$203,'Thanh toán'!$D$4:$D$203,$A109))</f>
        <v/>
      </c>
      <c r="T109" s="38" t="str">
        <f aca="false">IF($A109="","",SUMIFS('Công nợ'!$I$4:$I$203,'Công nợ'!$B$4:$B$203,$A109))</f>
        <v/>
      </c>
      <c r="U109" s="38" t="str">
        <f aca="false">IF($A109="","",SUMIFS('Công nợ'!$I$4:$I$203,'Công nợ'!$B$4:$B$203,$A109,'Công nợ'!$K$4:$K$203,"&gt;0"))</f>
        <v/>
      </c>
    </row>
    <row r="110" customFormat="false" ht="15" hidden="false" customHeight="false" outlineLevel="0" collapsed="false">
      <c r="A110" s="37" t="str">
        <f aca="false">IF('Dự án'!$A110="","",'Dự án'!$A110)</f>
        <v/>
      </c>
      <c r="B110" s="37" t="str">
        <f aca="false">IF($A110="","",'Dự án'!$B110)</f>
        <v/>
      </c>
      <c r="C110" s="37" t="str">
        <f aca="false">IF($A110="","",'Dự án'!$C110)</f>
        <v/>
      </c>
      <c r="D110" s="37" t="str">
        <f aca="false">IF($A110="","",'Dự án'!$H110)</f>
        <v/>
      </c>
      <c r="E110" s="38" t="str">
        <f aca="false">IF($A110="","",'Dự án'!$G110)</f>
        <v/>
      </c>
      <c r="F110" s="38" t="str">
        <f aca="false">IF($A110="","",COUNTIFS('Check giá'!$C$4:$C$203,$A110))</f>
        <v/>
      </c>
      <c r="G110" s="38" t="str">
        <f aca="false">IF($A110="","",COUNTIFS('Check giá'!$C$4:$C$203,$A110,'Check giá'!$O$4:$O$203,"Đang xử lý")+COUNTIFS('Check giá'!$C$4:$C$203,$A110,'Check giá'!$O$4:$O$203,"Quá hạn chưa trả"))</f>
        <v/>
      </c>
      <c r="H110" s="38" t="str">
        <f aca="false">IF($A110="","",SUMIFS('Check giá'!$J$4:$J$203,'Check giá'!$C$4:$C$203,$A110))</f>
        <v/>
      </c>
      <c r="I110" s="38" t="str">
        <f aca="false">IF($A110="","",COUNTIFS(PR!$D$4:$D$203,$A110))</f>
        <v/>
      </c>
      <c r="J110" s="38" t="str">
        <f aca="false">IF($A110="","",SUMIFS(PR!$L$4:$L$203,PR!$D$4:$D$203,$A110))</f>
        <v/>
      </c>
      <c r="K110" s="38" t="str">
        <f aca="false">IF($A110="","",COUNTIFS(PO!$D$4:$D$203,$A110))</f>
        <v/>
      </c>
      <c r="L110" s="38" t="str">
        <f aca="false">IF($A110="","",SUMIFS(PO!$L$4:$L$203,PO!$D$4:$D$203,$A110))</f>
        <v/>
      </c>
      <c r="M110" s="38" t="str">
        <f aca="false">IF($A110="","",SUMIFS(PO!$N$4:$N$203,PO!$D$4:$D$203,$A110))</f>
        <v/>
      </c>
      <c r="N110" s="39" t="str">
        <f aca="false">IF($A110="","",IFERROR($L110/$E110,""))</f>
        <v/>
      </c>
      <c r="O110" s="38" t="str">
        <f aca="false">IF($A110="","",IFERROR($E110-$L110,""))</f>
        <v/>
      </c>
      <c r="P110" s="38" t="str">
        <f aca="false">IF($A110="","",COUNTIFS(PO!$D$4:$D$203,$A110,PO!$S$4:$S$203,"Đúng hạn")+COUNTIFS(PO!$D$4:$D$203,$A110,PO!$S$4:$S$203,"Giao trễ")+COUNTIFS(PO!$D$4:$D$203,$A110,PO!$S$4:$S$203,"Trễ hạn"))</f>
        <v/>
      </c>
      <c r="Q110" s="38" t="str">
        <f aca="false">IF($A110="","",COUNTIFS(PO!$D$4:$D$203,$A110,PO!$S$4:$S$203,"Đúng hạn"))</f>
        <v/>
      </c>
      <c r="R110" s="39" t="str">
        <f aca="false">IF($A110="","",IFERROR($Q110/$P110,""))</f>
        <v/>
      </c>
      <c r="S110" s="38" t="str">
        <f aca="false">IF($A110="","",SUMIFS('Thanh toán'!$H$4:$H$203,'Thanh toán'!$D$4:$D$203,$A110))</f>
        <v/>
      </c>
      <c r="T110" s="38" t="str">
        <f aca="false">IF($A110="","",SUMIFS('Công nợ'!$I$4:$I$203,'Công nợ'!$B$4:$B$203,$A110))</f>
        <v/>
      </c>
      <c r="U110" s="38" t="str">
        <f aca="false">IF($A110="","",SUMIFS('Công nợ'!$I$4:$I$203,'Công nợ'!$B$4:$B$203,$A110,'Công nợ'!$K$4:$K$203,"&gt;0"))</f>
        <v/>
      </c>
    </row>
    <row r="111" customFormat="false" ht="15" hidden="false" customHeight="false" outlineLevel="0" collapsed="false">
      <c r="A111" s="37" t="str">
        <f aca="false">IF('Dự án'!$A111="","",'Dự án'!$A111)</f>
        <v/>
      </c>
      <c r="B111" s="37" t="str">
        <f aca="false">IF($A111="","",'Dự án'!$B111)</f>
        <v/>
      </c>
      <c r="C111" s="37" t="str">
        <f aca="false">IF($A111="","",'Dự án'!$C111)</f>
        <v/>
      </c>
      <c r="D111" s="37" t="str">
        <f aca="false">IF($A111="","",'Dự án'!$H111)</f>
        <v/>
      </c>
      <c r="E111" s="38" t="str">
        <f aca="false">IF($A111="","",'Dự án'!$G111)</f>
        <v/>
      </c>
      <c r="F111" s="38" t="str">
        <f aca="false">IF($A111="","",COUNTIFS('Check giá'!$C$4:$C$203,$A111))</f>
        <v/>
      </c>
      <c r="G111" s="38" t="str">
        <f aca="false">IF($A111="","",COUNTIFS('Check giá'!$C$4:$C$203,$A111,'Check giá'!$O$4:$O$203,"Đang xử lý")+COUNTIFS('Check giá'!$C$4:$C$203,$A111,'Check giá'!$O$4:$O$203,"Quá hạn chưa trả"))</f>
        <v/>
      </c>
      <c r="H111" s="38" t="str">
        <f aca="false">IF($A111="","",SUMIFS('Check giá'!$J$4:$J$203,'Check giá'!$C$4:$C$203,$A111))</f>
        <v/>
      </c>
      <c r="I111" s="38" t="str">
        <f aca="false">IF($A111="","",COUNTIFS(PR!$D$4:$D$203,$A111))</f>
        <v/>
      </c>
      <c r="J111" s="38" t="str">
        <f aca="false">IF($A111="","",SUMIFS(PR!$L$4:$L$203,PR!$D$4:$D$203,$A111))</f>
        <v/>
      </c>
      <c r="K111" s="38" t="str">
        <f aca="false">IF($A111="","",COUNTIFS(PO!$D$4:$D$203,$A111))</f>
        <v/>
      </c>
      <c r="L111" s="38" t="str">
        <f aca="false">IF($A111="","",SUMIFS(PO!$L$4:$L$203,PO!$D$4:$D$203,$A111))</f>
        <v/>
      </c>
      <c r="M111" s="38" t="str">
        <f aca="false">IF($A111="","",SUMIFS(PO!$N$4:$N$203,PO!$D$4:$D$203,$A111))</f>
        <v/>
      </c>
      <c r="N111" s="39" t="str">
        <f aca="false">IF($A111="","",IFERROR($L111/$E111,""))</f>
        <v/>
      </c>
      <c r="O111" s="38" t="str">
        <f aca="false">IF($A111="","",IFERROR($E111-$L111,""))</f>
        <v/>
      </c>
      <c r="P111" s="38" t="str">
        <f aca="false">IF($A111="","",COUNTIFS(PO!$D$4:$D$203,$A111,PO!$S$4:$S$203,"Đúng hạn")+COUNTIFS(PO!$D$4:$D$203,$A111,PO!$S$4:$S$203,"Giao trễ")+COUNTIFS(PO!$D$4:$D$203,$A111,PO!$S$4:$S$203,"Trễ hạn"))</f>
        <v/>
      </c>
      <c r="Q111" s="38" t="str">
        <f aca="false">IF($A111="","",COUNTIFS(PO!$D$4:$D$203,$A111,PO!$S$4:$S$203,"Đúng hạn"))</f>
        <v/>
      </c>
      <c r="R111" s="39" t="str">
        <f aca="false">IF($A111="","",IFERROR($Q111/$P111,""))</f>
        <v/>
      </c>
      <c r="S111" s="38" t="str">
        <f aca="false">IF($A111="","",SUMIFS('Thanh toán'!$H$4:$H$203,'Thanh toán'!$D$4:$D$203,$A111))</f>
        <v/>
      </c>
      <c r="T111" s="38" t="str">
        <f aca="false">IF($A111="","",SUMIFS('Công nợ'!$I$4:$I$203,'Công nợ'!$B$4:$B$203,$A111))</f>
        <v/>
      </c>
      <c r="U111" s="38" t="str">
        <f aca="false">IF($A111="","",SUMIFS('Công nợ'!$I$4:$I$203,'Công nợ'!$B$4:$B$203,$A111,'Công nợ'!$K$4:$K$203,"&gt;0"))</f>
        <v/>
      </c>
    </row>
    <row r="112" customFormat="false" ht="15" hidden="false" customHeight="false" outlineLevel="0" collapsed="false">
      <c r="A112" s="37" t="str">
        <f aca="false">IF('Dự án'!$A112="","",'Dự án'!$A112)</f>
        <v/>
      </c>
      <c r="B112" s="37" t="str">
        <f aca="false">IF($A112="","",'Dự án'!$B112)</f>
        <v/>
      </c>
      <c r="C112" s="37" t="str">
        <f aca="false">IF($A112="","",'Dự án'!$C112)</f>
        <v/>
      </c>
      <c r="D112" s="37" t="str">
        <f aca="false">IF($A112="","",'Dự án'!$H112)</f>
        <v/>
      </c>
      <c r="E112" s="38" t="str">
        <f aca="false">IF($A112="","",'Dự án'!$G112)</f>
        <v/>
      </c>
      <c r="F112" s="38" t="str">
        <f aca="false">IF($A112="","",COUNTIFS('Check giá'!$C$4:$C$203,$A112))</f>
        <v/>
      </c>
      <c r="G112" s="38" t="str">
        <f aca="false">IF($A112="","",COUNTIFS('Check giá'!$C$4:$C$203,$A112,'Check giá'!$O$4:$O$203,"Đang xử lý")+COUNTIFS('Check giá'!$C$4:$C$203,$A112,'Check giá'!$O$4:$O$203,"Quá hạn chưa trả"))</f>
        <v/>
      </c>
      <c r="H112" s="38" t="str">
        <f aca="false">IF($A112="","",SUMIFS('Check giá'!$J$4:$J$203,'Check giá'!$C$4:$C$203,$A112))</f>
        <v/>
      </c>
      <c r="I112" s="38" t="str">
        <f aca="false">IF($A112="","",COUNTIFS(PR!$D$4:$D$203,$A112))</f>
        <v/>
      </c>
      <c r="J112" s="38" t="str">
        <f aca="false">IF($A112="","",SUMIFS(PR!$L$4:$L$203,PR!$D$4:$D$203,$A112))</f>
        <v/>
      </c>
      <c r="K112" s="38" t="str">
        <f aca="false">IF($A112="","",COUNTIFS(PO!$D$4:$D$203,$A112))</f>
        <v/>
      </c>
      <c r="L112" s="38" t="str">
        <f aca="false">IF($A112="","",SUMIFS(PO!$L$4:$L$203,PO!$D$4:$D$203,$A112))</f>
        <v/>
      </c>
      <c r="M112" s="38" t="str">
        <f aca="false">IF($A112="","",SUMIFS(PO!$N$4:$N$203,PO!$D$4:$D$203,$A112))</f>
        <v/>
      </c>
      <c r="N112" s="39" t="str">
        <f aca="false">IF($A112="","",IFERROR($L112/$E112,""))</f>
        <v/>
      </c>
      <c r="O112" s="38" t="str">
        <f aca="false">IF($A112="","",IFERROR($E112-$L112,""))</f>
        <v/>
      </c>
      <c r="P112" s="38" t="str">
        <f aca="false">IF($A112="","",COUNTIFS(PO!$D$4:$D$203,$A112,PO!$S$4:$S$203,"Đúng hạn")+COUNTIFS(PO!$D$4:$D$203,$A112,PO!$S$4:$S$203,"Giao trễ")+COUNTIFS(PO!$D$4:$D$203,$A112,PO!$S$4:$S$203,"Trễ hạn"))</f>
        <v/>
      </c>
      <c r="Q112" s="38" t="str">
        <f aca="false">IF($A112="","",COUNTIFS(PO!$D$4:$D$203,$A112,PO!$S$4:$S$203,"Đúng hạn"))</f>
        <v/>
      </c>
      <c r="R112" s="39" t="str">
        <f aca="false">IF($A112="","",IFERROR($Q112/$P112,""))</f>
        <v/>
      </c>
      <c r="S112" s="38" t="str">
        <f aca="false">IF($A112="","",SUMIFS('Thanh toán'!$H$4:$H$203,'Thanh toán'!$D$4:$D$203,$A112))</f>
        <v/>
      </c>
      <c r="T112" s="38" t="str">
        <f aca="false">IF($A112="","",SUMIFS('Công nợ'!$I$4:$I$203,'Công nợ'!$B$4:$B$203,$A112))</f>
        <v/>
      </c>
      <c r="U112" s="38" t="str">
        <f aca="false">IF($A112="","",SUMIFS('Công nợ'!$I$4:$I$203,'Công nợ'!$B$4:$B$203,$A112,'Công nợ'!$K$4:$K$203,"&gt;0"))</f>
        <v/>
      </c>
    </row>
    <row r="113" customFormat="false" ht="15" hidden="false" customHeight="false" outlineLevel="0" collapsed="false">
      <c r="A113" s="37" t="str">
        <f aca="false">IF('Dự án'!$A113="","",'Dự án'!$A113)</f>
        <v/>
      </c>
      <c r="B113" s="37" t="str">
        <f aca="false">IF($A113="","",'Dự án'!$B113)</f>
        <v/>
      </c>
      <c r="C113" s="37" t="str">
        <f aca="false">IF($A113="","",'Dự án'!$C113)</f>
        <v/>
      </c>
      <c r="D113" s="37" t="str">
        <f aca="false">IF($A113="","",'Dự án'!$H113)</f>
        <v/>
      </c>
      <c r="E113" s="38" t="str">
        <f aca="false">IF($A113="","",'Dự án'!$G113)</f>
        <v/>
      </c>
      <c r="F113" s="38" t="str">
        <f aca="false">IF($A113="","",COUNTIFS('Check giá'!$C$4:$C$203,$A113))</f>
        <v/>
      </c>
      <c r="G113" s="38" t="str">
        <f aca="false">IF($A113="","",COUNTIFS('Check giá'!$C$4:$C$203,$A113,'Check giá'!$O$4:$O$203,"Đang xử lý")+COUNTIFS('Check giá'!$C$4:$C$203,$A113,'Check giá'!$O$4:$O$203,"Quá hạn chưa trả"))</f>
        <v/>
      </c>
      <c r="H113" s="38" t="str">
        <f aca="false">IF($A113="","",SUMIFS('Check giá'!$J$4:$J$203,'Check giá'!$C$4:$C$203,$A113))</f>
        <v/>
      </c>
      <c r="I113" s="38" t="str">
        <f aca="false">IF($A113="","",COUNTIFS(PR!$D$4:$D$203,$A113))</f>
        <v/>
      </c>
      <c r="J113" s="38" t="str">
        <f aca="false">IF($A113="","",SUMIFS(PR!$L$4:$L$203,PR!$D$4:$D$203,$A113))</f>
        <v/>
      </c>
      <c r="K113" s="38" t="str">
        <f aca="false">IF($A113="","",COUNTIFS(PO!$D$4:$D$203,$A113))</f>
        <v/>
      </c>
      <c r="L113" s="38" t="str">
        <f aca="false">IF($A113="","",SUMIFS(PO!$L$4:$L$203,PO!$D$4:$D$203,$A113))</f>
        <v/>
      </c>
      <c r="M113" s="38" t="str">
        <f aca="false">IF($A113="","",SUMIFS(PO!$N$4:$N$203,PO!$D$4:$D$203,$A113))</f>
        <v/>
      </c>
      <c r="N113" s="39" t="str">
        <f aca="false">IF($A113="","",IFERROR($L113/$E113,""))</f>
        <v/>
      </c>
      <c r="O113" s="38" t="str">
        <f aca="false">IF($A113="","",IFERROR($E113-$L113,""))</f>
        <v/>
      </c>
      <c r="P113" s="38" t="str">
        <f aca="false">IF($A113="","",COUNTIFS(PO!$D$4:$D$203,$A113,PO!$S$4:$S$203,"Đúng hạn")+COUNTIFS(PO!$D$4:$D$203,$A113,PO!$S$4:$S$203,"Giao trễ")+COUNTIFS(PO!$D$4:$D$203,$A113,PO!$S$4:$S$203,"Trễ hạn"))</f>
        <v/>
      </c>
      <c r="Q113" s="38" t="str">
        <f aca="false">IF($A113="","",COUNTIFS(PO!$D$4:$D$203,$A113,PO!$S$4:$S$203,"Đúng hạn"))</f>
        <v/>
      </c>
      <c r="R113" s="39" t="str">
        <f aca="false">IF($A113="","",IFERROR($Q113/$P113,""))</f>
        <v/>
      </c>
      <c r="S113" s="38" t="str">
        <f aca="false">IF($A113="","",SUMIFS('Thanh toán'!$H$4:$H$203,'Thanh toán'!$D$4:$D$203,$A113))</f>
        <v/>
      </c>
      <c r="T113" s="38" t="str">
        <f aca="false">IF($A113="","",SUMIFS('Công nợ'!$I$4:$I$203,'Công nợ'!$B$4:$B$203,$A113))</f>
        <v/>
      </c>
      <c r="U113" s="38" t="str">
        <f aca="false">IF($A113="","",SUMIFS('Công nợ'!$I$4:$I$203,'Công nợ'!$B$4:$B$203,$A113,'Công nợ'!$K$4:$K$203,"&gt;0"))</f>
        <v/>
      </c>
    </row>
    <row r="114" customFormat="false" ht="15" hidden="false" customHeight="false" outlineLevel="0" collapsed="false">
      <c r="A114" s="37" t="str">
        <f aca="false">IF('Dự án'!$A114="","",'Dự án'!$A114)</f>
        <v/>
      </c>
      <c r="B114" s="37" t="str">
        <f aca="false">IF($A114="","",'Dự án'!$B114)</f>
        <v/>
      </c>
      <c r="C114" s="37" t="str">
        <f aca="false">IF($A114="","",'Dự án'!$C114)</f>
        <v/>
      </c>
      <c r="D114" s="37" t="str">
        <f aca="false">IF($A114="","",'Dự án'!$H114)</f>
        <v/>
      </c>
      <c r="E114" s="38" t="str">
        <f aca="false">IF($A114="","",'Dự án'!$G114)</f>
        <v/>
      </c>
      <c r="F114" s="38" t="str">
        <f aca="false">IF($A114="","",COUNTIFS('Check giá'!$C$4:$C$203,$A114))</f>
        <v/>
      </c>
      <c r="G114" s="38" t="str">
        <f aca="false">IF($A114="","",COUNTIFS('Check giá'!$C$4:$C$203,$A114,'Check giá'!$O$4:$O$203,"Đang xử lý")+COUNTIFS('Check giá'!$C$4:$C$203,$A114,'Check giá'!$O$4:$O$203,"Quá hạn chưa trả"))</f>
        <v/>
      </c>
      <c r="H114" s="38" t="str">
        <f aca="false">IF($A114="","",SUMIFS('Check giá'!$J$4:$J$203,'Check giá'!$C$4:$C$203,$A114))</f>
        <v/>
      </c>
      <c r="I114" s="38" t="str">
        <f aca="false">IF($A114="","",COUNTIFS(PR!$D$4:$D$203,$A114))</f>
        <v/>
      </c>
      <c r="J114" s="38" t="str">
        <f aca="false">IF($A114="","",SUMIFS(PR!$L$4:$L$203,PR!$D$4:$D$203,$A114))</f>
        <v/>
      </c>
      <c r="K114" s="38" t="str">
        <f aca="false">IF($A114="","",COUNTIFS(PO!$D$4:$D$203,$A114))</f>
        <v/>
      </c>
      <c r="L114" s="38" t="str">
        <f aca="false">IF($A114="","",SUMIFS(PO!$L$4:$L$203,PO!$D$4:$D$203,$A114))</f>
        <v/>
      </c>
      <c r="M114" s="38" t="str">
        <f aca="false">IF($A114="","",SUMIFS(PO!$N$4:$N$203,PO!$D$4:$D$203,$A114))</f>
        <v/>
      </c>
      <c r="N114" s="39" t="str">
        <f aca="false">IF($A114="","",IFERROR($L114/$E114,""))</f>
        <v/>
      </c>
      <c r="O114" s="38" t="str">
        <f aca="false">IF($A114="","",IFERROR($E114-$L114,""))</f>
        <v/>
      </c>
      <c r="P114" s="38" t="str">
        <f aca="false">IF($A114="","",COUNTIFS(PO!$D$4:$D$203,$A114,PO!$S$4:$S$203,"Đúng hạn")+COUNTIFS(PO!$D$4:$D$203,$A114,PO!$S$4:$S$203,"Giao trễ")+COUNTIFS(PO!$D$4:$D$203,$A114,PO!$S$4:$S$203,"Trễ hạn"))</f>
        <v/>
      </c>
      <c r="Q114" s="38" t="str">
        <f aca="false">IF($A114="","",COUNTIFS(PO!$D$4:$D$203,$A114,PO!$S$4:$S$203,"Đúng hạn"))</f>
        <v/>
      </c>
      <c r="R114" s="39" t="str">
        <f aca="false">IF($A114="","",IFERROR($Q114/$P114,""))</f>
        <v/>
      </c>
      <c r="S114" s="38" t="str">
        <f aca="false">IF($A114="","",SUMIFS('Thanh toán'!$H$4:$H$203,'Thanh toán'!$D$4:$D$203,$A114))</f>
        <v/>
      </c>
      <c r="T114" s="38" t="str">
        <f aca="false">IF($A114="","",SUMIFS('Công nợ'!$I$4:$I$203,'Công nợ'!$B$4:$B$203,$A114))</f>
        <v/>
      </c>
      <c r="U114" s="38" t="str">
        <f aca="false">IF($A114="","",SUMIFS('Công nợ'!$I$4:$I$203,'Công nợ'!$B$4:$B$203,$A114,'Công nợ'!$K$4:$K$203,"&gt;0"))</f>
        <v/>
      </c>
    </row>
    <row r="115" customFormat="false" ht="15" hidden="false" customHeight="false" outlineLevel="0" collapsed="false">
      <c r="A115" s="37" t="str">
        <f aca="false">IF('Dự án'!$A115="","",'Dự án'!$A115)</f>
        <v/>
      </c>
      <c r="B115" s="37" t="str">
        <f aca="false">IF($A115="","",'Dự án'!$B115)</f>
        <v/>
      </c>
      <c r="C115" s="37" t="str">
        <f aca="false">IF($A115="","",'Dự án'!$C115)</f>
        <v/>
      </c>
      <c r="D115" s="37" t="str">
        <f aca="false">IF($A115="","",'Dự án'!$H115)</f>
        <v/>
      </c>
      <c r="E115" s="38" t="str">
        <f aca="false">IF($A115="","",'Dự án'!$G115)</f>
        <v/>
      </c>
      <c r="F115" s="38" t="str">
        <f aca="false">IF($A115="","",COUNTIFS('Check giá'!$C$4:$C$203,$A115))</f>
        <v/>
      </c>
      <c r="G115" s="38" t="str">
        <f aca="false">IF($A115="","",COUNTIFS('Check giá'!$C$4:$C$203,$A115,'Check giá'!$O$4:$O$203,"Đang xử lý")+COUNTIFS('Check giá'!$C$4:$C$203,$A115,'Check giá'!$O$4:$O$203,"Quá hạn chưa trả"))</f>
        <v/>
      </c>
      <c r="H115" s="38" t="str">
        <f aca="false">IF($A115="","",SUMIFS('Check giá'!$J$4:$J$203,'Check giá'!$C$4:$C$203,$A115))</f>
        <v/>
      </c>
      <c r="I115" s="38" t="str">
        <f aca="false">IF($A115="","",COUNTIFS(PR!$D$4:$D$203,$A115))</f>
        <v/>
      </c>
      <c r="J115" s="38" t="str">
        <f aca="false">IF($A115="","",SUMIFS(PR!$L$4:$L$203,PR!$D$4:$D$203,$A115))</f>
        <v/>
      </c>
      <c r="K115" s="38" t="str">
        <f aca="false">IF($A115="","",COUNTIFS(PO!$D$4:$D$203,$A115))</f>
        <v/>
      </c>
      <c r="L115" s="38" t="str">
        <f aca="false">IF($A115="","",SUMIFS(PO!$L$4:$L$203,PO!$D$4:$D$203,$A115))</f>
        <v/>
      </c>
      <c r="M115" s="38" t="str">
        <f aca="false">IF($A115="","",SUMIFS(PO!$N$4:$N$203,PO!$D$4:$D$203,$A115))</f>
        <v/>
      </c>
      <c r="N115" s="39" t="str">
        <f aca="false">IF($A115="","",IFERROR($L115/$E115,""))</f>
        <v/>
      </c>
      <c r="O115" s="38" t="str">
        <f aca="false">IF($A115="","",IFERROR($E115-$L115,""))</f>
        <v/>
      </c>
      <c r="P115" s="38" t="str">
        <f aca="false">IF($A115="","",COUNTIFS(PO!$D$4:$D$203,$A115,PO!$S$4:$S$203,"Đúng hạn")+COUNTIFS(PO!$D$4:$D$203,$A115,PO!$S$4:$S$203,"Giao trễ")+COUNTIFS(PO!$D$4:$D$203,$A115,PO!$S$4:$S$203,"Trễ hạn"))</f>
        <v/>
      </c>
      <c r="Q115" s="38" t="str">
        <f aca="false">IF($A115="","",COUNTIFS(PO!$D$4:$D$203,$A115,PO!$S$4:$S$203,"Đúng hạn"))</f>
        <v/>
      </c>
      <c r="R115" s="39" t="str">
        <f aca="false">IF($A115="","",IFERROR($Q115/$P115,""))</f>
        <v/>
      </c>
      <c r="S115" s="38" t="str">
        <f aca="false">IF($A115="","",SUMIFS('Thanh toán'!$H$4:$H$203,'Thanh toán'!$D$4:$D$203,$A115))</f>
        <v/>
      </c>
      <c r="T115" s="38" t="str">
        <f aca="false">IF($A115="","",SUMIFS('Công nợ'!$I$4:$I$203,'Công nợ'!$B$4:$B$203,$A115))</f>
        <v/>
      </c>
      <c r="U115" s="38" t="str">
        <f aca="false">IF($A115="","",SUMIFS('Công nợ'!$I$4:$I$203,'Công nợ'!$B$4:$B$203,$A115,'Công nợ'!$K$4:$K$203,"&gt;0"))</f>
        <v/>
      </c>
    </row>
    <row r="116" customFormat="false" ht="15" hidden="false" customHeight="false" outlineLevel="0" collapsed="false">
      <c r="A116" s="37" t="str">
        <f aca="false">IF('Dự án'!$A116="","",'Dự án'!$A116)</f>
        <v/>
      </c>
      <c r="B116" s="37" t="str">
        <f aca="false">IF($A116="","",'Dự án'!$B116)</f>
        <v/>
      </c>
      <c r="C116" s="37" t="str">
        <f aca="false">IF($A116="","",'Dự án'!$C116)</f>
        <v/>
      </c>
      <c r="D116" s="37" t="str">
        <f aca="false">IF($A116="","",'Dự án'!$H116)</f>
        <v/>
      </c>
      <c r="E116" s="38" t="str">
        <f aca="false">IF($A116="","",'Dự án'!$G116)</f>
        <v/>
      </c>
      <c r="F116" s="38" t="str">
        <f aca="false">IF($A116="","",COUNTIFS('Check giá'!$C$4:$C$203,$A116))</f>
        <v/>
      </c>
      <c r="G116" s="38" t="str">
        <f aca="false">IF($A116="","",COUNTIFS('Check giá'!$C$4:$C$203,$A116,'Check giá'!$O$4:$O$203,"Đang xử lý")+COUNTIFS('Check giá'!$C$4:$C$203,$A116,'Check giá'!$O$4:$O$203,"Quá hạn chưa trả"))</f>
        <v/>
      </c>
      <c r="H116" s="38" t="str">
        <f aca="false">IF($A116="","",SUMIFS('Check giá'!$J$4:$J$203,'Check giá'!$C$4:$C$203,$A116))</f>
        <v/>
      </c>
      <c r="I116" s="38" t="str">
        <f aca="false">IF($A116="","",COUNTIFS(PR!$D$4:$D$203,$A116))</f>
        <v/>
      </c>
      <c r="J116" s="38" t="str">
        <f aca="false">IF($A116="","",SUMIFS(PR!$L$4:$L$203,PR!$D$4:$D$203,$A116))</f>
        <v/>
      </c>
      <c r="K116" s="38" t="str">
        <f aca="false">IF($A116="","",COUNTIFS(PO!$D$4:$D$203,$A116))</f>
        <v/>
      </c>
      <c r="L116" s="38" t="str">
        <f aca="false">IF($A116="","",SUMIFS(PO!$L$4:$L$203,PO!$D$4:$D$203,$A116))</f>
        <v/>
      </c>
      <c r="M116" s="38" t="str">
        <f aca="false">IF($A116="","",SUMIFS(PO!$N$4:$N$203,PO!$D$4:$D$203,$A116))</f>
        <v/>
      </c>
      <c r="N116" s="39" t="str">
        <f aca="false">IF($A116="","",IFERROR($L116/$E116,""))</f>
        <v/>
      </c>
      <c r="O116" s="38" t="str">
        <f aca="false">IF($A116="","",IFERROR($E116-$L116,""))</f>
        <v/>
      </c>
      <c r="P116" s="38" t="str">
        <f aca="false">IF($A116="","",COUNTIFS(PO!$D$4:$D$203,$A116,PO!$S$4:$S$203,"Đúng hạn")+COUNTIFS(PO!$D$4:$D$203,$A116,PO!$S$4:$S$203,"Giao trễ")+COUNTIFS(PO!$D$4:$D$203,$A116,PO!$S$4:$S$203,"Trễ hạn"))</f>
        <v/>
      </c>
      <c r="Q116" s="38" t="str">
        <f aca="false">IF($A116="","",COUNTIFS(PO!$D$4:$D$203,$A116,PO!$S$4:$S$203,"Đúng hạn"))</f>
        <v/>
      </c>
      <c r="R116" s="39" t="str">
        <f aca="false">IF($A116="","",IFERROR($Q116/$P116,""))</f>
        <v/>
      </c>
      <c r="S116" s="38" t="str">
        <f aca="false">IF($A116="","",SUMIFS('Thanh toán'!$H$4:$H$203,'Thanh toán'!$D$4:$D$203,$A116))</f>
        <v/>
      </c>
      <c r="T116" s="38" t="str">
        <f aca="false">IF($A116="","",SUMIFS('Công nợ'!$I$4:$I$203,'Công nợ'!$B$4:$B$203,$A116))</f>
        <v/>
      </c>
      <c r="U116" s="38" t="str">
        <f aca="false">IF($A116="","",SUMIFS('Công nợ'!$I$4:$I$203,'Công nợ'!$B$4:$B$203,$A116,'Công nợ'!$K$4:$K$203,"&gt;0"))</f>
        <v/>
      </c>
    </row>
    <row r="117" customFormat="false" ht="15" hidden="false" customHeight="false" outlineLevel="0" collapsed="false">
      <c r="A117" s="37" t="str">
        <f aca="false">IF('Dự án'!$A117="","",'Dự án'!$A117)</f>
        <v/>
      </c>
      <c r="B117" s="37" t="str">
        <f aca="false">IF($A117="","",'Dự án'!$B117)</f>
        <v/>
      </c>
      <c r="C117" s="37" t="str">
        <f aca="false">IF($A117="","",'Dự án'!$C117)</f>
        <v/>
      </c>
      <c r="D117" s="37" t="str">
        <f aca="false">IF($A117="","",'Dự án'!$H117)</f>
        <v/>
      </c>
      <c r="E117" s="38" t="str">
        <f aca="false">IF($A117="","",'Dự án'!$G117)</f>
        <v/>
      </c>
      <c r="F117" s="38" t="str">
        <f aca="false">IF($A117="","",COUNTIFS('Check giá'!$C$4:$C$203,$A117))</f>
        <v/>
      </c>
      <c r="G117" s="38" t="str">
        <f aca="false">IF($A117="","",COUNTIFS('Check giá'!$C$4:$C$203,$A117,'Check giá'!$O$4:$O$203,"Đang xử lý")+COUNTIFS('Check giá'!$C$4:$C$203,$A117,'Check giá'!$O$4:$O$203,"Quá hạn chưa trả"))</f>
        <v/>
      </c>
      <c r="H117" s="38" t="str">
        <f aca="false">IF($A117="","",SUMIFS('Check giá'!$J$4:$J$203,'Check giá'!$C$4:$C$203,$A117))</f>
        <v/>
      </c>
      <c r="I117" s="38" t="str">
        <f aca="false">IF($A117="","",COUNTIFS(PR!$D$4:$D$203,$A117))</f>
        <v/>
      </c>
      <c r="J117" s="38" t="str">
        <f aca="false">IF($A117="","",SUMIFS(PR!$L$4:$L$203,PR!$D$4:$D$203,$A117))</f>
        <v/>
      </c>
      <c r="K117" s="38" t="str">
        <f aca="false">IF($A117="","",COUNTIFS(PO!$D$4:$D$203,$A117))</f>
        <v/>
      </c>
      <c r="L117" s="38" t="str">
        <f aca="false">IF($A117="","",SUMIFS(PO!$L$4:$L$203,PO!$D$4:$D$203,$A117))</f>
        <v/>
      </c>
      <c r="M117" s="38" t="str">
        <f aca="false">IF($A117="","",SUMIFS(PO!$N$4:$N$203,PO!$D$4:$D$203,$A117))</f>
        <v/>
      </c>
      <c r="N117" s="39" t="str">
        <f aca="false">IF($A117="","",IFERROR($L117/$E117,""))</f>
        <v/>
      </c>
      <c r="O117" s="38" t="str">
        <f aca="false">IF($A117="","",IFERROR($E117-$L117,""))</f>
        <v/>
      </c>
      <c r="P117" s="38" t="str">
        <f aca="false">IF($A117="","",COUNTIFS(PO!$D$4:$D$203,$A117,PO!$S$4:$S$203,"Đúng hạn")+COUNTIFS(PO!$D$4:$D$203,$A117,PO!$S$4:$S$203,"Giao trễ")+COUNTIFS(PO!$D$4:$D$203,$A117,PO!$S$4:$S$203,"Trễ hạn"))</f>
        <v/>
      </c>
      <c r="Q117" s="38" t="str">
        <f aca="false">IF($A117="","",COUNTIFS(PO!$D$4:$D$203,$A117,PO!$S$4:$S$203,"Đúng hạn"))</f>
        <v/>
      </c>
      <c r="R117" s="39" t="str">
        <f aca="false">IF($A117="","",IFERROR($Q117/$P117,""))</f>
        <v/>
      </c>
      <c r="S117" s="38" t="str">
        <f aca="false">IF($A117="","",SUMIFS('Thanh toán'!$H$4:$H$203,'Thanh toán'!$D$4:$D$203,$A117))</f>
        <v/>
      </c>
      <c r="T117" s="38" t="str">
        <f aca="false">IF($A117="","",SUMIFS('Công nợ'!$I$4:$I$203,'Công nợ'!$B$4:$B$203,$A117))</f>
        <v/>
      </c>
      <c r="U117" s="38" t="str">
        <f aca="false">IF($A117="","",SUMIFS('Công nợ'!$I$4:$I$203,'Công nợ'!$B$4:$B$203,$A117,'Công nợ'!$K$4:$K$203,"&gt;0"))</f>
        <v/>
      </c>
    </row>
    <row r="118" customFormat="false" ht="15" hidden="false" customHeight="false" outlineLevel="0" collapsed="false">
      <c r="A118" s="37" t="str">
        <f aca="false">IF('Dự án'!$A118="","",'Dự án'!$A118)</f>
        <v/>
      </c>
      <c r="B118" s="37" t="str">
        <f aca="false">IF($A118="","",'Dự án'!$B118)</f>
        <v/>
      </c>
      <c r="C118" s="37" t="str">
        <f aca="false">IF($A118="","",'Dự án'!$C118)</f>
        <v/>
      </c>
      <c r="D118" s="37" t="str">
        <f aca="false">IF($A118="","",'Dự án'!$H118)</f>
        <v/>
      </c>
      <c r="E118" s="38" t="str">
        <f aca="false">IF($A118="","",'Dự án'!$G118)</f>
        <v/>
      </c>
      <c r="F118" s="38" t="str">
        <f aca="false">IF($A118="","",COUNTIFS('Check giá'!$C$4:$C$203,$A118))</f>
        <v/>
      </c>
      <c r="G118" s="38" t="str">
        <f aca="false">IF($A118="","",COUNTIFS('Check giá'!$C$4:$C$203,$A118,'Check giá'!$O$4:$O$203,"Đang xử lý")+COUNTIFS('Check giá'!$C$4:$C$203,$A118,'Check giá'!$O$4:$O$203,"Quá hạn chưa trả"))</f>
        <v/>
      </c>
      <c r="H118" s="38" t="str">
        <f aca="false">IF($A118="","",SUMIFS('Check giá'!$J$4:$J$203,'Check giá'!$C$4:$C$203,$A118))</f>
        <v/>
      </c>
      <c r="I118" s="38" t="str">
        <f aca="false">IF($A118="","",COUNTIFS(PR!$D$4:$D$203,$A118))</f>
        <v/>
      </c>
      <c r="J118" s="38" t="str">
        <f aca="false">IF($A118="","",SUMIFS(PR!$L$4:$L$203,PR!$D$4:$D$203,$A118))</f>
        <v/>
      </c>
      <c r="K118" s="38" t="str">
        <f aca="false">IF($A118="","",COUNTIFS(PO!$D$4:$D$203,$A118))</f>
        <v/>
      </c>
      <c r="L118" s="38" t="str">
        <f aca="false">IF($A118="","",SUMIFS(PO!$L$4:$L$203,PO!$D$4:$D$203,$A118))</f>
        <v/>
      </c>
      <c r="M118" s="38" t="str">
        <f aca="false">IF($A118="","",SUMIFS(PO!$N$4:$N$203,PO!$D$4:$D$203,$A118))</f>
        <v/>
      </c>
      <c r="N118" s="39" t="str">
        <f aca="false">IF($A118="","",IFERROR($L118/$E118,""))</f>
        <v/>
      </c>
      <c r="O118" s="38" t="str">
        <f aca="false">IF($A118="","",IFERROR($E118-$L118,""))</f>
        <v/>
      </c>
      <c r="P118" s="38" t="str">
        <f aca="false">IF($A118="","",COUNTIFS(PO!$D$4:$D$203,$A118,PO!$S$4:$S$203,"Đúng hạn")+COUNTIFS(PO!$D$4:$D$203,$A118,PO!$S$4:$S$203,"Giao trễ")+COUNTIFS(PO!$D$4:$D$203,$A118,PO!$S$4:$S$203,"Trễ hạn"))</f>
        <v/>
      </c>
      <c r="Q118" s="38" t="str">
        <f aca="false">IF($A118="","",COUNTIFS(PO!$D$4:$D$203,$A118,PO!$S$4:$S$203,"Đúng hạn"))</f>
        <v/>
      </c>
      <c r="R118" s="39" t="str">
        <f aca="false">IF($A118="","",IFERROR($Q118/$P118,""))</f>
        <v/>
      </c>
      <c r="S118" s="38" t="str">
        <f aca="false">IF($A118="","",SUMIFS('Thanh toán'!$H$4:$H$203,'Thanh toán'!$D$4:$D$203,$A118))</f>
        <v/>
      </c>
      <c r="T118" s="38" t="str">
        <f aca="false">IF($A118="","",SUMIFS('Công nợ'!$I$4:$I$203,'Công nợ'!$B$4:$B$203,$A118))</f>
        <v/>
      </c>
      <c r="U118" s="38" t="str">
        <f aca="false">IF($A118="","",SUMIFS('Công nợ'!$I$4:$I$203,'Công nợ'!$B$4:$B$203,$A118,'Công nợ'!$K$4:$K$203,"&gt;0"))</f>
        <v/>
      </c>
    </row>
    <row r="119" customFormat="false" ht="15" hidden="false" customHeight="false" outlineLevel="0" collapsed="false">
      <c r="A119" s="37" t="str">
        <f aca="false">IF('Dự án'!$A119="","",'Dự án'!$A119)</f>
        <v/>
      </c>
      <c r="B119" s="37" t="str">
        <f aca="false">IF($A119="","",'Dự án'!$B119)</f>
        <v/>
      </c>
      <c r="C119" s="37" t="str">
        <f aca="false">IF($A119="","",'Dự án'!$C119)</f>
        <v/>
      </c>
      <c r="D119" s="37" t="str">
        <f aca="false">IF($A119="","",'Dự án'!$H119)</f>
        <v/>
      </c>
      <c r="E119" s="38" t="str">
        <f aca="false">IF($A119="","",'Dự án'!$G119)</f>
        <v/>
      </c>
      <c r="F119" s="38" t="str">
        <f aca="false">IF($A119="","",COUNTIFS('Check giá'!$C$4:$C$203,$A119))</f>
        <v/>
      </c>
      <c r="G119" s="38" t="str">
        <f aca="false">IF($A119="","",COUNTIFS('Check giá'!$C$4:$C$203,$A119,'Check giá'!$O$4:$O$203,"Đang xử lý")+COUNTIFS('Check giá'!$C$4:$C$203,$A119,'Check giá'!$O$4:$O$203,"Quá hạn chưa trả"))</f>
        <v/>
      </c>
      <c r="H119" s="38" t="str">
        <f aca="false">IF($A119="","",SUMIFS('Check giá'!$J$4:$J$203,'Check giá'!$C$4:$C$203,$A119))</f>
        <v/>
      </c>
      <c r="I119" s="38" t="str">
        <f aca="false">IF($A119="","",COUNTIFS(PR!$D$4:$D$203,$A119))</f>
        <v/>
      </c>
      <c r="J119" s="38" t="str">
        <f aca="false">IF($A119="","",SUMIFS(PR!$L$4:$L$203,PR!$D$4:$D$203,$A119))</f>
        <v/>
      </c>
      <c r="K119" s="38" t="str">
        <f aca="false">IF($A119="","",COUNTIFS(PO!$D$4:$D$203,$A119))</f>
        <v/>
      </c>
      <c r="L119" s="38" t="str">
        <f aca="false">IF($A119="","",SUMIFS(PO!$L$4:$L$203,PO!$D$4:$D$203,$A119))</f>
        <v/>
      </c>
      <c r="M119" s="38" t="str">
        <f aca="false">IF($A119="","",SUMIFS(PO!$N$4:$N$203,PO!$D$4:$D$203,$A119))</f>
        <v/>
      </c>
      <c r="N119" s="39" t="str">
        <f aca="false">IF($A119="","",IFERROR($L119/$E119,""))</f>
        <v/>
      </c>
      <c r="O119" s="38" t="str">
        <f aca="false">IF($A119="","",IFERROR($E119-$L119,""))</f>
        <v/>
      </c>
      <c r="P119" s="38" t="str">
        <f aca="false">IF($A119="","",COUNTIFS(PO!$D$4:$D$203,$A119,PO!$S$4:$S$203,"Đúng hạn")+COUNTIFS(PO!$D$4:$D$203,$A119,PO!$S$4:$S$203,"Giao trễ")+COUNTIFS(PO!$D$4:$D$203,$A119,PO!$S$4:$S$203,"Trễ hạn"))</f>
        <v/>
      </c>
      <c r="Q119" s="38" t="str">
        <f aca="false">IF($A119="","",COUNTIFS(PO!$D$4:$D$203,$A119,PO!$S$4:$S$203,"Đúng hạn"))</f>
        <v/>
      </c>
      <c r="R119" s="39" t="str">
        <f aca="false">IF($A119="","",IFERROR($Q119/$P119,""))</f>
        <v/>
      </c>
      <c r="S119" s="38" t="str">
        <f aca="false">IF($A119="","",SUMIFS('Thanh toán'!$H$4:$H$203,'Thanh toán'!$D$4:$D$203,$A119))</f>
        <v/>
      </c>
      <c r="T119" s="38" t="str">
        <f aca="false">IF($A119="","",SUMIFS('Công nợ'!$I$4:$I$203,'Công nợ'!$B$4:$B$203,$A119))</f>
        <v/>
      </c>
      <c r="U119" s="38" t="str">
        <f aca="false">IF($A119="","",SUMIFS('Công nợ'!$I$4:$I$203,'Công nợ'!$B$4:$B$203,$A119,'Công nợ'!$K$4:$K$203,"&gt;0"))</f>
        <v/>
      </c>
    </row>
    <row r="120" customFormat="false" ht="15" hidden="false" customHeight="false" outlineLevel="0" collapsed="false">
      <c r="A120" s="37" t="str">
        <f aca="false">IF('Dự án'!$A120="","",'Dự án'!$A120)</f>
        <v/>
      </c>
      <c r="B120" s="37" t="str">
        <f aca="false">IF($A120="","",'Dự án'!$B120)</f>
        <v/>
      </c>
      <c r="C120" s="37" t="str">
        <f aca="false">IF($A120="","",'Dự án'!$C120)</f>
        <v/>
      </c>
      <c r="D120" s="37" t="str">
        <f aca="false">IF($A120="","",'Dự án'!$H120)</f>
        <v/>
      </c>
      <c r="E120" s="38" t="str">
        <f aca="false">IF($A120="","",'Dự án'!$G120)</f>
        <v/>
      </c>
      <c r="F120" s="38" t="str">
        <f aca="false">IF($A120="","",COUNTIFS('Check giá'!$C$4:$C$203,$A120))</f>
        <v/>
      </c>
      <c r="G120" s="38" t="str">
        <f aca="false">IF($A120="","",COUNTIFS('Check giá'!$C$4:$C$203,$A120,'Check giá'!$O$4:$O$203,"Đang xử lý")+COUNTIFS('Check giá'!$C$4:$C$203,$A120,'Check giá'!$O$4:$O$203,"Quá hạn chưa trả"))</f>
        <v/>
      </c>
      <c r="H120" s="38" t="str">
        <f aca="false">IF($A120="","",SUMIFS('Check giá'!$J$4:$J$203,'Check giá'!$C$4:$C$203,$A120))</f>
        <v/>
      </c>
      <c r="I120" s="38" t="str">
        <f aca="false">IF($A120="","",COUNTIFS(PR!$D$4:$D$203,$A120))</f>
        <v/>
      </c>
      <c r="J120" s="38" t="str">
        <f aca="false">IF($A120="","",SUMIFS(PR!$L$4:$L$203,PR!$D$4:$D$203,$A120))</f>
        <v/>
      </c>
      <c r="K120" s="38" t="str">
        <f aca="false">IF($A120="","",COUNTIFS(PO!$D$4:$D$203,$A120))</f>
        <v/>
      </c>
      <c r="L120" s="38" t="str">
        <f aca="false">IF($A120="","",SUMIFS(PO!$L$4:$L$203,PO!$D$4:$D$203,$A120))</f>
        <v/>
      </c>
      <c r="M120" s="38" t="str">
        <f aca="false">IF($A120="","",SUMIFS(PO!$N$4:$N$203,PO!$D$4:$D$203,$A120))</f>
        <v/>
      </c>
      <c r="N120" s="39" t="str">
        <f aca="false">IF($A120="","",IFERROR($L120/$E120,""))</f>
        <v/>
      </c>
      <c r="O120" s="38" t="str">
        <f aca="false">IF($A120="","",IFERROR($E120-$L120,""))</f>
        <v/>
      </c>
      <c r="P120" s="38" t="str">
        <f aca="false">IF($A120="","",COUNTIFS(PO!$D$4:$D$203,$A120,PO!$S$4:$S$203,"Đúng hạn")+COUNTIFS(PO!$D$4:$D$203,$A120,PO!$S$4:$S$203,"Giao trễ")+COUNTIFS(PO!$D$4:$D$203,$A120,PO!$S$4:$S$203,"Trễ hạn"))</f>
        <v/>
      </c>
      <c r="Q120" s="38" t="str">
        <f aca="false">IF($A120="","",COUNTIFS(PO!$D$4:$D$203,$A120,PO!$S$4:$S$203,"Đúng hạn"))</f>
        <v/>
      </c>
      <c r="R120" s="39" t="str">
        <f aca="false">IF($A120="","",IFERROR($Q120/$P120,""))</f>
        <v/>
      </c>
      <c r="S120" s="38" t="str">
        <f aca="false">IF($A120="","",SUMIFS('Thanh toán'!$H$4:$H$203,'Thanh toán'!$D$4:$D$203,$A120))</f>
        <v/>
      </c>
      <c r="T120" s="38" t="str">
        <f aca="false">IF($A120="","",SUMIFS('Công nợ'!$I$4:$I$203,'Công nợ'!$B$4:$B$203,$A120))</f>
        <v/>
      </c>
      <c r="U120" s="38" t="str">
        <f aca="false">IF($A120="","",SUMIFS('Công nợ'!$I$4:$I$203,'Công nợ'!$B$4:$B$203,$A120,'Công nợ'!$K$4:$K$203,"&gt;0"))</f>
        <v/>
      </c>
    </row>
    <row r="121" customFormat="false" ht="15" hidden="false" customHeight="false" outlineLevel="0" collapsed="false">
      <c r="A121" s="37" t="str">
        <f aca="false">IF('Dự án'!$A121="","",'Dự án'!$A121)</f>
        <v/>
      </c>
      <c r="B121" s="37" t="str">
        <f aca="false">IF($A121="","",'Dự án'!$B121)</f>
        <v/>
      </c>
      <c r="C121" s="37" t="str">
        <f aca="false">IF($A121="","",'Dự án'!$C121)</f>
        <v/>
      </c>
      <c r="D121" s="37" t="str">
        <f aca="false">IF($A121="","",'Dự án'!$H121)</f>
        <v/>
      </c>
      <c r="E121" s="38" t="str">
        <f aca="false">IF($A121="","",'Dự án'!$G121)</f>
        <v/>
      </c>
      <c r="F121" s="38" t="str">
        <f aca="false">IF($A121="","",COUNTIFS('Check giá'!$C$4:$C$203,$A121))</f>
        <v/>
      </c>
      <c r="G121" s="38" t="str">
        <f aca="false">IF($A121="","",COUNTIFS('Check giá'!$C$4:$C$203,$A121,'Check giá'!$O$4:$O$203,"Đang xử lý")+COUNTIFS('Check giá'!$C$4:$C$203,$A121,'Check giá'!$O$4:$O$203,"Quá hạn chưa trả"))</f>
        <v/>
      </c>
      <c r="H121" s="38" t="str">
        <f aca="false">IF($A121="","",SUMIFS('Check giá'!$J$4:$J$203,'Check giá'!$C$4:$C$203,$A121))</f>
        <v/>
      </c>
      <c r="I121" s="38" t="str">
        <f aca="false">IF($A121="","",COUNTIFS(PR!$D$4:$D$203,$A121))</f>
        <v/>
      </c>
      <c r="J121" s="38" t="str">
        <f aca="false">IF($A121="","",SUMIFS(PR!$L$4:$L$203,PR!$D$4:$D$203,$A121))</f>
        <v/>
      </c>
      <c r="K121" s="38" t="str">
        <f aca="false">IF($A121="","",COUNTIFS(PO!$D$4:$D$203,$A121))</f>
        <v/>
      </c>
      <c r="L121" s="38" t="str">
        <f aca="false">IF($A121="","",SUMIFS(PO!$L$4:$L$203,PO!$D$4:$D$203,$A121))</f>
        <v/>
      </c>
      <c r="M121" s="38" t="str">
        <f aca="false">IF($A121="","",SUMIFS(PO!$N$4:$N$203,PO!$D$4:$D$203,$A121))</f>
        <v/>
      </c>
      <c r="N121" s="39" t="str">
        <f aca="false">IF($A121="","",IFERROR($L121/$E121,""))</f>
        <v/>
      </c>
      <c r="O121" s="38" t="str">
        <f aca="false">IF($A121="","",IFERROR($E121-$L121,""))</f>
        <v/>
      </c>
      <c r="P121" s="38" t="str">
        <f aca="false">IF($A121="","",COUNTIFS(PO!$D$4:$D$203,$A121,PO!$S$4:$S$203,"Đúng hạn")+COUNTIFS(PO!$D$4:$D$203,$A121,PO!$S$4:$S$203,"Giao trễ")+COUNTIFS(PO!$D$4:$D$203,$A121,PO!$S$4:$S$203,"Trễ hạn"))</f>
        <v/>
      </c>
      <c r="Q121" s="38" t="str">
        <f aca="false">IF($A121="","",COUNTIFS(PO!$D$4:$D$203,$A121,PO!$S$4:$S$203,"Đúng hạn"))</f>
        <v/>
      </c>
      <c r="R121" s="39" t="str">
        <f aca="false">IF($A121="","",IFERROR($Q121/$P121,""))</f>
        <v/>
      </c>
      <c r="S121" s="38" t="str">
        <f aca="false">IF($A121="","",SUMIFS('Thanh toán'!$H$4:$H$203,'Thanh toán'!$D$4:$D$203,$A121))</f>
        <v/>
      </c>
      <c r="T121" s="38" t="str">
        <f aca="false">IF($A121="","",SUMIFS('Công nợ'!$I$4:$I$203,'Công nợ'!$B$4:$B$203,$A121))</f>
        <v/>
      </c>
      <c r="U121" s="38" t="str">
        <f aca="false">IF($A121="","",SUMIFS('Công nợ'!$I$4:$I$203,'Công nợ'!$B$4:$B$203,$A121,'Công nợ'!$K$4:$K$203,"&gt;0"))</f>
        <v/>
      </c>
    </row>
    <row r="122" customFormat="false" ht="15" hidden="false" customHeight="false" outlineLevel="0" collapsed="false">
      <c r="A122" s="37" t="str">
        <f aca="false">IF('Dự án'!$A122="","",'Dự án'!$A122)</f>
        <v/>
      </c>
      <c r="B122" s="37" t="str">
        <f aca="false">IF($A122="","",'Dự án'!$B122)</f>
        <v/>
      </c>
      <c r="C122" s="37" t="str">
        <f aca="false">IF($A122="","",'Dự án'!$C122)</f>
        <v/>
      </c>
      <c r="D122" s="37" t="str">
        <f aca="false">IF($A122="","",'Dự án'!$H122)</f>
        <v/>
      </c>
      <c r="E122" s="38" t="str">
        <f aca="false">IF($A122="","",'Dự án'!$G122)</f>
        <v/>
      </c>
      <c r="F122" s="38" t="str">
        <f aca="false">IF($A122="","",COUNTIFS('Check giá'!$C$4:$C$203,$A122))</f>
        <v/>
      </c>
      <c r="G122" s="38" t="str">
        <f aca="false">IF($A122="","",COUNTIFS('Check giá'!$C$4:$C$203,$A122,'Check giá'!$O$4:$O$203,"Đang xử lý")+COUNTIFS('Check giá'!$C$4:$C$203,$A122,'Check giá'!$O$4:$O$203,"Quá hạn chưa trả"))</f>
        <v/>
      </c>
      <c r="H122" s="38" t="str">
        <f aca="false">IF($A122="","",SUMIFS('Check giá'!$J$4:$J$203,'Check giá'!$C$4:$C$203,$A122))</f>
        <v/>
      </c>
      <c r="I122" s="38" t="str">
        <f aca="false">IF($A122="","",COUNTIFS(PR!$D$4:$D$203,$A122))</f>
        <v/>
      </c>
      <c r="J122" s="38" t="str">
        <f aca="false">IF($A122="","",SUMIFS(PR!$L$4:$L$203,PR!$D$4:$D$203,$A122))</f>
        <v/>
      </c>
      <c r="K122" s="38" t="str">
        <f aca="false">IF($A122="","",COUNTIFS(PO!$D$4:$D$203,$A122))</f>
        <v/>
      </c>
      <c r="L122" s="38" t="str">
        <f aca="false">IF($A122="","",SUMIFS(PO!$L$4:$L$203,PO!$D$4:$D$203,$A122))</f>
        <v/>
      </c>
      <c r="M122" s="38" t="str">
        <f aca="false">IF($A122="","",SUMIFS(PO!$N$4:$N$203,PO!$D$4:$D$203,$A122))</f>
        <v/>
      </c>
      <c r="N122" s="39" t="str">
        <f aca="false">IF($A122="","",IFERROR($L122/$E122,""))</f>
        <v/>
      </c>
      <c r="O122" s="38" t="str">
        <f aca="false">IF($A122="","",IFERROR($E122-$L122,""))</f>
        <v/>
      </c>
      <c r="P122" s="38" t="str">
        <f aca="false">IF($A122="","",COUNTIFS(PO!$D$4:$D$203,$A122,PO!$S$4:$S$203,"Đúng hạn")+COUNTIFS(PO!$D$4:$D$203,$A122,PO!$S$4:$S$203,"Giao trễ")+COUNTIFS(PO!$D$4:$D$203,$A122,PO!$S$4:$S$203,"Trễ hạn"))</f>
        <v/>
      </c>
      <c r="Q122" s="38" t="str">
        <f aca="false">IF($A122="","",COUNTIFS(PO!$D$4:$D$203,$A122,PO!$S$4:$S$203,"Đúng hạn"))</f>
        <v/>
      </c>
      <c r="R122" s="39" t="str">
        <f aca="false">IF($A122="","",IFERROR($Q122/$P122,""))</f>
        <v/>
      </c>
      <c r="S122" s="38" t="str">
        <f aca="false">IF($A122="","",SUMIFS('Thanh toán'!$H$4:$H$203,'Thanh toán'!$D$4:$D$203,$A122))</f>
        <v/>
      </c>
      <c r="T122" s="38" t="str">
        <f aca="false">IF($A122="","",SUMIFS('Công nợ'!$I$4:$I$203,'Công nợ'!$B$4:$B$203,$A122))</f>
        <v/>
      </c>
      <c r="U122" s="38" t="str">
        <f aca="false">IF($A122="","",SUMIFS('Công nợ'!$I$4:$I$203,'Công nợ'!$B$4:$B$203,$A122,'Công nợ'!$K$4:$K$203,"&gt;0"))</f>
        <v/>
      </c>
    </row>
    <row r="123" customFormat="false" ht="15" hidden="false" customHeight="false" outlineLevel="0" collapsed="false">
      <c r="A123" s="37" t="str">
        <f aca="false">IF('Dự án'!$A123="","",'Dự án'!$A123)</f>
        <v/>
      </c>
      <c r="B123" s="37" t="str">
        <f aca="false">IF($A123="","",'Dự án'!$B123)</f>
        <v/>
      </c>
      <c r="C123" s="37" t="str">
        <f aca="false">IF($A123="","",'Dự án'!$C123)</f>
        <v/>
      </c>
      <c r="D123" s="37" t="str">
        <f aca="false">IF($A123="","",'Dự án'!$H123)</f>
        <v/>
      </c>
      <c r="E123" s="38" t="str">
        <f aca="false">IF($A123="","",'Dự án'!$G123)</f>
        <v/>
      </c>
      <c r="F123" s="38" t="str">
        <f aca="false">IF($A123="","",COUNTIFS('Check giá'!$C$4:$C$203,$A123))</f>
        <v/>
      </c>
      <c r="G123" s="38" t="str">
        <f aca="false">IF($A123="","",COUNTIFS('Check giá'!$C$4:$C$203,$A123,'Check giá'!$O$4:$O$203,"Đang xử lý")+COUNTIFS('Check giá'!$C$4:$C$203,$A123,'Check giá'!$O$4:$O$203,"Quá hạn chưa trả"))</f>
        <v/>
      </c>
      <c r="H123" s="38" t="str">
        <f aca="false">IF($A123="","",SUMIFS('Check giá'!$J$4:$J$203,'Check giá'!$C$4:$C$203,$A123))</f>
        <v/>
      </c>
      <c r="I123" s="38" t="str">
        <f aca="false">IF($A123="","",COUNTIFS(PR!$D$4:$D$203,$A123))</f>
        <v/>
      </c>
      <c r="J123" s="38" t="str">
        <f aca="false">IF($A123="","",SUMIFS(PR!$L$4:$L$203,PR!$D$4:$D$203,$A123))</f>
        <v/>
      </c>
      <c r="K123" s="38" t="str">
        <f aca="false">IF($A123="","",COUNTIFS(PO!$D$4:$D$203,$A123))</f>
        <v/>
      </c>
      <c r="L123" s="38" t="str">
        <f aca="false">IF($A123="","",SUMIFS(PO!$L$4:$L$203,PO!$D$4:$D$203,$A123))</f>
        <v/>
      </c>
      <c r="M123" s="38" t="str">
        <f aca="false">IF($A123="","",SUMIFS(PO!$N$4:$N$203,PO!$D$4:$D$203,$A123))</f>
        <v/>
      </c>
      <c r="N123" s="39" t="str">
        <f aca="false">IF($A123="","",IFERROR($L123/$E123,""))</f>
        <v/>
      </c>
      <c r="O123" s="38" t="str">
        <f aca="false">IF($A123="","",IFERROR($E123-$L123,""))</f>
        <v/>
      </c>
      <c r="P123" s="38" t="str">
        <f aca="false">IF($A123="","",COUNTIFS(PO!$D$4:$D$203,$A123,PO!$S$4:$S$203,"Đúng hạn")+COUNTIFS(PO!$D$4:$D$203,$A123,PO!$S$4:$S$203,"Giao trễ")+COUNTIFS(PO!$D$4:$D$203,$A123,PO!$S$4:$S$203,"Trễ hạn"))</f>
        <v/>
      </c>
      <c r="Q123" s="38" t="str">
        <f aca="false">IF($A123="","",COUNTIFS(PO!$D$4:$D$203,$A123,PO!$S$4:$S$203,"Đúng hạn"))</f>
        <v/>
      </c>
      <c r="R123" s="39" t="str">
        <f aca="false">IF($A123="","",IFERROR($Q123/$P123,""))</f>
        <v/>
      </c>
      <c r="S123" s="38" t="str">
        <f aca="false">IF($A123="","",SUMIFS('Thanh toán'!$H$4:$H$203,'Thanh toán'!$D$4:$D$203,$A123))</f>
        <v/>
      </c>
      <c r="T123" s="38" t="str">
        <f aca="false">IF($A123="","",SUMIFS('Công nợ'!$I$4:$I$203,'Công nợ'!$B$4:$B$203,$A123))</f>
        <v/>
      </c>
      <c r="U123" s="38" t="str">
        <f aca="false">IF($A123="","",SUMIFS('Công nợ'!$I$4:$I$203,'Công nợ'!$B$4:$B$203,$A123,'Công nợ'!$K$4:$K$203,"&gt;0"))</f>
        <v/>
      </c>
    </row>
    <row r="124" customFormat="false" ht="15" hidden="false" customHeight="false" outlineLevel="0" collapsed="false">
      <c r="A124" s="37" t="str">
        <f aca="false">IF('Dự án'!$A124="","",'Dự án'!$A124)</f>
        <v/>
      </c>
      <c r="B124" s="37" t="str">
        <f aca="false">IF($A124="","",'Dự án'!$B124)</f>
        <v/>
      </c>
      <c r="C124" s="37" t="str">
        <f aca="false">IF($A124="","",'Dự án'!$C124)</f>
        <v/>
      </c>
      <c r="D124" s="37" t="str">
        <f aca="false">IF($A124="","",'Dự án'!$H124)</f>
        <v/>
      </c>
      <c r="E124" s="38" t="str">
        <f aca="false">IF($A124="","",'Dự án'!$G124)</f>
        <v/>
      </c>
      <c r="F124" s="38" t="str">
        <f aca="false">IF($A124="","",COUNTIFS('Check giá'!$C$4:$C$203,$A124))</f>
        <v/>
      </c>
      <c r="G124" s="38" t="str">
        <f aca="false">IF($A124="","",COUNTIFS('Check giá'!$C$4:$C$203,$A124,'Check giá'!$O$4:$O$203,"Đang xử lý")+COUNTIFS('Check giá'!$C$4:$C$203,$A124,'Check giá'!$O$4:$O$203,"Quá hạn chưa trả"))</f>
        <v/>
      </c>
      <c r="H124" s="38" t="str">
        <f aca="false">IF($A124="","",SUMIFS('Check giá'!$J$4:$J$203,'Check giá'!$C$4:$C$203,$A124))</f>
        <v/>
      </c>
      <c r="I124" s="38" t="str">
        <f aca="false">IF($A124="","",COUNTIFS(PR!$D$4:$D$203,$A124))</f>
        <v/>
      </c>
      <c r="J124" s="38" t="str">
        <f aca="false">IF($A124="","",SUMIFS(PR!$L$4:$L$203,PR!$D$4:$D$203,$A124))</f>
        <v/>
      </c>
      <c r="K124" s="38" t="str">
        <f aca="false">IF($A124="","",COUNTIFS(PO!$D$4:$D$203,$A124))</f>
        <v/>
      </c>
      <c r="L124" s="38" t="str">
        <f aca="false">IF($A124="","",SUMIFS(PO!$L$4:$L$203,PO!$D$4:$D$203,$A124))</f>
        <v/>
      </c>
      <c r="M124" s="38" t="str">
        <f aca="false">IF($A124="","",SUMIFS(PO!$N$4:$N$203,PO!$D$4:$D$203,$A124))</f>
        <v/>
      </c>
      <c r="N124" s="39" t="str">
        <f aca="false">IF($A124="","",IFERROR($L124/$E124,""))</f>
        <v/>
      </c>
      <c r="O124" s="38" t="str">
        <f aca="false">IF($A124="","",IFERROR($E124-$L124,""))</f>
        <v/>
      </c>
      <c r="P124" s="38" t="str">
        <f aca="false">IF($A124="","",COUNTIFS(PO!$D$4:$D$203,$A124,PO!$S$4:$S$203,"Đúng hạn")+COUNTIFS(PO!$D$4:$D$203,$A124,PO!$S$4:$S$203,"Giao trễ")+COUNTIFS(PO!$D$4:$D$203,$A124,PO!$S$4:$S$203,"Trễ hạn"))</f>
        <v/>
      </c>
      <c r="Q124" s="38" t="str">
        <f aca="false">IF($A124="","",COUNTIFS(PO!$D$4:$D$203,$A124,PO!$S$4:$S$203,"Đúng hạn"))</f>
        <v/>
      </c>
      <c r="R124" s="39" t="str">
        <f aca="false">IF($A124="","",IFERROR($Q124/$P124,""))</f>
        <v/>
      </c>
      <c r="S124" s="38" t="str">
        <f aca="false">IF($A124="","",SUMIFS('Thanh toán'!$H$4:$H$203,'Thanh toán'!$D$4:$D$203,$A124))</f>
        <v/>
      </c>
      <c r="T124" s="38" t="str">
        <f aca="false">IF($A124="","",SUMIFS('Công nợ'!$I$4:$I$203,'Công nợ'!$B$4:$B$203,$A124))</f>
        <v/>
      </c>
      <c r="U124" s="38" t="str">
        <f aca="false">IF($A124="","",SUMIFS('Công nợ'!$I$4:$I$203,'Công nợ'!$B$4:$B$203,$A124,'Công nợ'!$K$4:$K$203,"&gt;0"))</f>
        <v/>
      </c>
    </row>
    <row r="125" customFormat="false" ht="15" hidden="false" customHeight="false" outlineLevel="0" collapsed="false">
      <c r="A125" s="37" t="str">
        <f aca="false">IF('Dự án'!$A125="","",'Dự án'!$A125)</f>
        <v/>
      </c>
      <c r="B125" s="37" t="str">
        <f aca="false">IF($A125="","",'Dự án'!$B125)</f>
        <v/>
      </c>
      <c r="C125" s="37" t="str">
        <f aca="false">IF($A125="","",'Dự án'!$C125)</f>
        <v/>
      </c>
      <c r="D125" s="37" t="str">
        <f aca="false">IF($A125="","",'Dự án'!$H125)</f>
        <v/>
      </c>
      <c r="E125" s="38" t="str">
        <f aca="false">IF($A125="","",'Dự án'!$G125)</f>
        <v/>
      </c>
      <c r="F125" s="38" t="str">
        <f aca="false">IF($A125="","",COUNTIFS('Check giá'!$C$4:$C$203,$A125))</f>
        <v/>
      </c>
      <c r="G125" s="38" t="str">
        <f aca="false">IF($A125="","",COUNTIFS('Check giá'!$C$4:$C$203,$A125,'Check giá'!$O$4:$O$203,"Đang xử lý")+COUNTIFS('Check giá'!$C$4:$C$203,$A125,'Check giá'!$O$4:$O$203,"Quá hạn chưa trả"))</f>
        <v/>
      </c>
      <c r="H125" s="38" t="str">
        <f aca="false">IF($A125="","",SUMIFS('Check giá'!$J$4:$J$203,'Check giá'!$C$4:$C$203,$A125))</f>
        <v/>
      </c>
      <c r="I125" s="38" t="str">
        <f aca="false">IF($A125="","",COUNTIFS(PR!$D$4:$D$203,$A125))</f>
        <v/>
      </c>
      <c r="J125" s="38" t="str">
        <f aca="false">IF($A125="","",SUMIFS(PR!$L$4:$L$203,PR!$D$4:$D$203,$A125))</f>
        <v/>
      </c>
      <c r="K125" s="38" t="str">
        <f aca="false">IF($A125="","",COUNTIFS(PO!$D$4:$D$203,$A125))</f>
        <v/>
      </c>
      <c r="L125" s="38" t="str">
        <f aca="false">IF($A125="","",SUMIFS(PO!$L$4:$L$203,PO!$D$4:$D$203,$A125))</f>
        <v/>
      </c>
      <c r="M125" s="38" t="str">
        <f aca="false">IF($A125="","",SUMIFS(PO!$N$4:$N$203,PO!$D$4:$D$203,$A125))</f>
        <v/>
      </c>
      <c r="N125" s="39" t="str">
        <f aca="false">IF($A125="","",IFERROR($L125/$E125,""))</f>
        <v/>
      </c>
      <c r="O125" s="38" t="str">
        <f aca="false">IF($A125="","",IFERROR($E125-$L125,""))</f>
        <v/>
      </c>
      <c r="P125" s="38" t="str">
        <f aca="false">IF($A125="","",COUNTIFS(PO!$D$4:$D$203,$A125,PO!$S$4:$S$203,"Đúng hạn")+COUNTIFS(PO!$D$4:$D$203,$A125,PO!$S$4:$S$203,"Giao trễ")+COUNTIFS(PO!$D$4:$D$203,$A125,PO!$S$4:$S$203,"Trễ hạn"))</f>
        <v/>
      </c>
      <c r="Q125" s="38" t="str">
        <f aca="false">IF($A125="","",COUNTIFS(PO!$D$4:$D$203,$A125,PO!$S$4:$S$203,"Đúng hạn"))</f>
        <v/>
      </c>
      <c r="R125" s="39" t="str">
        <f aca="false">IF($A125="","",IFERROR($Q125/$P125,""))</f>
        <v/>
      </c>
      <c r="S125" s="38" t="str">
        <f aca="false">IF($A125="","",SUMIFS('Thanh toán'!$H$4:$H$203,'Thanh toán'!$D$4:$D$203,$A125))</f>
        <v/>
      </c>
      <c r="T125" s="38" t="str">
        <f aca="false">IF($A125="","",SUMIFS('Công nợ'!$I$4:$I$203,'Công nợ'!$B$4:$B$203,$A125))</f>
        <v/>
      </c>
      <c r="U125" s="38" t="str">
        <f aca="false">IF($A125="","",SUMIFS('Công nợ'!$I$4:$I$203,'Công nợ'!$B$4:$B$203,$A125,'Công nợ'!$K$4:$K$203,"&gt;0"))</f>
        <v/>
      </c>
    </row>
    <row r="126" customFormat="false" ht="15" hidden="false" customHeight="false" outlineLevel="0" collapsed="false">
      <c r="A126" s="37" t="str">
        <f aca="false">IF('Dự án'!$A126="","",'Dự án'!$A126)</f>
        <v/>
      </c>
      <c r="B126" s="37" t="str">
        <f aca="false">IF($A126="","",'Dự án'!$B126)</f>
        <v/>
      </c>
      <c r="C126" s="37" t="str">
        <f aca="false">IF($A126="","",'Dự án'!$C126)</f>
        <v/>
      </c>
      <c r="D126" s="37" t="str">
        <f aca="false">IF($A126="","",'Dự án'!$H126)</f>
        <v/>
      </c>
      <c r="E126" s="38" t="str">
        <f aca="false">IF($A126="","",'Dự án'!$G126)</f>
        <v/>
      </c>
      <c r="F126" s="38" t="str">
        <f aca="false">IF($A126="","",COUNTIFS('Check giá'!$C$4:$C$203,$A126))</f>
        <v/>
      </c>
      <c r="G126" s="38" t="str">
        <f aca="false">IF($A126="","",COUNTIFS('Check giá'!$C$4:$C$203,$A126,'Check giá'!$O$4:$O$203,"Đang xử lý")+COUNTIFS('Check giá'!$C$4:$C$203,$A126,'Check giá'!$O$4:$O$203,"Quá hạn chưa trả"))</f>
        <v/>
      </c>
      <c r="H126" s="38" t="str">
        <f aca="false">IF($A126="","",SUMIFS('Check giá'!$J$4:$J$203,'Check giá'!$C$4:$C$203,$A126))</f>
        <v/>
      </c>
      <c r="I126" s="38" t="str">
        <f aca="false">IF($A126="","",COUNTIFS(PR!$D$4:$D$203,$A126))</f>
        <v/>
      </c>
      <c r="J126" s="38" t="str">
        <f aca="false">IF($A126="","",SUMIFS(PR!$L$4:$L$203,PR!$D$4:$D$203,$A126))</f>
        <v/>
      </c>
      <c r="K126" s="38" t="str">
        <f aca="false">IF($A126="","",COUNTIFS(PO!$D$4:$D$203,$A126))</f>
        <v/>
      </c>
      <c r="L126" s="38" t="str">
        <f aca="false">IF($A126="","",SUMIFS(PO!$L$4:$L$203,PO!$D$4:$D$203,$A126))</f>
        <v/>
      </c>
      <c r="M126" s="38" t="str">
        <f aca="false">IF($A126="","",SUMIFS(PO!$N$4:$N$203,PO!$D$4:$D$203,$A126))</f>
        <v/>
      </c>
      <c r="N126" s="39" t="str">
        <f aca="false">IF($A126="","",IFERROR($L126/$E126,""))</f>
        <v/>
      </c>
      <c r="O126" s="38" t="str">
        <f aca="false">IF($A126="","",IFERROR($E126-$L126,""))</f>
        <v/>
      </c>
      <c r="P126" s="38" t="str">
        <f aca="false">IF($A126="","",COUNTIFS(PO!$D$4:$D$203,$A126,PO!$S$4:$S$203,"Đúng hạn")+COUNTIFS(PO!$D$4:$D$203,$A126,PO!$S$4:$S$203,"Giao trễ")+COUNTIFS(PO!$D$4:$D$203,$A126,PO!$S$4:$S$203,"Trễ hạn"))</f>
        <v/>
      </c>
      <c r="Q126" s="38" t="str">
        <f aca="false">IF($A126="","",COUNTIFS(PO!$D$4:$D$203,$A126,PO!$S$4:$S$203,"Đúng hạn"))</f>
        <v/>
      </c>
      <c r="R126" s="39" t="str">
        <f aca="false">IF($A126="","",IFERROR($Q126/$P126,""))</f>
        <v/>
      </c>
      <c r="S126" s="38" t="str">
        <f aca="false">IF($A126="","",SUMIFS('Thanh toán'!$H$4:$H$203,'Thanh toán'!$D$4:$D$203,$A126))</f>
        <v/>
      </c>
      <c r="T126" s="38" t="str">
        <f aca="false">IF($A126="","",SUMIFS('Công nợ'!$I$4:$I$203,'Công nợ'!$B$4:$B$203,$A126))</f>
        <v/>
      </c>
      <c r="U126" s="38" t="str">
        <f aca="false">IF($A126="","",SUMIFS('Công nợ'!$I$4:$I$203,'Công nợ'!$B$4:$B$203,$A126,'Công nợ'!$K$4:$K$203,"&gt;0"))</f>
        <v/>
      </c>
    </row>
    <row r="127" customFormat="false" ht="15" hidden="false" customHeight="false" outlineLevel="0" collapsed="false">
      <c r="A127" s="37" t="str">
        <f aca="false">IF('Dự án'!$A127="","",'Dự án'!$A127)</f>
        <v/>
      </c>
      <c r="B127" s="37" t="str">
        <f aca="false">IF($A127="","",'Dự án'!$B127)</f>
        <v/>
      </c>
      <c r="C127" s="37" t="str">
        <f aca="false">IF($A127="","",'Dự án'!$C127)</f>
        <v/>
      </c>
      <c r="D127" s="37" t="str">
        <f aca="false">IF($A127="","",'Dự án'!$H127)</f>
        <v/>
      </c>
      <c r="E127" s="38" t="str">
        <f aca="false">IF($A127="","",'Dự án'!$G127)</f>
        <v/>
      </c>
      <c r="F127" s="38" t="str">
        <f aca="false">IF($A127="","",COUNTIFS('Check giá'!$C$4:$C$203,$A127))</f>
        <v/>
      </c>
      <c r="G127" s="38" t="str">
        <f aca="false">IF($A127="","",COUNTIFS('Check giá'!$C$4:$C$203,$A127,'Check giá'!$O$4:$O$203,"Đang xử lý")+COUNTIFS('Check giá'!$C$4:$C$203,$A127,'Check giá'!$O$4:$O$203,"Quá hạn chưa trả"))</f>
        <v/>
      </c>
      <c r="H127" s="38" t="str">
        <f aca="false">IF($A127="","",SUMIFS('Check giá'!$J$4:$J$203,'Check giá'!$C$4:$C$203,$A127))</f>
        <v/>
      </c>
      <c r="I127" s="38" t="str">
        <f aca="false">IF($A127="","",COUNTIFS(PR!$D$4:$D$203,$A127))</f>
        <v/>
      </c>
      <c r="J127" s="38" t="str">
        <f aca="false">IF($A127="","",SUMIFS(PR!$L$4:$L$203,PR!$D$4:$D$203,$A127))</f>
        <v/>
      </c>
      <c r="K127" s="38" t="str">
        <f aca="false">IF($A127="","",COUNTIFS(PO!$D$4:$D$203,$A127))</f>
        <v/>
      </c>
      <c r="L127" s="38" t="str">
        <f aca="false">IF($A127="","",SUMIFS(PO!$L$4:$L$203,PO!$D$4:$D$203,$A127))</f>
        <v/>
      </c>
      <c r="M127" s="38" t="str">
        <f aca="false">IF($A127="","",SUMIFS(PO!$N$4:$N$203,PO!$D$4:$D$203,$A127))</f>
        <v/>
      </c>
      <c r="N127" s="39" t="str">
        <f aca="false">IF($A127="","",IFERROR($L127/$E127,""))</f>
        <v/>
      </c>
      <c r="O127" s="38" t="str">
        <f aca="false">IF($A127="","",IFERROR($E127-$L127,""))</f>
        <v/>
      </c>
      <c r="P127" s="38" t="str">
        <f aca="false">IF($A127="","",COUNTIFS(PO!$D$4:$D$203,$A127,PO!$S$4:$S$203,"Đúng hạn")+COUNTIFS(PO!$D$4:$D$203,$A127,PO!$S$4:$S$203,"Giao trễ")+COUNTIFS(PO!$D$4:$D$203,$A127,PO!$S$4:$S$203,"Trễ hạn"))</f>
        <v/>
      </c>
      <c r="Q127" s="38" t="str">
        <f aca="false">IF($A127="","",COUNTIFS(PO!$D$4:$D$203,$A127,PO!$S$4:$S$203,"Đúng hạn"))</f>
        <v/>
      </c>
      <c r="R127" s="39" t="str">
        <f aca="false">IF($A127="","",IFERROR($Q127/$P127,""))</f>
        <v/>
      </c>
      <c r="S127" s="38" t="str">
        <f aca="false">IF($A127="","",SUMIFS('Thanh toán'!$H$4:$H$203,'Thanh toán'!$D$4:$D$203,$A127))</f>
        <v/>
      </c>
      <c r="T127" s="38" t="str">
        <f aca="false">IF($A127="","",SUMIFS('Công nợ'!$I$4:$I$203,'Công nợ'!$B$4:$B$203,$A127))</f>
        <v/>
      </c>
      <c r="U127" s="38" t="str">
        <f aca="false">IF($A127="","",SUMIFS('Công nợ'!$I$4:$I$203,'Công nợ'!$B$4:$B$203,$A127,'Công nợ'!$K$4:$K$203,"&gt;0"))</f>
        <v/>
      </c>
    </row>
    <row r="128" customFormat="false" ht="15" hidden="false" customHeight="false" outlineLevel="0" collapsed="false">
      <c r="A128" s="37" t="str">
        <f aca="false">IF('Dự án'!$A128="","",'Dự án'!$A128)</f>
        <v/>
      </c>
      <c r="B128" s="37" t="str">
        <f aca="false">IF($A128="","",'Dự án'!$B128)</f>
        <v/>
      </c>
      <c r="C128" s="37" t="str">
        <f aca="false">IF($A128="","",'Dự án'!$C128)</f>
        <v/>
      </c>
      <c r="D128" s="37" t="str">
        <f aca="false">IF($A128="","",'Dự án'!$H128)</f>
        <v/>
      </c>
      <c r="E128" s="38" t="str">
        <f aca="false">IF($A128="","",'Dự án'!$G128)</f>
        <v/>
      </c>
      <c r="F128" s="38" t="str">
        <f aca="false">IF($A128="","",COUNTIFS('Check giá'!$C$4:$C$203,$A128))</f>
        <v/>
      </c>
      <c r="G128" s="38" t="str">
        <f aca="false">IF($A128="","",COUNTIFS('Check giá'!$C$4:$C$203,$A128,'Check giá'!$O$4:$O$203,"Đang xử lý")+COUNTIFS('Check giá'!$C$4:$C$203,$A128,'Check giá'!$O$4:$O$203,"Quá hạn chưa trả"))</f>
        <v/>
      </c>
      <c r="H128" s="38" t="str">
        <f aca="false">IF($A128="","",SUMIFS('Check giá'!$J$4:$J$203,'Check giá'!$C$4:$C$203,$A128))</f>
        <v/>
      </c>
      <c r="I128" s="38" t="str">
        <f aca="false">IF($A128="","",COUNTIFS(PR!$D$4:$D$203,$A128))</f>
        <v/>
      </c>
      <c r="J128" s="38" t="str">
        <f aca="false">IF($A128="","",SUMIFS(PR!$L$4:$L$203,PR!$D$4:$D$203,$A128))</f>
        <v/>
      </c>
      <c r="K128" s="38" t="str">
        <f aca="false">IF($A128="","",COUNTIFS(PO!$D$4:$D$203,$A128))</f>
        <v/>
      </c>
      <c r="L128" s="38" t="str">
        <f aca="false">IF($A128="","",SUMIFS(PO!$L$4:$L$203,PO!$D$4:$D$203,$A128))</f>
        <v/>
      </c>
      <c r="M128" s="38" t="str">
        <f aca="false">IF($A128="","",SUMIFS(PO!$N$4:$N$203,PO!$D$4:$D$203,$A128))</f>
        <v/>
      </c>
      <c r="N128" s="39" t="str">
        <f aca="false">IF($A128="","",IFERROR($L128/$E128,""))</f>
        <v/>
      </c>
      <c r="O128" s="38" t="str">
        <f aca="false">IF($A128="","",IFERROR($E128-$L128,""))</f>
        <v/>
      </c>
      <c r="P128" s="38" t="str">
        <f aca="false">IF($A128="","",COUNTIFS(PO!$D$4:$D$203,$A128,PO!$S$4:$S$203,"Đúng hạn")+COUNTIFS(PO!$D$4:$D$203,$A128,PO!$S$4:$S$203,"Giao trễ")+COUNTIFS(PO!$D$4:$D$203,$A128,PO!$S$4:$S$203,"Trễ hạn"))</f>
        <v/>
      </c>
      <c r="Q128" s="38" t="str">
        <f aca="false">IF($A128="","",COUNTIFS(PO!$D$4:$D$203,$A128,PO!$S$4:$S$203,"Đúng hạn"))</f>
        <v/>
      </c>
      <c r="R128" s="39" t="str">
        <f aca="false">IF($A128="","",IFERROR($Q128/$P128,""))</f>
        <v/>
      </c>
      <c r="S128" s="38" t="str">
        <f aca="false">IF($A128="","",SUMIFS('Thanh toán'!$H$4:$H$203,'Thanh toán'!$D$4:$D$203,$A128))</f>
        <v/>
      </c>
      <c r="T128" s="38" t="str">
        <f aca="false">IF($A128="","",SUMIFS('Công nợ'!$I$4:$I$203,'Công nợ'!$B$4:$B$203,$A128))</f>
        <v/>
      </c>
      <c r="U128" s="38" t="str">
        <f aca="false">IF($A128="","",SUMIFS('Công nợ'!$I$4:$I$203,'Công nợ'!$B$4:$B$203,$A128,'Công nợ'!$K$4:$K$203,"&gt;0"))</f>
        <v/>
      </c>
    </row>
    <row r="129" customFormat="false" ht="15" hidden="false" customHeight="false" outlineLevel="0" collapsed="false">
      <c r="A129" s="37" t="str">
        <f aca="false">IF('Dự án'!$A129="","",'Dự án'!$A129)</f>
        <v/>
      </c>
      <c r="B129" s="37" t="str">
        <f aca="false">IF($A129="","",'Dự án'!$B129)</f>
        <v/>
      </c>
      <c r="C129" s="37" t="str">
        <f aca="false">IF($A129="","",'Dự án'!$C129)</f>
        <v/>
      </c>
      <c r="D129" s="37" t="str">
        <f aca="false">IF($A129="","",'Dự án'!$H129)</f>
        <v/>
      </c>
      <c r="E129" s="38" t="str">
        <f aca="false">IF($A129="","",'Dự án'!$G129)</f>
        <v/>
      </c>
      <c r="F129" s="38" t="str">
        <f aca="false">IF($A129="","",COUNTIFS('Check giá'!$C$4:$C$203,$A129))</f>
        <v/>
      </c>
      <c r="G129" s="38" t="str">
        <f aca="false">IF($A129="","",COUNTIFS('Check giá'!$C$4:$C$203,$A129,'Check giá'!$O$4:$O$203,"Đang xử lý")+COUNTIFS('Check giá'!$C$4:$C$203,$A129,'Check giá'!$O$4:$O$203,"Quá hạn chưa trả"))</f>
        <v/>
      </c>
      <c r="H129" s="38" t="str">
        <f aca="false">IF($A129="","",SUMIFS('Check giá'!$J$4:$J$203,'Check giá'!$C$4:$C$203,$A129))</f>
        <v/>
      </c>
      <c r="I129" s="38" t="str">
        <f aca="false">IF($A129="","",COUNTIFS(PR!$D$4:$D$203,$A129))</f>
        <v/>
      </c>
      <c r="J129" s="38" t="str">
        <f aca="false">IF($A129="","",SUMIFS(PR!$L$4:$L$203,PR!$D$4:$D$203,$A129))</f>
        <v/>
      </c>
      <c r="K129" s="38" t="str">
        <f aca="false">IF($A129="","",COUNTIFS(PO!$D$4:$D$203,$A129))</f>
        <v/>
      </c>
      <c r="L129" s="38" t="str">
        <f aca="false">IF($A129="","",SUMIFS(PO!$L$4:$L$203,PO!$D$4:$D$203,$A129))</f>
        <v/>
      </c>
      <c r="M129" s="38" t="str">
        <f aca="false">IF($A129="","",SUMIFS(PO!$N$4:$N$203,PO!$D$4:$D$203,$A129))</f>
        <v/>
      </c>
      <c r="N129" s="39" t="str">
        <f aca="false">IF($A129="","",IFERROR($L129/$E129,""))</f>
        <v/>
      </c>
      <c r="O129" s="38" t="str">
        <f aca="false">IF($A129="","",IFERROR($E129-$L129,""))</f>
        <v/>
      </c>
      <c r="P129" s="38" t="str">
        <f aca="false">IF($A129="","",COUNTIFS(PO!$D$4:$D$203,$A129,PO!$S$4:$S$203,"Đúng hạn")+COUNTIFS(PO!$D$4:$D$203,$A129,PO!$S$4:$S$203,"Giao trễ")+COUNTIFS(PO!$D$4:$D$203,$A129,PO!$S$4:$S$203,"Trễ hạn"))</f>
        <v/>
      </c>
      <c r="Q129" s="38" t="str">
        <f aca="false">IF($A129="","",COUNTIFS(PO!$D$4:$D$203,$A129,PO!$S$4:$S$203,"Đúng hạn"))</f>
        <v/>
      </c>
      <c r="R129" s="39" t="str">
        <f aca="false">IF($A129="","",IFERROR($Q129/$P129,""))</f>
        <v/>
      </c>
      <c r="S129" s="38" t="str">
        <f aca="false">IF($A129="","",SUMIFS('Thanh toán'!$H$4:$H$203,'Thanh toán'!$D$4:$D$203,$A129))</f>
        <v/>
      </c>
      <c r="T129" s="38" t="str">
        <f aca="false">IF($A129="","",SUMIFS('Công nợ'!$I$4:$I$203,'Công nợ'!$B$4:$B$203,$A129))</f>
        <v/>
      </c>
      <c r="U129" s="38" t="str">
        <f aca="false">IF($A129="","",SUMIFS('Công nợ'!$I$4:$I$203,'Công nợ'!$B$4:$B$203,$A129,'Công nợ'!$K$4:$K$203,"&gt;0"))</f>
        <v/>
      </c>
    </row>
    <row r="130" customFormat="false" ht="15" hidden="false" customHeight="false" outlineLevel="0" collapsed="false">
      <c r="A130" s="37" t="str">
        <f aca="false">IF('Dự án'!$A130="","",'Dự án'!$A130)</f>
        <v/>
      </c>
      <c r="B130" s="37" t="str">
        <f aca="false">IF($A130="","",'Dự án'!$B130)</f>
        <v/>
      </c>
      <c r="C130" s="37" t="str">
        <f aca="false">IF($A130="","",'Dự án'!$C130)</f>
        <v/>
      </c>
      <c r="D130" s="37" t="str">
        <f aca="false">IF($A130="","",'Dự án'!$H130)</f>
        <v/>
      </c>
      <c r="E130" s="38" t="str">
        <f aca="false">IF($A130="","",'Dự án'!$G130)</f>
        <v/>
      </c>
      <c r="F130" s="38" t="str">
        <f aca="false">IF($A130="","",COUNTIFS('Check giá'!$C$4:$C$203,$A130))</f>
        <v/>
      </c>
      <c r="G130" s="38" t="str">
        <f aca="false">IF($A130="","",COUNTIFS('Check giá'!$C$4:$C$203,$A130,'Check giá'!$O$4:$O$203,"Đang xử lý")+COUNTIFS('Check giá'!$C$4:$C$203,$A130,'Check giá'!$O$4:$O$203,"Quá hạn chưa trả"))</f>
        <v/>
      </c>
      <c r="H130" s="38" t="str">
        <f aca="false">IF($A130="","",SUMIFS('Check giá'!$J$4:$J$203,'Check giá'!$C$4:$C$203,$A130))</f>
        <v/>
      </c>
      <c r="I130" s="38" t="str">
        <f aca="false">IF($A130="","",COUNTIFS(PR!$D$4:$D$203,$A130))</f>
        <v/>
      </c>
      <c r="J130" s="38" t="str">
        <f aca="false">IF($A130="","",SUMIFS(PR!$L$4:$L$203,PR!$D$4:$D$203,$A130))</f>
        <v/>
      </c>
      <c r="K130" s="38" t="str">
        <f aca="false">IF($A130="","",COUNTIFS(PO!$D$4:$D$203,$A130))</f>
        <v/>
      </c>
      <c r="L130" s="38" t="str">
        <f aca="false">IF($A130="","",SUMIFS(PO!$L$4:$L$203,PO!$D$4:$D$203,$A130))</f>
        <v/>
      </c>
      <c r="M130" s="38" t="str">
        <f aca="false">IF($A130="","",SUMIFS(PO!$N$4:$N$203,PO!$D$4:$D$203,$A130))</f>
        <v/>
      </c>
      <c r="N130" s="39" t="str">
        <f aca="false">IF($A130="","",IFERROR($L130/$E130,""))</f>
        <v/>
      </c>
      <c r="O130" s="38" t="str">
        <f aca="false">IF($A130="","",IFERROR($E130-$L130,""))</f>
        <v/>
      </c>
      <c r="P130" s="38" t="str">
        <f aca="false">IF($A130="","",COUNTIFS(PO!$D$4:$D$203,$A130,PO!$S$4:$S$203,"Đúng hạn")+COUNTIFS(PO!$D$4:$D$203,$A130,PO!$S$4:$S$203,"Giao trễ")+COUNTIFS(PO!$D$4:$D$203,$A130,PO!$S$4:$S$203,"Trễ hạn"))</f>
        <v/>
      </c>
      <c r="Q130" s="38" t="str">
        <f aca="false">IF($A130="","",COUNTIFS(PO!$D$4:$D$203,$A130,PO!$S$4:$S$203,"Đúng hạn"))</f>
        <v/>
      </c>
      <c r="R130" s="39" t="str">
        <f aca="false">IF($A130="","",IFERROR($Q130/$P130,""))</f>
        <v/>
      </c>
      <c r="S130" s="38" t="str">
        <f aca="false">IF($A130="","",SUMIFS('Thanh toán'!$H$4:$H$203,'Thanh toán'!$D$4:$D$203,$A130))</f>
        <v/>
      </c>
      <c r="T130" s="38" t="str">
        <f aca="false">IF($A130="","",SUMIFS('Công nợ'!$I$4:$I$203,'Công nợ'!$B$4:$B$203,$A130))</f>
        <v/>
      </c>
      <c r="U130" s="38" t="str">
        <f aca="false">IF($A130="","",SUMIFS('Công nợ'!$I$4:$I$203,'Công nợ'!$B$4:$B$203,$A130,'Công nợ'!$K$4:$K$203,"&gt;0"))</f>
        <v/>
      </c>
    </row>
    <row r="131" customFormat="false" ht="15" hidden="false" customHeight="false" outlineLevel="0" collapsed="false">
      <c r="A131" s="37" t="str">
        <f aca="false">IF('Dự án'!$A131="","",'Dự án'!$A131)</f>
        <v/>
      </c>
      <c r="B131" s="37" t="str">
        <f aca="false">IF($A131="","",'Dự án'!$B131)</f>
        <v/>
      </c>
      <c r="C131" s="37" t="str">
        <f aca="false">IF($A131="","",'Dự án'!$C131)</f>
        <v/>
      </c>
      <c r="D131" s="37" t="str">
        <f aca="false">IF($A131="","",'Dự án'!$H131)</f>
        <v/>
      </c>
      <c r="E131" s="38" t="str">
        <f aca="false">IF($A131="","",'Dự án'!$G131)</f>
        <v/>
      </c>
      <c r="F131" s="38" t="str">
        <f aca="false">IF($A131="","",COUNTIFS('Check giá'!$C$4:$C$203,$A131))</f>
        <v/>
      </c>
      <c r="G131" s="38" t="str">
        <f aca="false">IF($A131="","",COUNTIFS('Check giá'!$C$4:$C$203,$A131,'Check giá'!$O$4:$O$203,"Đang xử lý")+COUNTIFS('Check giá'!$C$4:$C$203,$A131,'Check giá'!$O$4:$O$203,"Quá hạn chưa trả"))</f>
        <v/>
      </c>
      <c r="H131" s="38" t="str">
        <f aca="false">IF($A131="","",SUMIFS('Check giá'!$J$4:$J$203,'Check giá'!$C$4:$C$203,$A131))</f>
        <v/>
      </c>
      <c r="I131" s="38" t="str">
        <f aca="false">IF($A131="","",COUNTIFS(PR!$D$4:$D$203,$A131))</f>
        <v/>
      </c>
      <c r="J131" s="38" t="str">
        <f aca="false">IF($A131="","",SUMIFS(PR!$L$4:$L$203,PR!$D$4:$D$203,$A131))</f>
        <v/>
      </c>
      <c r="K131" s="38" t="str">
        <f aca="false">IF($A131="","",COUNTIFS(PO!$D$4:$D$203,$A131))</f>
        <v/>
      </c>
      <c r="L131" s="38" t="str">
        <f aca="false">IF($A131="","",SUMIFS(PO!$L$4:$L$203,PO!$D$4:$D$203,$A131))</f>
        <v/>
      </c>
      <c r="M131" s="38" t="str">
        <f aca="false">IF($A131="","",SUMIFS(PO!$N$4:$N$203,PO!$D$4:$D$203,$A131))</f>
        <v/>
      </c>
      <c r="N131" s="39" t="str">
        <f aca="false">IF($A131="","",IFERROR($L131/$E131,""))</f>
        <v/>
      </c>
      <c r="O131" s="38" t="str">
        <f aca="false">IF($A131="","",IFERROR($E131-$L131,""))</f>
        <v/>
      </c>
      <c r="P131" s="38" t="str">
        <f aca="false">IF($A131="","",COUNTIFS(PO!$D$4:$D$203,$A131,PO!$S$4:$S$203,"Đúng hạn")+COUNTIFS(PO!$D$4:$D$203,$A131,PO!$S$4:$S$203,"Giao trễ")+COUNTIFS(PO!$D$4:$D$203,$A131,PO!$S$4:$S$203,"Trễ hạn"))</f>
        <v/>
      </c>
      <c r="Q131" s="38" t="str">
        <f aca="false">IF($A131="","",COUNTIFS(PO!$D$4:$D$203,$A131,PO!$S$4:$S$203,"Đúng hạn"))</f>
        <v/>
      </c>
      <c r="R131" s="39" t="str">
        <f aca="false">IF($A131="","",IFERROR($Q131/$P131,""))</f>
        <v/>
      </c>
      <c r="S131" s="38" t="str">
        <f aca="false">IF($A131="","",SUMIFS('Thanh toán'!$H$4:$H$203,'Thanh toán'!$D$4:$D$203,$A131))</f>
        <v/>
      </c>
      <c r="T131" s="38" t="str">
        <f aca="false">IF($A131="","",SUMIFS('Công nợ'!$I$4:$I$203,'Công nợ'!$B$4:$B$203,$A131))</f>
        <v/>
      </c>
      <c r="U131" s="38" t="str">
        <f aca="false">IF($A131="","",SUMIFS('Công nợ'!$I$4:$I$203,'Công nợ'!$B$4:$B$203,$A131,'Công nợ'!$K$4:$K$203,"&gt;0"))</f>
        <v/>
      </c>
    </row>
    <row r="132" customFormat="false" ht="15" hidden="false" customHeight="false" outlineLevel="0" collapsed="false">
      <c r="A132" s="37" t="str">
        <f aca="false">IF('Dự án'!$A132="","",'Dự án'!$A132)</f>
        <v/>
      </c>
      <c r="B132" s="37" t="str">
        <f aca="false">IF($A132="","",'Dự án'!$B132)</f>
        <v/>
      </c>
      <c r="C132" s="37" t="str">
        <f aca="false">IF($A132="","",'Dự án'!$C132)</f>
        <v/>
      </c>
      <c r="D132" s="37" t="str">
        <f aca="false">IF($A132="","",'Dự án'!$H132)</f>
        <v/>
      </c>
      <c r="E132" s="38" t="str">
        <f aca="false">IF($A132="","",'Dự án'!$G132)</f>
        <v/>
      </c>
      <c r="F132" s="38" t="str">
        <f aca="false">IF($A132="","",COUNTIFS('Check giá'!$C$4:$C$203,$A132))</f>
        <v/>
      </c>
      <c r="G132" s="38" t="str">
        <f aca="false">IF($A132="","",COUNTIFS('Check giá'!$C$4:$C$203,$A132,'Check giá'!$O$4:$O$203,"Đang xử lý")+COUNTIFS('Check giá'!$C$4:$C$203,$A132,'Check giá'!$O$4:$O$203,"Quá hạn chưa trả"))</f>
        <v/>
      </c>
      <c r="H132" s="38" t="str">
        <f aca="false">IF($A132="","",SUMIFS('Check giá'!$J$4:$J$203,'Check giá'!$C$4:$C$203,$A132))</f>
        <v/>
      </c>
      <c r="I132" s="38" t="str">
        <f aca="false">IF($A132="","",COUNTIFS(PR!$D$4:$D$203,$A132))</f>
        <v/>
      </c>
      <c r="J132" s="38" t="str">
        <f aca="false">IF($A132="","",SUMIFS(PR!$L$4:$L$203,PR!$D$4:$D$203,$A132))</f>
        <v/>
      </c>
      <c r="K132" s="38" t="str">
        <f aca="false">IF($A132="","",COUNTIFS(PO!$D$4:$D$203,$A132))</f>
        <v/>
      </c>
      <c r="L132" s="38" t="str">
        <f aca="false">IF($A132="","",SUMIFS(PO!$L$4:$L$203,PO!$D$4:$D$203,$A132))</f>
        <v/>
      </c>
      <c r="M132" s="38" t="str">
        <f aca="false">IF($A132="","",SUMIFS(PO!$N$4:$N$203,PO!$D$4:$D$203,$A132))</f>
        <v/>
      </c>
      <c r="N132" s="39" t="str">
        <f aca="false">IF($A132="","",IFERROR($L132/$E132,""))</f>
        <v/>
      </c>
      <c r="O132" s="38" t="str">
        <f aca="false">IF($A132="","",IFERROR($E132-$L132,""))</f>
        <v/>
      </c>
      <c r="P132" s="38" t="str">
        <f aca="false">IF($A132="","",COUNTIFS(PO!$D$4:$D$203,$A132,PO!$S$4:$S$203,"Đúng hạn")+COUNTIFS(PO!$D$4:$D$203,$A132,PO!$S$4:$S$203,"Giao trễ")+COUNTIFS(PO!$D$4:$D$203,$A132,PO!$S$4:$S$203,"Trễ hạn"))</f>
        <v/>
      </c>
      <c r="Q132" s="38" t="str">
        <f aca="false">IF($A132="","",COUNTIFS(PO!$D$4:$D$203,$A132,PO!$S$4:$S$203,"Đúng hạn"))</f>
        <v/>
      </c>
      <c r="R132" s="39" t="str">
        <f aca="false">IF($A132="","",IFERROR($Q132/$P132,""))</f>
        <v/>
      </c>
      <c r="S132" s="38" t="str">
        <f aca="false">IF($A132="","",SUMIFS('Thanh toán'!$H$4:$H$203,'Thanh toán'!$D$4:$D$203,$A132))</f>
        <v/>
      </c>
      <c r="T132" s="38" t="str">
        <f aca="false">IF($A132="","",SUMIFS('Công nợ'!$I$4:$I$203,'Công nợ'!$B$4:$B$203,$A132))</f>
        <v/>
      </c>
      <c r="U132" s="38" t="str">
        <f aca="false">IF($A132="","",SUMIFS('Công nợ'!$I$4:$I$203,'Công nợ'!$B$4:$B$203,$A132,'Công nợ'!$K$4:$K$203,"&gt;0"))</f>
        <v/>
      </c>
    </row>
    <row r="133" customFormat="false" ht="15" hidden="false" customHeight="false" outlineLevel="0" collapsed="false">
      <c r="A133" s="37" t="str">
        <f aca="false">IF('Dự án'!$A133="","",'Dự án'!$A133)</f>
        <v/>
      </c>
      <c r="B133" s="37" t="str">
        <f aca="false">IF($A133="","",'Dự án'!$B133)</f>
        <v/>
      </c>
      <c r="C133" s="37" t="str">
        <f aca="false">IF($A133="","",'Dự án'!$C133)</f>
        <v/>
      </c>
      <c r="D133" s="37" t="str">
        <f aca="false">IF($A133="","",'Dự án'!$H133)</f>
        <v/>
      </c>
      <c r="E133" s="38" t="str">
        <f aca="false">IF($A133="","",'Dự án'!$G133)</f>
        <v/>
      </c>
      <c r="F133" s="38" t="str">
        <f aca="false">IF($A133="","",COUNTIFS('Check giá'!$C$4:$C$203,$A133))</f>
        <v/>
      </c>
      <c r="G133" s="38" t="str">
        <f aca="false">IF($A133="","",COUNTIFS('Check giá'!$C$4:$C$203,$A133,'Check giá'!$O$4:$O$203,"Đang xử lý")+COUNTIFS('Check giá'!$C$4:$C$203,$A133,'Check giá'!$O$4:$O$203,"Quá hạn chưa trả"))</f>
        <v/>
      </c>
      <c r="H133" s="38" t="str">
        <f aca="false">IF($A133="","",SUMIFS('Check giá'!$J$4:$J$203,'Check giá'!$C$4:$C$203,$A133))</f>
        <v/>
      </c>
      <c r="I133" s="38" t="str">
        <f aca="false">IF($A133="","",COUNTIFS(PR!$D$4:$D$203,$A133))</f>
        <v/>
      </c>
      <c r="J133" s="38" t="str">
        <f aca="false">IF($A133="","",SUMIFS(PR!$L$4:$L$203,PR!$D$4:$D$203,$A133))</f>
        <v/>
      </c>
      <c r="K133" s="38" t="str">
        <f aca="false">IF($A133="","",COUNTIFS(PO!$D$4:$D$203,$A133))</f>
        <v/>
      </c>
      <c r="L133" s="38" t="str">
        <f aca="false">IF($A133="","",SUMIFS(PO!$L$4:$L$203,PO!$D$4:$D$203,$A133))</f>
        <v/>
      </c>
      <c r="M133" s="38" t="str">
        <f aca="false">IF($A133="","",SUMIFS(PO!$N$4:$N$203,PO!$D$4:$D$203,$A133))</f>
        <v/>
      </c>
      <c r="N133" s="39" t="str">
        <f aca="false">IF($A133="","",IFERROR($L133/$E133,""))</f>
        <v/>
      </c>
      <c r="O133" s="38" t="str">
        <f aca="false">IF($A133="","",IFERROR($E133-$L133,""))</f>
        <v/>
      </c>
      <c r="P133" s="38" t="str">
        <f aca="false">IF($A133="","",COUNTIFS(PO!$D$4:$D$203,$A133,PO!$S$4:$S$203,"Đúng hạn")+COUNTIFS(PO!$D$4:$D$203,$A133,PO!$S$4:$S$203,"Giao trễ")+COUNTIFS(PO!$D$4:$D$203,$A133,PO!$S$4:$S$203,"Trễ hạn"))</f>
        <v/>
      </c>
      <c r="Q133" s="38" t="str">
        <f aca="false">IF($A133="","",COUNTIFS(PO!$D$4:$D$203,$A133,PO!$S$4:$S$203,"Đúng hạn"))</f>
        <v/>
      </c>
      <c r="R133" s="39" t="str">
        <f aca="false">IF($A133="","",IFERROR($Q133/$P133,""))</f>
        <v/>
      </c>
      <c r="S133" s="38" t="str">
        <f aca="false">IF($A133="","",SUMIFS('Thanh toán'!$H$4:$H$203,'Thanh toán'!$D$4:$D$203,$A133))</f>
        <v/>
      </c>
      <c r="T133" s="38" t="str">
        <f aca="false">IF($A133="","",SUMIFS('Công nợ'!$I$4:$I$203,'Công nợ'!$B$4:$B$203,$A133))</f>
        <v/>
      </c>
      <c r="U133" s="38" t="str">
        <f aca="false">IF($A133="","",SUMIFS('Công nợ'!$I$4:$I$203,'Công nợ'!$B$4:$B$203,$A133,'Công nợ'!$K$4:$K$203,"&gt;0"))</f>
        <v/>
      </c>
    </row>
    <row r="134" customFormat="false" ht="15" hidden="false" customHeight="false" outlineLevel="0" collapsed="false">
      <c r="A134" s="37" t="str">
        <f aca="false">IF('Dự án'!$A134="","",'Dự án'!$A134)</f>
        <v/>
      </c>
      <c r="B134" s="37" t="str">
        <f aca="false">IF($A134="","",'Dự án'!$B134)</f>
        <v/>
      </c>
      <c r="C134" s="37" t="str">
        <f aca="false">IF($A134="","",'Dự án'!$C134)</f>
        <v/>
      </c>
      <c r="D134" s="37" t="str">
        <f aca="false">IF($A134="","",'Dự án'!$H134)</f>
        <v/>
      </c>
      <c r="E134" s="38" t="str">
        <f aca="false">IF($A134="","",'Dự án'!$G134)</f>
        <v/>
      </c>
      <c r="F134" s="38" t="str">
        <f aca="false">IF($A134="","",COUNTIFS('Check giá'!$C$4:$C$203,$A134))</f>
        <v/>
      </c>
      <c r="G134" s="38" t="str">
        <f aca="false">IF($A134="","",COUNTIFS('Check giá'!$C$4:$C$203,$A134,'Check giá'!$O$4:$O$203,"Đang xử lý")+COUNTIFS('Check giá'!$C$4:$C$203,$A134,'Check giá'!$O$4:$O$203,"Quá hạn chưa trả"))</f>
        <v/>
      </c>
      <c r="H134" s="38" t="str">
        <f aca="false">IF($A134="","",SUMIFS('Check giá'!$J$4:$J$203,'Check giá'!$C$4:$C$203,$A134))</f>
        <v/>
      </c>
      <c r="I134" s="38" t="str">
        <f aca="false">IF($A134="","",COUNTIFS(PR!$D$4:$D$203,$A134))</f>
        <v/>
      </c>
      <c r="J134" s="38" t="str">
        <f aca="false">IF($A134="","",SUMIFS(PR!$L$4:$L$203,PR!$D$4:$D$203,$A134))</f>
        <v/>
      </c>
      <c r="K134" s="38" t="str">
        <f aca="false">IF($A134="","",COUNTIFS(PO!$D$4:$D$203,$A134))</f>
        <v/>
      </c>
      <c r="L134" s="38" t="str">
        <f aca="false">IF($A134="","",SUMIFS(PO!$L$4:$L$203,PO!$D$4:$D$203,$A134))</f>
        <v/>
      </c>
      <c r="M134" s="38" t="str">
        <f aca="false">IF($A134="","",SUMIFS(PO!$N$4:$N$203,PO!$D$4:$D$203,$A134))</f>
        <v/>
      </c>
      <c r="N134" s="39" t="str">
        <f aca="false">IF($A134="","",IFERROR($L134/$E134,""))</f>
        <v/>
      </c>
      <c r="O134" s="38" t="str">
        <f aca="false">IF($A134="","",IFERROR($E134-$L134,""))</f>
        <v/>
      </c>
      <c r="P134" s="38" t="str">
        <f aca="false">IF($A134="","",COUNTIFS(PO!$D$4:$D$203,$A134,PO!$S$4:$S$203,"Đúng hạn")+COUNTIFS(PO!$D$4:$D$203,$A134,PO!$S$4:$S$203,"Giao trễ")+COUNTIFS(PO!$D$4:$D$203,$A134,PO!$S$4:$S$203,"Trễ hạn"))</f>
        <v/>
      </c>
      <c r="Q134" s="38" t="str">
        <f aca="false">IF($A134="","",COUNTIFS(PO!$D$4:$D$203,$A134,PO!$S$4:$S$203,"Đúng hạn"))</f>
        <v/>
      </c>
      <c r="R134" s="39" t="str">
        <f aca="false">IF($A134="","",IFERROR($Q134/$P134,""))</f>
        <v/>
      </c>
      <c r="S134" s="38" t="str">
        <f aca="false">IF($A134="","",SUMIFS('Thanh toán'!$H$4:$H$203,'Thanh toán'!$D$4:$D$203,$A134))</f>
        <v/>
      </c>
      <c r="T134" s="38" t="str">
        <f aca="false">IF($A134="","",SUMIFS('Công nợ'!$I$4:$I$203,'Công nợ'!$B$4:$B$203,$A134))</f>
        <v/>
      </c>
      <c r="U134" s="38" t="str">
        <f aca="false">IF($A134="","",SUMIFS('Công nợ'!$I$4:$I$203,'Công nợ'!$B$4:$B$203,$A134,'Công nợ'!$K$4:$K$203,"&gt;0"))</f>
        <v/>
      </c>
    </row>
    <row r="135" customFormat="false" ht="15" hidden="false" customHeight="false" outlineLevel="0" collapsed="false">
      <c r="A135" s="37" t="str">
        <f aca="false">IF('Dự án'!$A135="","",'Dự án'!$A135)</f>
        <v/>
      </c>
      <c r="B135" s="37" t="str">
        <f aca="false">IF($A135="","",'Dự án'!$B135)</f>
        <v/>
      </c>
      <c r="C135" s="37" t="str">
        <f aca="false">IF($A135="","",'Dự án'!$C135)</f>
        <v/>
      </c>
      <c r="D135" s="37" t="str">
        <f aca="false">IF($A135="","",'Dự án'!$H135)</f>
        <v/>
      </c>
      <c r="E135" s="38" t="str">
        <f aca="false">IF($A135="","",'Dự án'!$G135)</f>
        <v/>
      </c>
      <c r="F135" s="38" t="str">
        <f aca="false">IF($A135="","",COUNTIFS('Check giá'!$C$4:$C$203,$A135))</f>
        <v/>
      </c>
      <c r="G135" s="38" t="str">
        <f aca="false">IF($A135="","",COUNTIFS('Check giá'!$C$4:$C$203,$A135,'Check giá'!$O$4:$O$203,"Đang xử lý")+COUNTIFS('Check giá'!$C$4:$C$203,$A135,'Check giá'!$O$4:$O$203,"Quá hạn chưa trả"))</f>
        <v/>
      </c>
      <c r="H135" s="38" t="str">
        <f aca="false">IF($A135="","",SUMIFS('Check giá'!$J$4:$J$203,'Check giá'!$C$4:$C$203,$A135))</f>
        <v/>
      </c>
      <c r="I135" s="38" t="str">
        <f aca="false">IF($A135="","",COUNTIFS(PR!$D$4:$D$203,$A135))</f>
        <v/>
      </c>
      <c r="J135" s="38" t="str">
        <f aca="false">IF($A135="","",SUMIFS(PR!$L$4:$L$203,PR!$D$4:$D$203,$A135))</f>
        <v/>
      </c>
      <c r="K135" s="38" t="str">
        <f aca="false">IF($A135="","",COUNTIFS(PO!$D$4:$D$203,$A135))</f>
        <v/>
      </c>
      <c r="L135" s="38" t="str">
        <f aca="false">IF($A135="","",SUMIFS(PO!$L$4:$L$203,PO!$D$4:$D$203,$A135))</f>
        <v/>
      </c>
      <c r="M135" s="38" t="str">
        <f aca="false">IF($A135="","",SUMIFS(PO!$N$4:$N$203,PO!$D$4:$D$203,$A135))</f>
        <v/>
      </c>
      <c r="N135" s="39" t="str">
        <f aca="false">IF($A135="","",IFERROR($L135/$E135,""))</f>
        <v/>
      </c>
      <c r="O135" s="38" t="str">
        <f aca="false">IF($A135="","",IFERROR($E135-$L135,""))</f>
        <v/>
      </c>
      <c r="P135" s="38" t="str">
        <f aca="false">IF($A135="","",COUNTIFS(PO!$D$4:$D$203,$A135,PO!$S$4:$S$203,"Đúng hạn")+COUNTIFS(PO!$D$4:$D$203,$A135,PO!$S$4:$S$203,"Giao trễ")+COUNTIFS(PO!$D$4:$D$203,$A135,PO!$S$4:$S$203,"Trễ hạn"))</f>
        <v/>
      </c>
      <c r="Q135" s="38" t="str">
        <f aca="false">IF($A135="","",COUNTIFS(PO!$D$4:$D$203,$A135,PO!$S$4:$S$203,"Đúng hạn"))</f>
        <v/>
      </c>
      <c r="R135" s="39" t="str">
        <f aca="false">IF($A135="","",IFERROR($Q135/$P135,""))</f>
        <v/>
      </c>
      <c r="S135" s="38" t="str">
        <f aca="false">IF($A135="","",SUMIFS('Thanh toán'!$H$4:$H$203,'Thanh toán'!$D$4:$D$203,$A135))</f>
        <v/>
      </c>
      <c r="T135" s="38" t="str">
        <f aca="false">IF($A135="","",SUMIFS('Công nợ'!$I$4:$I$203,'Công nợ'!$B$4:$B$203,$A135))</f>
        <v/>
      </c>
      <c r="U135" s="38" t="str">
        <f aca="false">IF($A135="","",SUMIFS('Công nợ'!$I$4:$I$203,'Công nợ'!$B$4:$B$203,$A135,'Công nợ'!$K$4:$K$203,"&gt;0"))</f>
        <v/>
      </c>
    </row>
    <row r="136" customFormat="false" ht="15" hidden="false" customHeight="false" outlineLevel="0" collapsed="false">
      <c r="A136" s="37" t="str">
        <f aca="false">IF('Dự án'!$A136="","",'Dự án'!$A136)</f>
        <v/>
      </c>
      <c r="B136" s="37" t="str">
        <f aca="false">IF($A136="","",'Dự án'!$B136)</f>
        <v/>
      </c>
      <c r="C136" s="37" t="str">
        <f aca="false">IF($A136="","",'Dự án'!$C136)</f>
        <v/>
      </c>
      <c r="D136" s="37" t="str">
        <f aca="false">IF($A136="","",'Dự án'!$H136)</f>
        <v/>
      </c>
      <c r="E136" s="38" t="str">
        <f aca="false">IF($A136="","",'Dự án'!$G136)</f>
        <v/>
      </c>
      <c r="F136" s="38" t="str">
        <f aca="false">IF($A136="","",COUNTIFS('Check giá'!$C$4:$C$203,$A136))</f>
        <v/>
      </c>
      <c r="G136" s="38" t="str">
        <f aca="false">IF($A136="","",COUNTIFS('Check giá'!$C$4:$C$203,$A136,'Check giá'!$O$4:$O$203,"Đang xử lý")+COUNTIFS('Check giá'!$C$4:$C$203,$A136,'Check giá'!$O$4:$O$203,"Quá hạn chưa trả"))</f>
        <v/>
      </c>
      <c r="H136" s="38" t="str">
        <f aca="false">IF($A136="","",SUMIFS('Check giá'!$J$4:$J$203,'Check giá'!$C$4:$C$203,$A136))</f>
        <v/>
      </c>
      <c r="I136" s="38" t="str">
        <f aca="false">IF($A136="","",COUNTIFS(PR!$D$4:$D$203,$A136))</f>
        <v/>
      </c>
      <c r="J136" s="38" t="str">
        <f aca="false">IF($A136="","",SUMIFS(PR!$L$4:$L$203,PR!$D$4:$D$203,$A136))</f>
        <v/>
      </c>
      <c r="K136" s="38" t="str">
        <f aca="false">IF($A136="","",COUNTIFS(PO!$D$4:$D$203,$A136))</f>
        <v/>
      </c>
      <c r="L136" s="38" t="str">
        <f aca="false">IF($A136="","",SUMIFS(PO!$L$4:$L$203,PO!$D$4:$D$203,$A136))</f>
        <v/>
      </c>
      <c r="M136" s="38" t="str">
        <f aca="false">IF($A136="","",SUMIFS(PO!$N$4:$N$203,PO!$D$4:$D$203,$A136))</f>
        <v/>
      </c>
      <c r="N136" s="39" t="str">
        <f aca="false">IF($A136="","",IFERROR($L136/$E136,""))</f>
        <v/>
      </c>
      <c r="O136" s="38" t="str">
        <f aca="false">IF($A136="","",IFERROR($E136-$L136,""))</f>
        <v/>
      </c>
      <c r="P136" s="38" t="str">
        <f aca="false">IF($A136="","",COUNTIFS(PO!$D$4:$D$203,$A136,PO!$S$4:$S$203,"Đúng hạn")+COUNTIFS(PO!$D$4:$D$203,$A136,PO!$S$4:$S$203,"Giao trễ")+COUNTIFS(PO!$D$4:$D$203,$A136,PO!$S$4:$S$203,"Trễ hạn"))</f>
        <v/>
      </c>
      <c r="Q136" s="38" t="str">
        <f aca="false">IF($A136="","",COUNTIFS(PO!$D$4:$D$203,$A136,PO!$S$4:$S$203,"Đúng hạn"))</f>
        <v/>
      </c>
      <c r="R136" s="39" t="str">
        <f aca="false">IF($A136="","",IFERROR($Q136/$P136,""))</f>
        <v/>
      </c>
      <c r="S136" s="38" t="str">
        <f aca="false">IF($A136="","",SUMIFS('Thanh toán'!$H$4:$H$203,'Thanh toán'!$D$4:$D$203,$A136))</f>
        <v/>
      </c>
      <c r="T136" s="38" t="str">
        <f aca="false">IF($A136="","",SUMIFS('Công nợ'!$I$4:$I$203,'Công nợ'!$B$4:$B$203,$A136))</f>
        <v/>
      </c>
      <c r="U136" s="38" t="str">
        <f aca="false">IF($A136="","",SUMIFS('Công nợ'!$I$4:$I$203,'Công nợ'!$B$4:$B$203,$A136,'Công nợ'!$K$4:$K$203,"&gt;0"))</f>
        <v/>
      </c>
    </row>
    <row r="137" customFormat="false" ht="15" hidden="false" customHeight="false" outlineLevel="0" collapsed="false">
      <c r="A137" s="37" t="str">
        <f aca="false">IF('Dự án'!$A137="","",'Dự án'!$A137)</f>
        <v/>
      </c>
      <c r="B137" s="37" t="str">
        <f aca="false">IF($A137="","",'Dự án'!$B137)</f>
        <v/>
      </c>
      <c r="C137" s="37" t="str">
        <f aca="false">IF($A137="","",'Dự án'!$C137)</f>
        <v/>
      </c>
      <c r="D137" s="37" t="str">
        <f aca="false">IF($A137="","",'Dự án'!$H137)</f>
        <v/>
      </c>
      <c r="E137" s="38" t="str">
        <f aca="false">IF($A137="","",'Dự án'!$G137)</f>
        <v/>
      </c>
      <c r="F137" s="38" t="str">
        <f aca="false">IF($A137="","",COUNTIFS('Check giá'!$C$4:$C$203,$A137))</f>
        <v/>
      </c>
      <c r="G137" s="38" t="str">
        <f aca="false">IF($A137="","",COUNTIFS('Check giá'!$C$4:$C$203,$A137,'Check giá'!$O$4:$O$203,"Đang xử lý")+COUNTIFS('Check giá'!$C$4:$C$203,$A137,'Check giá'!$O$4:$O$203,"Quá hạn chưa trả"))</f>
        <v/>
      </c>
      <c r="H137" s="38" t="str">
        <f aca="false">IF($A137="","",SUMIFS('Check giá'!$J$4:$J$203,'Check giá'!$C$4:$C$203,$A137))</f>
        <v/>
      </c>
      <c r="I137" s="38" t="str">
        <f aca="false">IF($A137="","",COUNTIFS(PR!$D$4:$D$203,$A137))</f>
        <v/>
      </c>
      <c r="J137" s="38" t="str">
        <f aca="false">IF($A137="","",SUMIFS(PR!$L$4:$L$203,PR!$D$4:$D$203,$A137))</f>
        <v/>
      </c>
      <c r="K137" s="38" t="str">
        <f aca="false">IF($A137="","",COUNTIFS(PO!$D$4:$D$203,$A137))</f>
        <v/>
      </c>
      <c r="L137" s="38" t="str">
        <f aca="false">IF($A137="","",SUMIFS(PO!$L$4:$L$203,PO!$D$4:$D$203,$A137))</f>
        <v/>
      </c>
      <c r="M137" s="38" t="str">
        <f aca="false">IF($A137="","",SUMIFS(PO!$N$4:$N$203,PO!$D$4:$D$203,$A137))</f>
        <v/>
      </c>
      <c r="N137" s="39" t="str">
        <f aca="false">IF($A137="","",IFERROR($L137/$E137,""))</f>
        <v/>
      </c>
      <c r="O137" s="38" t="str">
        <f aca="false">IF($A137="","",IFERROR($E137-$L137,""))</f>
        <v/>
      </c>
      <c r="P137" s="38" t="str">
        <f aca="false">IF($A137="","",COUNTIFS(PO!$D$4:$D$203,$A137,PO!$S$4:$S$203,"Đúng hạn")+COUNTIFS(PO!$D$4:$D$203,$A137,PO!$S$4:$S$203,"Giao trễ")+COUNTIFS(PO!$D$4:$D$203,$A137,PO!$S$4:$S$203,"Trễ hạn"))</f>
        <v/>
      </c>
      <c r="Q137" s="38" t="str">
        <f aca="false">IF($A137="","",COUNTIFS(PO!$D$4:$D$203,$A137,PO!$S$4:$S$203,"Đúng hạn"))</f>
        <v/>
      </c>
      <c r="R137" s="39" t="str">
        <f aca="false">IF($A137="","",IFERROR($Q137/$P137,""))</f>
        <v/>
      </c>
      <c r="S137" s="38" t="str">
        <f aca="false">IF($A137="","",SUMIFS('Thanh toán'!$H$4:$H$203,'Thanh toán'!$D$4:$D$203,$A137))</f>
        <v/>
      </c>
      <c r="T137" s="38" t="str">
        <f aca="false">IF($A137="","",SUMIFS('Công nợ'!$I$4:$I$203,'Công nợ'!$B$4:$B$203,$A137))</f>
        <v/>
      </c>
      <c r="U137" s="38" t="str">
        <f aca="false">IF($A137="","",SUMIFS('Công nợ'!$I$4:$I$203,'Công nợ'!$B$4:$B$203,$A137,'Công nợ'!$K$4:$K$203,"&gt;0"))</f>
        <v/>
      </c>
    </row>
    <row r="138" customFormat="false" ht="15" hidden="false" customHeight="false" outlineLevel="0" collapsed="false">
      <c r="A138" s="37" t="str">
        <f aca="false">IF('Dự án'!$A138="","",'Dự án'!$A138)</f>
        <v/>
      </c>
      <c r="B138" s="37" t="str">
        <f aca="false">IF($A138="","",'Dự án'!$B138)</f>
        <v/>
      </c>
      <c r="C138" s="37" t="str">
        <f aca="false">IF($A138="","",'Dự án'!$C138)</f>
        <v/>
      </c>
      <c r="D138" s="37" t="str">
        <f aca="false">IF($A138="","",'Dự án'!$H138)</f>
        <v/>
      </c>
      <c r="E138" s="38" t="str">
        <f aca="false">IF($A138="","",'Dự án'!$G138)</f>
        <v/>
      </c>
      <c r="F138" s="38" t="str">
        <f aca="false">IF($A138="","",COUNTIFS('Check giá'!$C$4:$C$203,$A138))</f>
        <v/>
      </c>
      <c r="G138" s="38" t="str">
        <f aca="false">IF($A138="","",COUNTIFS('Check giá'!$C$4:$C$203,$A138,'Check giá'!$O$4:$O$203,"Đang xử lý")+COUNTIFS('Check giá'!$C$4:$C$203,$A138,'Check giá'!$O$4:$O$203,"Quá hạn chưa trả"))</f>
        <v/>
      </c>
      <c r="H138" s="38" t="str">
        <f aca="false">IF($A138="","",SUMIFS('Check giá'!$J$4:$J$203,'Check giá'!$C$4:$C$203,$A138))</f>
        <v/>
      </c>
      <c r="I138" s="38" t="str">
        <f aca="false">IF($A138="","",COUNTIFS(PR!$D$4:$D$203,$A138))</f>
        <v/>
      </c>
      <c r="J138" s="38" t="str">
        <f aca="false">IF($A138="","",SUMIFS(PR!$L$4:$L$203,PR!$D$4:$D$203,$A138))</f>
        <v/>
      </c>
      <c r="K138" s="38" t="str">
        <f aca="false">IF($A138="","",COUNTIFS(PO!$D$4:$D$203,$A138))</f>
        <v/>
      </c>
      <c r="L138" s="38" t="str">
        <f aca="false">IF($A138="","",SUMIFS(PO!$L$4:$L$203,PO!$D$4:$D$203,$A138))</f>
        <v/>
      </c>
      <c r="M138" s="38" t="str">
        <f aca="false">IF($A138="","",SUMIFS(PO!$N$4:$N$203,PO!$D$4:$D$203,$A138))</f>
        <v/>
      </c>
      <c r="N138" s="39" t="str">
        <f aca="false">IF($A138="","",IFERROR($L138/$E138,""))</f>
        <v/>
      </c>
      <c r="O138" s="38" t="str">
        <f aca="false">IF($A138="","",IFERROR($E138-$L138,""))</f>
        <v/>
      </c>
      <c r="P138" s="38" t="str">
        <f aca="false">IF($A138="","",COUNTIFS(PO!$D$4:$D$203,$A138,PO!$S$4:$S$203,"Đúng hạn")+COUNTIFS(PO!$D$4:$D$203,$A138,PO!$S$4:$S$203,"Giao trễ")+COUNTIFS(PO!$D$4:$D$203,$A138,PO!$S$4:$S$203,"Trễ hạn"))</f>
        <v/>
      </c>
      <c r="Q138" s="38" t="str">
        <f aca="false">IF($A138="","",COUNTIFS(PO!$D$4:$D$203,$A138,PO!$S$4:$S$203,"Đúng hạn"))</f>
        <v/>
      </c>
      <c r="R138" s="39" t="str">
        <f aca="false">IF($A138="","",IFERROR($Q138/$P138,""))</f>
        <v/>
      </c>
      <c r="S138" s="38" t="str">
        <f aca="false">IF($A138="","",SUMIFS('Thanh toán'!$H$4:$H$203,'Thanh toán'!$D$4:$D$203,$A138))</f>
        <v/>
      </c>
      <c r="T138" s="38" t="str">
        <f aca="false">IF($A138="","",SUMIFS('Công nợ'!$I$4:$I$203,'Công nợ'!$B$4:$B$203,$A138))</f>
        <v/>
      </c>
      <c r="U138" s="38" t="str">
        <f aca="false">IF($A138="","",SUMIFS('Công nợ'!$I$4:$I$203,'Công nợ'!$B$4:$B$203,$A138,'Công nợ'!$K$4:$K$203,"&gt;0"))</f>
        <v/>
      </c>
    </row>
    <row r="139" customFormat="false" ht="15" hidden="false" customHeight="false" outlineLevel="0" collapsed="false">
      <c r="A139" s="37" t="str">
        <f aca="false">IF('Dự án'!$A139="","",'Dự án'!$A139)</f>
        <v/>
      </c>
      <c r="B139" s="37" t="str">
        <f aca="false">IF($A139="","",'Dự án'!$B139)</f>
        <v/>
      </c>
      <c r="C139" s="37" t="str">
        <f aca="false">IF($A139="","",'Dự án'!$C139)</f>
        <v/>
      </c>
      <c r="D139" s="37" t="str">
        <f aca="false">IF($A139="","",'Dự án'!$H139)</f>
        <v/>
      </c>
      <c r="E139" s="38" t="str">
        <f aca="false">IF($A139="","",'Dự án'!$G139)</f>
        <v/>
      </c>
      <c r="F139" s="38" t="str">
        <f aca="false">IF($A139="","",COUNTIFS('Check giá'!$C$4:$C$203,$A139))</f>
        <v/>
      </c>
      <c r="G139" s="38" t="str">
        <f aca="false">IF($A139="","",COUNTIFS('Check giá'!$C$4:$C$203,$A139,'Check giá'!$O$4:$O$203,"Đang xử lý")+COUNTIFS('Check giá'!$C$4:$C$203,$A139,'Check giá'!$O$4:$O$203,"Quá hạn chưa trả"))</f>
        <v/>
      </c>
      <c r="H139" s="38" t="str">
        <f aca="false">IF($A139="","",SUMIFS('Check giá'!$J$4:$J$203,'Check giá'!$C$4:$C$203,$A139))</f>
        <v/>
      </c>
      <c r="I139" s="38" t="str">
        <f aca="false">IF($A139="","",COUNTIFS(PR!$D$4:$D$203,$A139))</f>
        <v/>
      </c>
      <c r="J139" s="38" t="str">
        <f aca="false">IF($A139="","",SUMIFS(PR!$L$4:$L$203,PR!$D$4:$D$203,$A139))</f>
        <v/>
      </c>
      <c r="K139" s="38" t="str">
        <f aca="false">IF($A139="","",COUNTIFS(PO!$D$4:$D$203,$A139))</f>
        <v/>
      </c>
      <c r="L139" s="38" t="str">
        <f aca="false">IF($A139="","",SUMIFS(PO!$L$4:$L$203,PO!$D$4:$D$203,$A139))</f>
        <v/>
      </c>
      <c r="M139" s="38" t="str">
        <f aca="false">IF($A139="","",SUMIFS(PO!$N$4:$N$203,PO!$D$4:$D$203,$A139))</f>
        <v/>
      </c>
      <c r="N139" s="39" t="str">
        <f aca="false">IF($A139="","",IFERROR($L139/$E139,""))</f>
        <v/>
      </c>
      <c r="O139" s="38" t="str">
        <f aca="false">IF($A139="","",IFERROR($E139-$L139,""))</f>
        <v/>
      </c>
      <c r="P139" s="38" t="str">
        <f aca="false">IF($A139="","",COUNTIFS(PO!$D$4:$D$203,$A139,PO!$S$4:$S$203,"Đúng hạn")+COUNTIFS(PO!$D$4:$D$203,$A139,PO!$S$4:$S$203,"Giao trễ")+COUNTIFS(PO!$D$4:$D$203,$A139,PO!$S$4:$S$203,"Trễ hạn"))</f>
        <v/>
      </c>
      <c r="Q139" s="38" t="str">
        <f aca="false">IF($A139="","",COUNTIFS(PO!$D$4:$D$203,$A139,PO!$S$4:$S$203,"Đúng hạn"))</f>
        <v/>
      </c>
      <c r="R139" s="39" t="str">
        <f aca="false">IF($A139="","",IFERROR($Q139/$P139,""))</f>
        <v/>
      </c>
      <c r="S139" s="38" t="str">
        <f aca="false">IF($A139="","",SUMIFS('Thanh toán'!$H$4:$H$203,'Thanh toán'!$D$4:$D$203,$A139))</f>
        <v/>
      </c>
      <c r="T139" s="38" t="str">
        <f aca="false">IF($A139="","",SUMIFS('Công nợ'!$I$4:$I$203,'Công nợ'!$B$4:$B$203,$A139))</f>
        <v/>
      </c>
      <c r="U139" s="38" t="str">
        <f aca="false">IF($A139="","",SUMIFS('Công nợ'!$I$4:$I$203,'Công nợ'!$B$4:$B$203,$A139,'Công nợ'!$K$4:$K$203,"&gt;0"))</f>
        <v/>
      </c>
    </row>
    <row r="140" customFormat="false" ht="15" hidden="false" customHeight="false" outlineLevel="0" collapsed="false">
      <c r="A140" s="37" t="str">
        <f aca="false">IF('Dự án'!$A140="","",'Dự án'!$A140)</f>
        <v/>
      </c>
      <c r="B140" s="37" t="str">
        <f aca="false">IF($A140="","",'Dự án'!$B140)</f>
        <v/>
      </c>
      <c r="C140" s="37" t="str">
        <f aca="false">IF($A140="","",'Dự án'!$C140)</f>
        <v/>
      </c>
      <c r="D140" s="37" t="str">
        <f aca="false">IF($A140="","",'Dự án'!$H140)</f>
        <v/>
      </c>
      <c r="E140" s="38" t="str">
        <f aca="false">IF($A140="","",'Dự án'!$G140)</f>
        <v/>
      </c>
      <c r="F140" s="38" t="str">
        <f aca="false">IF($A140="","",COUNTIFS('Check giá'!$C$4:$C$203,$A140))</f>
        <v/>
      </c>
      <c r="G140" s="38" t="str">
        <f aca="false">IF($A140="","",COUNTIFS('Check giá'!$C$4:$C$203,$A140,'Check giá'!$O$4:$O$203,"Đang xử lý")+COUNTIFS('Check giá'!$C$4:$C$203,$A140,'Check giá'!$O$4:$O$203,"Quá hạn chưa trả"))</f>
        <v/>
      </c>
      <c r="H140" s="38" t="str">
        <f aca="false">IF($A140="","",SUMIFS('Check giá'!$J$4:$J$203,'Check giá'!$C$4:$C$203,$A140))</f>
        <v/>
      </c>
      <c r="I140" s="38" t="str">
        <f aca="false">IF($A140="","",COUNTIFS(PR!$D$4:$D$203,$A140))</f>
        <v/>
      </c>
      <c r="J140" s="38" t="str">
        <f aca="false">IF($A140="","",SUMIFS(PR!$L$4:$L$203,PR!$D$4:$D$203,$A140))</f>
        <v/>
      </c>
      <c r="K140" s="38" t="str">
        <f aca="false">IF($A140="","",COUNTIFS(PO!$D$4:$D$203,$A140))</f>
        <v/>
      </c>
      <c r="L140" s="38" t="str">
        <f aca="false">IF($A140="","",SUMIFS(PO!$L$4:$L$203,PO!$D$4:$D$203,$A140))</f>
        <v/>
      </c>
      <c r="M140" s="38" t="str">
        <f aca="false">IF($A140="","",SUMIFS(PO!$N$4:$N$203,PO!$D$4:$D$203,$A140))</f>
        <v/>
      </c>
      <c r="N140" s="39" t="str">
        <f aca="false">IF($A140="","",IFERROR($L140/$E140,""))</f>
        <v/>
      </c>
      <c r="O140" s="38" t="str">
        <f aca="false">IF($A140="","",IFERROR($E140-$L140,""))</f>
        <v/>
      </c>
      <c r="P140" s="38" t="str">
        <f aca="false">IF($A140="","",COUNTIFS(PO!$D$4:$D$203,$A140,PO!$S$4:$S$203,"Đúng hạn")+COUNTIFS(PO!$D$4:$D$203,$A140,PO!$S$4:$S$203,"Giao trễ")+COUNTIFS(PO!$D$4:$D$203,$A140,PO!$S$4:$S$203,"Trễ hạn"))</f>
        <v/>
      </c>
      <c r="Q140" s="38" t="str">
        <f aca="false">IF($A140="","",COUNTIFS(PO!$D$4:$D$203,$A140,PO!$S$4:$S$203,"Đúng hạn"))</f>
        <v/>
      </c>
      <c r="R140" s="39" t="str">
        <f aca="false">IF($A140="","",IFERROR($Q140/$P140,""))</f>
        <v/>
      </c>
      <c r="S140" s="38" t="str">
        <f aca="false">IF($A140="","",SUMIFS('Thanh toán'!$H$4:$H$203,'Thanh toán'!$D$4:$D$203,$A140))</f>
        <v/>
      </c>
      <c r="T140" s="38" t="str">
        <f aca="false">IF($A140="","",SUMIFS('Công nợ'!$I$4:$I$203,'Công nợ'!$B$4:$B$203,$A140))</f>
        <v/>
      </c>
      <c r="U140" s="38" t="str">
        <f aca="false">IF($A140="","",SUMIFS('Công nợ'!$I$4:$I$203,'Công nợ'!$B$4:$B$203,$A140,'Công nợ'!$K$4:$K$203,"&gt;0"))</f>
        <v/>
      </c>
    </row>
    <row r="141" customFormat="false" ht="15" hidden="false" customHeight="false" outlineLevel="0" collapsed="false">
      <c r="A141" s="37" t="str">
        <f aca="false">IF('Dự án'!$A141="","",'Dự án'!$A141)</f>
        <v/>
      </c>
      <c r="B141" s="37" t="str">
        <f aca="false">IF($A141="","",'Dự án'!$B141)</f>
        <v/>
      </c>
      <c r="C141" s="37" t="str">
        <f aca="false">IF($A141="","",'Dự án'!$C141)</f>
        <v/>
      </c>
      <c r="D141" s="37" t="str">
        <f aca="false">IF($A141="","",'Dự án'!$H141)</f>
        <v/>
      </c>
      <c r="E141" s="38" t="str">
        <f aca="false">IF($A141="","",'Dự án'!$G141)</f>
        <v/>
      </c>
      <c r="F141" s="38" t="str">
        <f aca="false">IF($A141="","",COUNTIFS('Check giá'!$C$4:$C$203,$A141))</f>
        <v/>
      </c>
      <c r="G141" s="38" t="str">
        <f aca="false">IF($A141="","",COUNTIFS('Check giá'!$C$4:$C$203,$A141,'Check giá'!$O$4:$O$203,"Đang xử lý")+COUNTIFS('Check giá'!$C$4:$C$203,$A141,'Check giá'!$O$4:$O$203,"Quá hạn chưa trả"))</f>
        <v/>
      </c>
      <c r="H141" s="38" t="str">
        <f aca="false">IF($A141="","",SUMIFS('Check giá'!$J$4:$J$203,'Check giá'!$C$4:$C$203,$A141))</f>
        <v/>
      </c>
      <c r="I141" s="38" t="str">
        <f aca="false">IF($A141="","",COUNTIFS(PR!$D$4:$D$203,$A141))</f>
        <v/>
      </c>
      <c r="J141" s="38" t="str">
        <f aca="false">IF($A141="","",SUMIFS(PR!$L$4:$L$203,PR!$D$4:$D$203,$A141))</f>
        <v/>
      </c>
      <c r="K141" s="38" t="str">
        <f aca="false">IF($A141="","",COUNTIFS(PO!$D$4:$D$203,$A141))</f>
        <v/>
      </c>
      <c r="L141" s="38" t="str">
        <f aca="false">IF($A141="","",SUMIFS(PO!$L$4:$L$203,PO!$D$4:$D$203,$A141))</f>
        <v/>
      </c>
      <c r="M141" s="38" t="str">
        <f aca="false">IF($A141="","",SUMIFS(PO!$N$4:$N$203,PO!$D$4:$D$203,$A141))</f>
        <v/>
      </c>
      <c r="N141" s="39" t="str">
        <f aca="false">IF($A141="","",IFERROR($L141/$E141,""))</f>
        <v/>
      </c>
      <c r="O141" s="38" t="str">
        <f aca="false">IF($A141="","",IFERROR($E141-$L141,""))</f>
        <v/>
      </c>
      <c r="P141" s="38" t="str">
        <f aca="false">IF($A141="","",COUNTIFS(PO!$D$4:$D$203,$A141,PO!$S$4:$S$203,"Đúng hạn")+COUNTIFS(PO!$D$4:$D$203,$A141,PO!$S$4:$S$203,"Giao trễ")+COUNTIFS(PO!$D$4:$D$203,$A141,PO!$S$4:$S$203,"Trễ hạn"))</f>
        <v/>
      </c>
      <c r="Q141" s="38" t="str">
        <f aca="false">IF($A141="","",COUNTIFS(PO!$D$4:$D$203,$A141,PO!$S$4:$S$203,"Đúng hạn"))</f>
        <v/>
      </c>
      <c r="R141" s="39" t="str">
        <f aca="false">IF($A141="","",IFERROR($Q141/$P141,""))</f>
        <v/>
      </c>
      <c r="S141" s="38" t="str">
        <f aca="false">IF($A141="","",SUMIFS('Thanh toán'!$H$4:$H$203,'Thanh toán'!$D$4:$D$203,$A141))</f>
        <v/>
      </c>
      <c r="T141" s="38" t="str">
        <f aca="false">IF($A141="","",SUMIFS('Công nợ'!$I$4:$I$203,'Công nợ'!$B$4:$B$203,$A141))</f>
        <v/>
      </c>
      <c r="U141" s="38" t="str">
        <f aca="false">IF($A141="","",SUMIFS('Công nợ'!$I$4:$I$203,'Công nợ'!$B$4:$B$203,$A141,'Công nợ'!$K$4:$K$203,"&gt;0"))</f>
        <v/>
      </c>
    </row>
    <row r="142" customFormat="false" ht="15" hidden="false" customHeight="false" outlineLevel="0" collapsed="false">
      <c r="A142" s="37" t="str">
        <f aca="false">IF('Dự án'!$A142="","",'Dự án'!$A142)</f>
        <v/>
      </c>
      <c r="B142" s="37" t="str">
        <f aca="false">IF($A142="","",'Dự án'!$B142)</f>
        <v/>
      </c>
      <c r="C142" s="37" t="str">
        <f aca="false">IF($A142="","",'Dự án'!$C142)</f>
        <v/>
      </c>
      <c r="D142" s="37" t="str">
        <f aca="false">IF($A142="","",'Dự án'!$H142)</f>
        <v/>
      </c>
      <c r="E142" s="38" t="str">
        <f aca="false">IF($A142="","",'Dự án'!$G142)</f>
        <v/>
      </c>
      <c r="F142" s="38" t="str">
        <f aca="false">IF($A142="","",COUNTIFS('Check giá'!$C$4:$C$203,$A142))</f>
        <v/>
      </c>
      <c r="G142" s="38" t="str">
        <f aca="false">IF($A142="","",COUNTIFS('Check giá'!$C$4:$C$203,$A142,'Check giá'!$O$4:$O$203,"Đang xử lý")+COUNTIFS('Check giá'!$C$4:$C$203,$A142,'Check giá'!$O$4:$O$203,"Quá hạn chưa trả"))</f>
        <v/>
      </c>
      <c r="H142" s="38" t="str">
        <f aca="false">IF($A142="","",SUMIFS('Check giá'!$J$4:$J$203,'Check giá'!$C$4:$C$203,$A142))</f>
        <v/>
      </c>
      <c r="I142" s="38" t="str">
        <f aca="false">IF($A142="","",COUNTIFS(PR!$D$4:$D$203,$A142))</f>
        <v/>
      </c>
      <c r="J142" s="38" t="str">
        <f aca="false">IF($A142="","",SUMIFS(PR!$L$4:$L$203,PR!$D$4:$D$203,$A142))</f>
        <v/>
      </c>
      <c r="K142" s="38" t="str">
        <f aca="false">IF($A142="","",COUNTIFS(PO!$D$4:$D$203,$A142))</f>
        <v/>
      </c>
      <c r="L142" s="38" t="str">
        <f aca="false">IF($A142="","",SUMIFS(PO!$L$4:$L$203,PO!$D$4:$D$203,$A142))</f>
        <v/>
      </c>
      <c r="M142" s="38" t="str">
        <f aca="false">IF($A142="","",SUMIFS(PO!$N$4:$N$203,PO!$D$4:$D$203,$A142))</f>
        <v/>
      </c>
      <c r="N142" s="39" t="str">
        <f aca="false">IF($A142="","",IFERROR($L142/$E142,""))</f>
        <v/>
      </c>
      <c r="O142" s="38" t="str">
        <f aca="false">IF($A142="","",IFERROR($E142-$L142,""))</f>
        <v/>
      </c>
      <c r="P142" s="38" t="str">
        <f aca="false">IF($A142="","",COUNTIFS(PO!$D$4:$D$203,$A142,PO!$S$4:$S$203,"Đúng hạn")+COUNTIFS(PO!$D$4:$D$203,$A142,PO!$S$4:$S$203,"Giao trễ")+COUNTIFS(PO!$D$4:$D$203,$A142,PO!$S$4:$S$203,"Trễ hạn"))</f>
        <v/>
      </c>
      <c r="Q142" s="38" t="str">
        <f aca="false">IF($A142="","",COUNTIFS(PO!$D$4:$D$203,$A142,PO!$S$4:$S$203,"Đúng hạn"))</f>
        <v/>
      </c>
      <c r="R142" s="39" t="str">
        <f aca="false">IF($A142="","",IFERROR($Q142/$P142,""))</f>
        <v/>
      </c>
      <c r="S142" s="38" t="str">
        <f aca="false">IF($A142="","",SUMIFS('Thanh toán'!$H$4:$H$203,'Thanh toán'!$D$4:$D$203,$A142))</f>
        <v/>
      </c>
      <c r="T142" s="38" t="str">
        <f aca="false">IF($A142="","",SUMIFS('Công nợ'!$I$4:$I$203,'Công nợ'!$B$4:$B$203,$A142))</f>
        <v/>
      </c>
      <c r="U142" s="38" t="str">
        <f aca="false">IF($A142="","",SUMIFS('Công nợ'!$I$4:$I$203,'Công nợ'!$B$4:$B$203,$A142,'Công nợ'!$K$4:$K$203,"&gt;0"))</f>
        <v/>
      </c>
    </row>
    <row r="143" customFormat="false" ht="15" hidden="false" customHeight="false" outlineLevel="0" collapsed="false">
      <c r="A143" s="37" t="str">
        <f aca="false">IF('Dự án'!$A143="","",'Dự án'!$A143)</f>
        <v/>
      </c>
      <c r="B143" s="37" t="str">
        <f aca="false">IF($A143="","",'Dự án'!$B143)</f>
        <v/>
      </c>
      <c r="C143" s="37" t="str">
        <f aca="false">IF($A143="","",'Dự án'!$C143)</f>
        <v/>
      </c>
      <c r="D143" s="37" t="str">
        <f aca="false">IF($A143="","",'Dự án'!$H143)</f>
        <v/>
      </c>
      <c r="E143" s="38" t="str">
        <f aca="false">IF($A143="","",'Dự án'!$G143)</f>
        <v/>
      </c>
      <c r="F143" s="38" t="str">
        <f aca="false">IF($A143="","",COUNTIFS('Check giá'!$C$4:$C$203,$A143))</f>
        <v/>
      </c>
      <c r="G143" s="38" t="str">
        <f aca="false">IF($A143="","",COUNTIFS('Check giá'!$C$4:$C$203,$A143,'Check giá'!$O$4:$O$203,"Đang xử lý")+COUNTIFS('Check giá'!$C$4:$C$203,$A143,'Check giá'!$O$4:$O$203,"Quá hạn chưa trả"))</f>
        <v/>
      </c>
      <c r="H143" s="38" t="str">
        <f aca="false">IF($A143="","",SUMIFS('Check giá'!$J$4:$J$203,'Check giá'!$C$4:$C$203,$A143))</f>
        <v/>
      </c>
      <c r="I143" s="38" t="str">
        <f aca="false">IF($A143="","",COUNTIFS(PR!$D$4:$D$203,$A143))</f>
        <v/>
      </c>
      <c r="J143" s="38" t="str">
        <f aca="false">IF($A143="","",SUMIFS(PR!$L$4:$L$203,PR!$D$4:$D$203,$A143))</f>
        <v/>
      </c>
      <c r="K143" s="38" t="str">
        <f aca="false">IF($A143="","",COUNTIFS(PO!$D$4:$D$203,$A143))</f>
        <v/>
      </c>
      <c r="L143" s="38" t="str">
        <f aca="false">IF($A143="","",SUMIFS(PO!$L$4:$L$203,PO!$D$4:$D$203,$A143))</f>
        <v/>
      </c>
      <c r="M143" s="38" t="str">
        <f aca="false">IF($A143="","",SUMIFS(PO!$N$4:$N$203,PO!$D$4:$D$203,$A143))</f>
        <v/>
      </c>
      <c r="N143" s="39" t="str">
        <f aca="false">IF($A143="","",IFERROR($L143/$E143,""))</f>
        <v/>
      </c>
      <c r="O143" s="38" t="str">
        <f aca="false">IF($A143="","",IFERROR($E143-$L143,""))</f>
        <v/>
      </c>
      <c r="P143" s="38" t="str">
        <f aca="false">IF($A143="","",COUNTIFS(PO!$D$4:$D$203,$A143,PO!$S$4:$S$203,"Đúng hạn")+COUNTIFS(PO!$D$4:$D$203,$A143,PO!$S$4:$S$203,"Giao trễ")+COUNTIFS(PO!$D$4:$D$203,$A143,PO!$S$4:$S$203,"Trễ hạn"))</f>
        <v/>
      </c>
      <c r="Q143" s="38" t="str">
        <f aca="false">IF($A143="","",COUNTIFS(PO!$D$4:$D$203,$A143,PO!$S$4:$S$203,"Đúng hạn"))</f>
        <v/>
      </c>
      <c r="R143" s="39" t="str">
        <f aca="false">IF($A143="","",IFERROR($Q143/$P143,""))</f>
        <v/>
      </c>
      <c r="S143" s="38" t="str">
        <f aca="false">IF($A143="","",SUMIFS('Thanh toán'!$H$4:$H$203,'Thanh toán'!$D$4:$D$203,$A143))</f>
        <v/>
      </c>
      <c r="T143" s="38" t="str">
        <f aca="false">IF($A143="","",SUMIFS('Công nợ'!$I$4:$I$203,'Công nợ'!$B$4:$B$203,$A143))</f>
        <v/>
      </c>
      <c r="U143" s="38" t="str">
        <f aca="false">IF($A143="","",SUMIFS('Công nợ'!$I$4:$I$203,'Công nợ'!$B$4:$B$203,$A143,'Công nợ'!$K$4:$K$203,"&gt;0"))</f>
        <v/>
      </c>
    </row>
    <row r="144" customFormat="false" ht="15" hidden="false" customHeight="false" outlineLevel="0" collapsed="false">
      <c r="A144" s="37" t="str">
        <f aca="false">IF('Dự án'!$A144="","",'Dự án'!$A144)</f>
        <v/>
      </c>
      <c r="B144" s="37" t="str">
        <f aca="false">IF($A144="","",'Dự án'!$B144)</f>
        <v/>
      </c>
      <c r="C144" s="37" t="str">
        <f aca="false">IF($A144="","",'Dự án'!$C144)</f>
        <v/>
      </c>
      <c r="D144" s="37" t="str">
        <f aca="false">IF($A144="","",'Dự án'!$H144)</f>
        <v/>
      </c>
      <c r="E144" s="38" t="str">
        <f aca="false">IF($A144="","",'Dự án'!$G144)</f>
        <v/>
      </c>
      <c r="F144" s="38" t="str">
        <f aca="false">IF($A144="","",COUNTIFS('Check giá'!$C$4:$C$203,$A144))</f>
        <v/>
      </c>
      <c r="G144" s="38" t="str">
        <f aca="false">IF($A144="","",COUNTIFS('Check giá'!$C$4:$C$203,$A144,'Check giá'!$O$4:$O$203,"Đang xử lý")+COUNTIFS('Check giá'!$C$4:$C$203,$A144,'Check giá'!$O$4:$O$203,"Quá hạn chưa trả"))</f>
        <v/>
      </c>
      <c r="H144" s="38" t="str">
        <f aca="false">IF($A144="","",SUMIFS('Check giá'!$J$4:$J$203,'Check giá'!$C$4:$C$203,$A144))</f>
        <v/>
      </c>
      <c r="I144" s="38" t="str">
        <f aca="false">IF($A144="","",COUNTIFS(PR!$D$4:$D$203,$A144))</f>
        <v/>
      </c>
      <c r="J144" s="38" t="str">
        <f aca="false">IF($A144="","",SUMIFS(PR!$L$4:$L$203,PR!$D$4:$D$203,$A144))</f>
        <v/>
      </c>
      <c r="K144" s="38" t="str">
        <f aca="false">IF($A144="","",COUNTIFS(PO!$D$4:$D$203,$A144))</f>
        <v/>
      </c>
      <c r="L144" s="38" t="str">
        <f aca="false">IF($A144="","",SUMIFS(PO!$L$4:$L$203,PO!$D$4:$D$203,$A144))</f>
        <v/>
      </c>
      <c r="M144" s="38" t="str">
        <f aca="false">IF($A144="","",SUMIFS(PO!$N$4:$N$203,PO!$D$4:$D$203,$A144))</f>
        <v/>
      </c>
      <c r="N144" s="39" t="str">
        <f aca="false">IF($A144="","",IFERROR($L144/$E144,""))</f>
        <v/>
      </c>
      <c r="O144" s="38" t="str">
        <f aca="false">IF($A144="","",IFERROR($E144-$L144,""))</f>
        <v/>
      </c>
      <c r="P144" s="38" t="str">
        <f aca="false">IF($A144="","",COUNTIFS(PO!$D$4:$D$203,$A144,PO!$S$4:$S$203,"Đúng hạn")+COUNTIFS(PO!$D$4:$D$203,$A144,PO!$S$4:$S$203,"Giao trễ")+COUNTIFS(PO!$D$4:$D$203,$A144,PO!$S$4:$S$203,"Trễ hạn"))</f>
        <v/>
      </c>
      <c r="Q144" s="38" t="str">
        <f aca="false">IF($A144="","",COUNTIFS(PO!$D$4:$D$203,$A144,PO!$S$4:$S$203,"Đúng hạn"))</f>
        <v/>
      </c>
      <c r="R144" s="39" t="str">
        <f aca="false">IF($A144="","",IFERROR($Q144/$P144,""))</f>
        <v/>
      </c>
      <c r="S144" s="38" t="str">
        <f aca="false">IF($A144="","",SUMIFS('Thanh toán'!$H$4:$H$203,'Thanh toán'!$D$4:$D$203,$A144))</f>
        <v/>
      </c>
      <c r="T144" s="38" t="str">
        <f aca="false">IF($A144="","",SUMIFS('Công nợ'!$I$4:$I$203,'Công nợ'!$B$4:$B$203,$A144))</f>
        <v/>
      </c>
      <c r="U144" s="38" t="str">
        <f aca="false">IF($A144="","",SUMIFS('Công nợ'!$I$4:$I$203,'Công nợ'!$B$4:$B$203,$A144,'Công nợ'!$K$4:$K$203,"&gt;0"))</f>
        <v/>
      </c>
    </row>
    <row r="145" customFormat="false" ht="15" hidden="false" customHeight="false" outlineLevel="0" collapsed="false">
      <c r="A145" s="37" t="str">
        <f aca="false">IF('Dự án'!$A145="","",'Dự án'!$A145)</f>
        <v/>
      </c>
      <c r="B145" s="37" t="str">
        <f aca="false">IF($A145="","",'Dự án'!$B145)</f>
        <v/>
      </c>
      <c r="C145" s="37" t="str">
        <f aca="false">IF($A145="","",'Dự án'!$C145)</f>
        <v/>
      </c>
      <c r="D145" s="37" t="str">
        <f aca="false">IF($A145="","",'Dự án'!$H145)</f>
        <v/>
      </c>
      <c r="E145" s="38" t="str">
        <f aca="false">IF($A145="","",'Dự án'!$G145)</f>
        <v/>
      </c>
      <c r="F145" s="38" t="str">
        <f aca="false">IF($A145="","",COUNTIFS('Check giá'!$C$4:$C$203,$A145))</f>
        <v/>
      </c>
      <c r="G145" s="38" t="str">
        <f aca="false">IF($A145="","",COUNTIFS('Check giá'!$C$4:$C$203,$A145,'Check giá'!$O$4:$O$203,"Đang xử lý")+COUNTIFS('Check giá'!$C$4:$C$203,$A145,'Check giá'!$O$4:$O$203,"Quá hạn chưa trả"))</f>
        <v/>
      </c>
      <c r="H145" s="38" t="str">
        <f aca="false">IF($A145="","",SUMIFS('Check giá'!$J$4:$J$203,'Check giá'!$C$4:$C$203,$A145))</f>
        <v/>
      </c>
      <c r="I145" s="38" t="str">
        <f aca="false">IF($A145="","",COUNTIFS(PR!$D$4:$D$203,$A145))</f>
        <v/>
      </c>
      <c r="J145" s="38" t="str">
        <f aca="false">IF($A145="","",SUMIFS(PR!$L$4:$L$203,PR!$D$4:$D$203,$A145))</f>
        <v/>
      </c>
      <c r="K145" s="38" t="str">
        <f aca="false">IF($A145="","",COUNTIFS(PO!$D$4:$D$203,$A145))</f>
        <v/>
      </c>
      <c r="L145" s="38" t="str">
        <f aca="false">IF($A145="","",SUMIFS(PO!$L$4:$L$203,PO!$D$4:$D$203,$A145))</f>
        <v/>
      </c>
      <c r="M145" s="38" t="str">
        <f aca="false">IF($A145="","",SUMIFS(PO!$N$4:$N$203,PO!$D$4:$D$203,$A145))</f>
        <v/>
      </c>
      <c r="N145" s="39" t="str">
        <f aca="false">IF($A145="","",IFERROR($L145/$E145,""))</f>
        <v/>
      </c>
      <c r="O145" s="38" t="str">
        <f aca="false">IF($A145="","",IFERROR($E145-$L145,""))</f>
        <v/>
      </c>
      <c r="P145" s="38" t="str">
        <f aca="false">IF($A145="","",COUNTIFS(PO!$D$4:$D$203,$A145,PO!$S$4:$S$203,"Đúng hạn")+COUNTIFS(PO!$D$4:$D$203,$A145,PO!$S$4:$S$203,"Giao trễ")+COUNTIFS(PO!$D$4:$D$203,$A145,PO!$S$4:$S$203,"Trễ hạn"))</f>
        <v/>
      </c>
      <c r="Q145" s="38" t="str">
        <f aca="false">IF($A145="","",COUNTIFS(PO!$D$4:$D$203,$A145,PO!$S$4:$S$203,"Đúng hạn"))</f>
        <v/>
      </c>
      <c r="R145" s="39" t="str">
        <f aca="false">IF($A145="","",IFERROR($Q145/$P145,""))</f>
        <v/>
      </c>
      <c r="S145" s="38" t="str">
        <f aca="false">IF($A145="","",SUMIFS('Thanh toán'!$H$4:$H$203,'Thanh toán'!$D$4:$D$203,$A145))</f>
        <v/>
      </c>
      <c r="T145" s="38" t="str">
        <f aca="false">IF($A145="","",SUMIFS('Công nợ'!$I$4:$I$203,'Công nợ'!$B$4:$B$203,$A145))</f>
        <v/>
      </c>
      <c r="U145" s="38" t="str">
        <f aca="false">IF($A145="","",SUMIFS('Công nợ'!$I$4:$I$203,'Công nợ'!$B$4:$B$203,$A145,'Công nợ'!$K$4:$K$203,"&gt;0"))</f>
        <v/>
      </c>
    </row>
    <row r="146" customFormat="false" ht="15" hidden="false" customHeight="false" outlineLevel="0" collapsed="false">
      <c r="A146" s="37" t="str">
        <f aca="false">IF('Dự án'!$A146="","",'Dự án'!$A146)</f>
        <v/>
      </c>
      <c r="B146" s="37" t="str">
        <f aca="false">IF($A146="","",'Dự án'!$B146)</f>
        <v/>
      </c>
      <c r="C146" s="37" t="str">
        <f aca="false">IF($A146="","",'Dự án'!$C146)</f>
        <v/>
      </c>
      <c r="D146" s="37" t="str">
        <f aca="false">IF($A146="","",'Dự án'!$H146)</f>
        <v/>
      </c>
      <c r="E146" s="38" t="str">
        <f aca="false">IF($A146="","",'Dự án'!$G146)</f>
        <v/>
      </c>
      <c r="F146" s="38" t="str">
        <f aca="false">IF($A146="","",COUNTIFS('Check giá'!$C$4:$C$203,$A146))</f>
        <v/>
      </c>
      <c r="G146" s="38" t="str">
        <f aca="false">IF($A146="","",COUNTIFS('Check giá'!$C$4:$C$203,$A146,'Check giá'!$O$4:$O$203,"Đang xử lý")+COUNTIFS('Check giá'!$C$4:$C$203,$A146,'Check giá'!$O$4:$O$203,"Quá hạn chưa trả"))</f>
        <v/>
      </c>
      <c r="H146" s="38" t="str">
        <f aca="false">IF($A146="","",SUMIFS('Check giá'!$J$4:$J$203,'Check giá'!$C$4:$C$203,$A146))</f>
        <v/>
      </c>
      <c r="I146" s="38" t="str">
        <f aca="false">IF($A146="","",COUNTIFS(PR!$D$4:$D$203,$A146))</f>
        <v/>
      </c>
      <c r="J146" s="38" t="str">
        <f aca="false">IF($A146="","",SUMIFS(PR!$L$4:$L$203,PR!$D$4:$D$203,$A146))</f>
        <v/>
      </c>
      <c r="K146" s="38" t="str">
        <f aca="false">IF($A146="","",COUNTIFS(PO!$D$4:$D$203,$A146))</f>
        <v/>
      </c>
      <c r="L146" s="38" t="str">
        <f aca="false">IF($A146="","",SUMIFS(PO!$L$4:$L$203,PO!$D$4:$D$203,$A146))</f>
        <v/>
      </c>
      <c r="M146" s="38" t="str">
        <f aca="false">IF($A146="","",SUMIFS(PO!$N$4:$N$203,PO!$D$4:$D$203,$A146))</f>
        <v/>
      </c>
      <c r="N146" s="39" t="str">
        <f aca="false">IF($A146="","",IFERROR($L146/$E146,""))</f>
        <v/>
      </c>
      <c r="O146" s="38" t="str">
        <f aca="false">IF($A146="","",IFERROR($E146-$L146,""))</f>
        <v/>
      </c>
      <c r="P146" s="38" t="str">
        <f aca="false">IF($A146="","",COUNTIFS(PO!$D$4:$D$203,$A146,PO!$S$4:$S$203,"Đúng hạn")+COUNTIFS(PO!$D$4:$D$203,$A146,PO!$S$4:$S$203,"Giao trễ")+COUNTIFS(PO!$D$4:$D$203,$A146,PO!$S$4:$S$203,"Trễ hạn"))</f>
        <v/>
      </c>
      <c r="Q146" s="38" t="str">
        <f aca="false">IF($A146="","",COUNTIFS(PO!$D$4:$D$203,$A146,PO!$S$4:$S$203,"Đúng hạn"))</f>
        <v/>
      </c>
      <c r="R146" s="39" t="str">
        <f aca="false">IF($A146="","",IFERROR($Q146/$P146,""))</f>
        <v/>
      </c>
      <c r="S146" s="38" t="str">
        <f aca="false">IF($A146="","",SUMIFS('Thanh toán'!$H$4:$H$203,'Thanh toán'!$D$4:$D$203,$A146))</f>
        <v/>
      </c>
      <c r="T146" s="38" t="str">
        <f aca="false">IF($A146="","",SUMIFS('Công nợ'!$I$4:$I$203,'Công nợ'!$B$4:$B$203,$A146))</f>
        <v/>
      </c>
      <c r="U146" s="38" t="str">
        <f aca="false">IF($A146="","",SUMIFS('Công nợ'!$I$4:$I$203,'Công nợ'!$B$4:$B$203,$A146,'Công nợ'!$K$4:$K$203,"&gt;0"))</f>
        <v/>
      </c>
    </row>
    <row r="147" customFormat="false" ht="15" hidden="false" customHeight="false" outlineLevel="0" collapsed="false">
      <c r="A147" s="37" t="str">
        <f aca="false">IF('Dự án'!$A147="","",'Dự án'!$A147)</f>
        <v/>
      </c>
      <c r="B147" s="37" t="str">
        <f aca="false">IF($A147="","",'Dự án'!$B147)</f>
        <v/>
      </c>
      <c r="C147" s="37" t="str">
        <f aca="false">IF($A147="","",'Dự án'!$C147)</f>
        <v/>
      </c>
      <c r="D147" s="37" t="str">
        <f aca="false">IF($A147="","",'Dự án'!$H147)</f>
        <v/>
      </c>
      <c r="E147" s="38" t="str">
        <f aca="false">IF($A147="","",'Dự án'!$G147)</f>
        <v/>
      </c>
      <c r="F147" s="38" t="str">
        <f aca="false">IF($A147="","",COUNTIFS('Check giá'!$C$4:$C$203,$A147))</f>
        <v/>
      </c>
      <c r="G147" s="38" t="str">
        <f aca="false">IF($A147="","",COUNTIFS('Check giá'!$C$4:$C$203,$A147,'Check giá'!$O$4:$O$203,"Đang xử lý")+COUNTIFS('Check giá'!$C$4:$C$203,$A147,'Check giá'!$O$4:$O$203,"Quá hạn chưa trả"))</f>
        <v/>
      </c>
      <c r="H147" s="38" t="str">
        <f aca="false">IF($A147="","",SUMIFS('Check giá'!$J$4:$J$203,'Check giá'!$C$4:$C$203,$A147))</f>
        <v/>
      </c>
      <c r="I147" s="38" t="str">
        <f aca="false">IF($A147="","",COUNTIFS(PR!$D$4:$D$203,$A147))</f>
        <v/>
      </c>
      <c r="J147" s="38" t="str">
        <f aca="false">IF($A147="","",SUMIFS(PR!$L$4:$L$203,PR!$D$4:$D$203,$A147))</f>
        <v/>
      </c>
      <c r="K147" s="38" t="str">
        <f aca="false">IF($A147="","",COUNTIFS(PO!$D$4:$D$203,$A147))</f>
        <v/>
      </c>
      <c r="L147" s="38" t="str">
        <f aca="false">IF($A147="","",SUMIFS(PO!$L$4:$L$203,PO!$D$4:$D$203,$A147))</f>
        <v/>
      </c>
      <c r="M147" s="38" t="str">
        <f aca="false">IF($A147="","",SUMIFS(PO!$N$4:$N$203,PO!$D$4:$D$203,$A147))</f>
        <v/>
      </c>
      <c r="N147" s="39" t="str">
        <f aca="false">IF($A147="","",IFERROR($L147/$E147,""))</f>
        <v/>
      </c>
      <c r="O147" s="38" t="str">
        <f aca="false">IF($A147="","",IFERROR($E147-$L147,""))</f>
        <v/>
      </c>
      <c r="P147" s="38" t="str">
        <f aca="false">IF($A147="","",COUNTIFS(PO!$D$4:$D$203,$A147,PO!$S$4:$S$203,"Đúng hạn")+COUNTIFS(PO!$D$4:$D$203,$A147,PO!$S$4:$S$203,"Giao trễ")+COUNTIFS(PO!$D$4:$D$203,$A147,PO!$S$4:$S$203,"Trễ hạn"))</f>
        <v/>
      </c>
      <c r="Q147" s="38" t="str">
        <f aca="false">IF($A147="","",COUNTIFS(PO!$D$4:$D$203,$A147,PO!$S$4:$S$203,"Đúng hạn"))</f>
        <v/>
      </c>
      <c r="R147" s="39" t="str">
        <f aca="false">IF($A147="","",IFERROR($Q147/$P147,""))</f>
        <v/>
      </c>
      <c r="S147" s="38" t="str">
        <f aca="false">IF($A147="","",SUMIFS('Thanh toán'!$H$4:$H$203,'Thanh toán'!$D$4:$D$203,$A147))</f>
        <v/>
      </c>
      <c r="T147" s="38" t="str">
        <f aca="false">IF($A147="","",SUMIFS('Công nợ'!$I$4:$I$203,'Công nợ'!$B$4:$B$203,$A147))</f>
        <v/>
      </c>
      <c r="U147" s="38" t="str">
        <f aca="false">IF($A147="","",SUMIFS('Công nợ'!$I$4:$I$203,'Công nợ'!$B$4:$B$203,$A147,'Công nợ'!$K$4:$K$203,"&gt;0"))</f>
        <v/>
      </c>
    </row>
    <row r="148" customFormat="false" ht="15" hidden="false" customHeight="false" outlineLevel="0" collapsed="false">
      <c r="A148" s="37" t="str">
        <f aca="false">IF('Dự án'!$A148="","",'Dự án'!$A148)</f>
        <v/>
      </c>
      <c r="B148" s="37" t="str">
        <f aca="false">IF($A148="","",'Dự án'!$B148)</f>
        <v/>
      </c>
      <c r="C148" s="37" t="str">
        <f aca="false">IF($A148="","",'Dự án'!$C148)</f>
        <v/>
      </c>
      <c r="D148" s="37" t="str">
        <f aca="false">IF($A148="","",'Dự án'!$H148)</f>
        <v/>
      </c>
      <c r="E148" s="38" t="str">
        <f aca="false">IF($A148="","",'Dự án'!$G148)</f>
        <v/>
      </c>
      <c r="F148" s="38" t="str">
        <f aca="false">IF($A148="","",COUNTIFS('Check giá'!$C$4:$C$203,$A148))</f>
        <v/>
      </c>
      <c r="G148" s="38" t="str">
        <f aca="false">IF($A148="","",COUNTIFS('Check giá'!$C$4:$C$203,$A148,'Check giá'!$O$4:$O$203,"Đang xử lý")+COUNTIFS('Check giá'!$C$4:$C$203,$A148,'Check giá'!$O$4:$O$203,"Quá hạn chưa trả"))</f>
        <v/>
      </c>
      <c r="H148" s="38" t="str">
        <f aca="false">IF($A148="","",SUMIFS('Check giá'!$J$4:$J$203,'Check giá'!$C$4:$C$203,$A148))</f>
        <v/>
      </c>
      <c r="I148" s="38" t="str">
        <f aca="false">IF($A148="","",COUNTIFS(PR!$D$4:$D$203,$A148))</f>
        <v/>
      </c>
      <c r="J148" s="38" t="str">
        <f aca="false">IF($A148="","",SUMIFS(PR!$L$4:$L$203,PR!$D$4:$D$203,$A148))</f>
        <v/>
      </c>
      <c r="K148" s="38" t="str">
        <f aca="false">IF($A148="","",COUNTIFS(PO!$D$4:$D$203,$A148))</f>
        <v/>
      </c>
      <c r="L148" s="38" t="str">
        <f aca="false">IF($A148="","",SUMIFS(PO!$L$4:$L$203,PO!$D$4:$D$203,$A148))</f>
        <v/>
      </c>
      <c r="M148" s="38" t="str">
        <f aca="false">IF($A148="","",SUMIFS(PO!$N$4:$N$203,PO!$D$4:$D$203,$A148))</f>
        <v/>
      </c>
      <c r="N148" s="39" t="str">
        <f aca="false">IF($A148="","",IFERROR($L148/$E148,""))</f>
        <v/>
      </c>
      <c r="O148" s="38" t="str">
        <f aca="false">IF($A148="","",IFERROR($E148-$L148,""))</f>
        <v/>
      </c>
      <c r="P148" s="38" t="str">
        <f aca="false">IF($A148="","",COUNTIFS(PO!$D$4:$D$203,$A148,PO!$S$4:$S$203,"Đúng hạn")+COUNTIFS(PO!$D$4:$D$203,$A148,PO!$S$4:$S$203,"Giao trễ")+COUNTIFS(PO!$D$4:$D$203,$A148,PO!$S$4:$S$203,"Trễ hạn"))</f>
        <v/>
      </c>
      <c r="Q148" s="38" t="str">
        <f aca="false">IF($A148="","",COUNTIFS(PO!$D$4:$D$203,$A148,PO!$S$4:$S$203,"Đúng hạn"))</f>
        <v/>
      </c>
      <c r="R148" s="39" t="str">
        <f aca="false">IF($A148="","",IFERROR($Q148/$P148,""))</f>
        <v/>
      </c>
      <c r="S148" s="38" t="str">
        <f aca="false">IF($A148="","",SUMIFS('Thanh toán'!$H$4:$H$203,'Thanh toán'!$D$4:$D$203,$A148))</f>
        <v/>
      </c>
      <c r="T148" s="38" t="str">
        <f aca="false">IF($A148="","",SUMIFS('Công nợ'!$I$4:$I$203,'Công nợ'!$B$4:$B$203,$A148))</f>
        <v/>
      </c>
      <c r="U148" s="38" t="str">
        <f aca="false">IF($A148="","",SUMIFS('Công nợ'!$I$4:$I$203,'Công nợ'!$B$4:$B$203,$A148,'Công nợ'!$K$4:$K$203,"&gt;0"))</f>
        <v/>
      </c>
    </row>
    <row r="149" customFormat="false" ht="15" hidden="false" customHeight="false" outlineLevel="0" collapsed="false">
      <c r="A149" s="37" t="str">
        <f aca="false">IF('Dự án'!$A149="","",'Dự án'!$A149)</f>
        <v/>
      </c>
      <c r="B149" s="37" t="str">
        <f aca="false">IF($A149="","",'Dự án'!$B149)</f>
        <v/>
      </c>
      <c r="C149" s="37" t="str">
        <f aca="false">IF($A149="","",'Dự án'!$C149)</f>
        <v/>
      </c>
      <c r="D149" s="37" t="str">
        <f aca="false">IF($A149="","",'Dự án'!$H149)</f>
        <v/>
      </c>
      <c r="E149" s="38" t="str">
        <f aca="false">IF($A149="","",'Dự án'!$G149)</f>
        <v/>
      </c>
      <c r="F149" s="38" t="str">
        <f aca="false">IF($A149="","",COUNTIFS('Check giá'!$C$4:$C$203,$A149))</f>
        <v/>
      </c>
      <c r="G149" s="38" t="str">
        <f aca="false">IF($A149="","",COUNTIFS('Check giá'!$C$4:$C$203,$A149,'Check giá'!$O$4:$O$203,"Đang xử lý")+COUNTIFS('Check giá'!$C$4:$C$203,$A149,'Check giá'!$O$4:$O$203,"Quá hạn chưa trả"))</f>
        <v/>
      </c>
      <c r="H149" s="38" t="str">
        <f aca="false">IF($A149="","",SUMIFS('Check giá'!$J$4:$J$203,'Check giá'!$C$4:$C$203,$A149))</f>
        <v/>
      </c>
      <c r="I149" s="38" t="str">
        <f aca="false">IF($A149="","",COUNTIFS(PR!$D$4:$D$203,$A149))</f>
        <v/>
      </c>
      <c r="J149" s="38" t="str">
        <f aca="false">IF($A149="","",SUMIFS(PR!$L$4:$L$203,PR!$D$4:$D$203,$A149))</f>
        <v/>
      </c>
      <c r="K149" s="38" t="str">
        <f aca="false">IF($A149="","",COUNTIFS(PO!$D$4:$D$203,$A149))</f>
        <v/>
      </c>
      <c r="L149" s="38" t="str">
        <f aca="false">IF($A149="","",SUMIFS(PO!$L$4:$L$203,PO!$D$4:$D$203,$A149))</f>
        <v/>
      </c>
      <c r="M149" s="38" t="str">
        <f aca="false">IF($A149="","",SUMIFS(PO!$N$4:$N$203,PO!$D$4:$D$203,$A149))</f>
        <v/>
      </c>
      <c r="N149" s="39" t="str">
        <f aca="false">IF($A149="","",IFERROR($L149/$E149,""))</f>
        <v/>
      </c>
      <c r="O149" s="38" t="str">
        <f aca="false">IF($A149="","",IFERROR($E149-$L149,""))</f>
        <v/>
      </c>
      <c r="P149" s="38" t="str">
        <f aca="false">IF($A149="","",COUNTIFS(PO!$D$4:$D$203,$A149,PO!$S$4:$S$203,"Đúng hạn")+COUNTIFS(PO!$D$4:$D$203,$A149,PO!$S$4:$S$203,"Giao trễ")+COUNTIFS(PO!$D$4:$D$203,$A149,PO!$S$4:$S$203,"Trễ hạn"))</f>
        <v/>
      </c>
      <c r="Q149" s="38" t="str">
        <f aca="false">IF($A149="","",COUNTIFS(PO!$D$4:$D$203,$A149,PO!$S$4:$S$203,"Đúng hạn"))</f>
        <v/>
      </c>
      <c r="R149" s="39" t="str">
        <f aca="false">IF($A149="","",IFERROR($Q149/$P149,""))</f>
        <v/>
      </c>
      <c r="S149" s="38" t="str">
        <f aca="false">IF($A149="","",SUMIFS('Thanh toán'!$H$4:$H$203,'Thanh toán'!$D$4:$D$203,$A149))</f>
        <v/>
      </c>
      <c r="T149" s="38" t="str">
        <f aca="false">IF($A149="","",SUMIFS('Công nợ'!$I$4:$I$203,'Công nợ'!$B$4:$B$203,$A149))</f>
        <v/>
      </c>
      <c r="U149" s="38" t="str">
        <f aca="false">IF($A149="","",SUMIFS('Công nợ'!$I$4:$I$203,'Công nợ'!$B$4:$B$203,$A149,'Công nợ'!$K$4:$K$203,"&gt;0"))</f>
        <v/>
      </c>
    </row>
    <row r="150" customFormat="false" ht="15" hidden="false" customHeight="false" outlineLevel="0" collapsed="false">
      <c r="A150" s="37" t="str">
        <f aca="false">IF('Dự án'!$A150="","",'Dự án'!$A150)</f>
        <v/>
      </c>
      <c r="B150" s="37" t="str">
        <f aca="false">IF($A150="","",'Dự án'!$B150)</f>
        <v/>
      </c>
      <c r="C150" s="37" t="str">
        <f aca="false">IF($A150="","",'Dự án'!$C150)</f>
        <v/>
      </c>
      <c r="D150" s="37" t="str">
        <f aca="false">IF($A150="","",'Dự án'!$H150)</f>
        <v/>
      </c>
      <c r="E150" s="38" t="str">
        <f aca="false">IF($A150="","",'Dự án'!$G150)</f>
        <v/>
      </c>
      <c r="F150" s="38" t="str">
        <f aca="false">IF($A150="","",COUNTIFS('Check giá'!$C$4:$C$203,$A150))</f>
        <v/>
      </c>
      <c r="G150" s="38" t="str">
        <f aca="false">IF($A150="","",COUNTIFS('Check giá'!$C$4:$C$203,$A150,'Check giá'!$O$4:$O$203,"Đang xử lý")+COUNTIFS('Check giá'!$C$4:$C$203,$A150,'Check giá'!$O$4:$O$203,"Quá hạn chưa trả"))</f>
        <v/>
      </c>
      <c r="H150" s="38" t="str">
        <f aca="false">IF($A150="","",SUMIFS('Check giá'!$J$4:$J$203,'Check giá'!$C$4:$C$203,$A150))</f>
        <v/>
      </c>
      <c r="I150" s="38" t="str">
        <f aca="false">IF($A150="","",COUNTIFS(PR!$D$4:$D$203,$A150))</f>
        <v/>
      </c>
      <c r="J150" s="38" t="str">
        <f aca="false">IF($A150="","",SUMIFS(PR!$L$4:$L$203,PR!$D$4:$D$203,$A150))</f>
        <v/>
      </c>
      <c r="K150" s="38" t="str">
        <f aca="false">IF($A150="","",COUNTIFS(PO!$D$4:$D$203,$A150))</f>
        <v/>
      </c>
      <c r="L150" s="38" t="str">
        <f aca="false">IF($A150="","",SUMIFS(PO!$L$4:$L$203,PO!$D$4:$D$203,$A150))</f>
        <v/>
      </c>
      <c r="M150" s="38" t="str">
        <f aca="false">IF($A150="","",SUMIFS(PO!$N$4:$N$203,PO!$D$4:$D$203,$A150))</f>
        <v/>
      </c>
      <c r="N150" s="39" t="str">
        <f aca="false">IF($A150="","",IFERROR($L150/$E150,""))</f>
        <v/>
      </c>
      <c r="O150" s="38" t="str">
        <f aca="false">IF($A150="","",IFERROR($E150-$L150,""))</f>
        <v/>
      </c>
      <c r="P150" s="38" t="str">
        <f aca="false">IF($A150="","",COUNTIFS(PO!$D$4:$D$203,$A150,PO!$S$4:$S$203,"Đúng hạn")+COUNTIFS(PO!$D$4:$D$203,$A150,PO!$S$4:$S$203,"Giao trễ")+COUNTIFS(PO!$D$4:$D$203,$A150,PO!$S$4:$S$203,"Trễ hạn"))</f>
        <v/>
      </c>
      <c r="Q150" s="38" t="str">
        <f aca="false">IF($A150="","",COUNTIFS(PO!$D$4:$D$203,$A150,PO!$S$4:$S$203,"Đúng hạn"))</f>
        <v/>
      </c>
      <c r="R150" s="39" t="str">
        <f aca="false">IF($A150="","",IFERROR($Q150/$P150,""))</f>
        <v/>
      </c>
      <c r="S150" s="38" t="str">
        <f aca="false">IF($A150="","",SUMIFS('Thanh toán'!$H$4:$H$203,'Thanh toán'!$D$4:$D$203,$A150))</f>
        <v/>
      </c>
      <c r="T150" s="38" t="str">
        <f aca="false">IF($A150="","",SUMIFS('Công nợ'!$I$4:$I$203,'Công nợ'!$B$4:$B$203,$A150))</f>
        <v/>
      </c>
      <c r="U150" s="38" t="str">
        <f aca="false">IF($A150="","",SUMIFS('Công nợ'!$I$4:$I$203,'Công nợ'!$B$4:$B$203,$A150,'Công nợ'!$K$4:$K$203,"&gt;0"))</f>
        <v/>
      </c>
    </row>
    <row r="151" customFormat="false" ht="15" hidden="false" customHeight="false" outlineLevel="0" collapsed="false">
      <c r="A151" s="37" t="str">
        <f aca="false">IF('Dự án'!$A151="","",'Dự án'!$A151)</f>
        <v/>
      </c>
      <c r="B151" s="37" t="str">
        <f aca="false">IF($A151="","",'Dự án'!$B151)</f>
        <v/>
      </c>
      <c r="C151" s="37" t="str">
        <f aca="false">IF($A151="","",'Dự án'!$C151)</f>
        <v/>
      </c>
      <c r="D151" s="37" t="str">
        <f aca="false">IF($A151="","",'Dự án'!$H151)</f>
        <v/>
      </c>
      <c r="E151" s="38" t="str">
        <f aca="false">IF($A151="","",'Dự án'!$G151)</f>
        <v/>
      </c>
      <c r="F151" s="38" t="str">
        <f aca="false">IF($A151="","",COUNTIFS('Check giá'!$C$4:$C$203,$A151))</f>
        <v/>
      </c>
      <c r="G151" s="38" t="str">
        <f aca="false">IF($A151="","",COUNTIFS('Check giá'!$C$4:$C$203,$A151,'Check giá'!$O$4:$O$203,"Đang xử lý")+COUNTIFS('Check giá'!$C$4:$C$203,$A151,'Check giá'!$O$4:$O$203,"Quá hạn chưa trả"))</f>
        <v/>
      </c>
      <c r="H151" s="38" t="str">
        <f aca="false">IF($A151="","",SUMIFS('Check giá'!$J$4:$J$203,'Check giá'!$C$4:$C$203,$A151))</f>
        <v/>
      </c>
      <c r="I151" s="38" t="str">
        <f aca="false">IF($A151="","",COUNTIFS(PR!$D$4:$D$203,$A151))</f>
        <v/>
      </c>
      <c r="J151" s="38" t="str">
        <f aca="false">IF($A151="","",SUMIFS(PR!$L$4:$L$203,PR!$D$4:$D$203,$A151))</f>
        <v/>
      </c>
      <c r="K151" s="38" t="str">
        <f aca="false">IF($A151="","",COUNTIFS(PO!$D$4:$D$203,$A151))</f>
        <v/>
      </c>
      <c r="L151" s="38" t="str">
        <f aca="false">IF($A151="","",SUMIFS(PO!$L$4:$L$203,PO!$D$4:$D$203,$A151))</f>
        <v/>
      </c>
      <c r="M151" s="38" t="str">
        <f aca="false">IF($A151="","",SUMIFS(PO!$N$4:$N$203,PO!$D$4:$D$203,$A151))</f>
        <v/>
      </c>
      <c r="N151" s="39" t="str">
        <f aca="false">IF($A151="","",IFERROR($L151/$E151,""))</f>
        <v/>
      </c>
      <c r="O151" s="38" t="str">
        <f aca="false">IF($A151="","",IFERROR($E151-$L151,""))</f>
        <v/>
      </c>
      <c r="P151" s="38" t="str">
        <f aca="false">IF($A151="","",COUNTIFS(PO!$D$4:$D$203,$A151,PO!$S$4:$S$203,"Đúng hạn")+COUNTIFS(PO!$D$4:$D$203,$A151,PO!$S$4:$S$203,"Giao trễ")+COUNTIFS(PO!$D$4:$D$203,$A151,PO!$S$4:$S$203,"Trễ hạn"))</f>
        <v/>
      </c>
      <c r="Q151" s="38" t="str">
        <f aca="false">IF($A151="","",COUNTIFS(PO!$D$4:$D$203,$A151,PO!$S$4:$S$203,"Đúng hạn"))</f>
        <v/>
      </c>
      <c r="R151" s="39" t="str">
        <f aca="false">IF($A151="","",IFERROR($Q151/$P151,""))</f>
        <v/>
      </c>
      <c r="S151" s="38" t="str">
        <f aca="false">IF($A151="","",SUMIFS('Thanh toán'!$H$4:$H$203,'Thanh toán'!$D$4:$D$203,$A151))</f>
        <v/>
      </c>
      <c r="T151" s="38" t="str">
        <f aca="false">IF($A151="","",SUMIFS('Công nợ'!$I$4:$I$203,'Công nợ'!$B$4:$B$203,$A151))</f>
        <v/>
      </c>
      <c r="U151" s="38" t="str">
        <f aca="false">IF($A151="","",SUMIFS('Công nợ'!$I$4:$I$203,'Công nợ'!$B$4:$B$203,$A151,'Công nợ'!$K$4:$K$203,"&gt;0"))</f>
        <v/>
      </c>
    </row>
    <row r="152" customFormat="false" ht="15" hidden="false" customHeight="false" outlineLevel="0" collapsed="false">
      <c r="A152" s="37" t="str">
        <f aca="false">IF('Dự án'!$A152="","",'Dự án'!$A152)</f>
        <v/>
      </c>
      <c r="B152" s="37" t="str">
        <f aca="false">IF($A152="","",'Dự án'!$B152)</f>
        <v/>
      </c>
      <c r="C152" s="37" t="str">
        <f aca="false">IF($A152="","",'Dự án'!$C152)</f>
        <v/>
      </c>
      <c r="D152" s="37" t="str">
        <f aca="false">IF($A152="","",'Dự án'!$H152)</f>
        <v/>
      </c>
      <c r="E152" s="38" t="str">
        <f aca="false">IF($A152="","",'Dự án'!$G152)</f>
        <v/>
      </c>
      <c r="F152" s="38" t="str">
        <f aca="false">IF($A152="","",COUNTIFS('Check giá'!$C$4:$C$203,$A152))</f>
        <v/>
      </c>
      <c r="G152" s="38" t="str">
        <f aca="false">IF($A152="","",COUNTIFS('Check giá'!$C$4:$C$203,$A152,'Check giá'!$O$4:$O$203,"Đang xử lý")+COUNTIFS('Check giá'!$C$4:$C$203,$A152,'Check giá'!$O$4:$O$203,"Quá hạn chưa trả"))</f>
        <v/>
      </c>
      <c r="H152" s="38" t="str">
        <f aca="false">IF($A152="","",SUMIFS('Check giá'!$J$4:$J$203,'Check giá'!$C$4:$C$203,$A152))</f>
        <v/>
      </c>
      <c r="I152" s="38" t="str">
        <f aca="false">IF($A152="","",COUNTIFS(PR!$D$4:$D$203,$A152))</f>
        <v/>
      </c>
      <c r="J152" s="38" t="str">
        <f aca="false">IF($A152="","",SUMIFS(PR!$L$4:$L$203,PR!$D$4:$D$203,$A152))</f>
        <v/>
      </c>
      <c r="K152" s="38" t="str">
        <f aca="false">IF($A152="","",COUNTIFS(PO!$D$4:$D$203,$A152))</f>
        <v/>
      </c>
      <c r="L152" s="38" t="str">
        <f aca="false">IF($A152="","",SUMIFS(PO!$L$4:$L$203,PO!$D$4:$D$203,$A152))</f>
        <v/>
      </c>
      <c r="M152" s="38" t="str">
        <f aca="false">IF($A152="","",SUMIFS(PO!$N$4:$N$203,PO!$D$4:$D$203,$A152))</f>
        <v/>
      </c>
      <c r="N152" s="39" t="str">
        <f aca="false">IF($A152="","",IFERROR($L152/$E152,""))</f>
        <v/>
      </c>
      <c r="O152" s="38" t="str">
        <f aca="false">IF($A152="","",IFERROR($E152-$L152,""))</f>
        <v/>
      </c>
      <c r="P152" s="38" t="str">
        <f aca="false">IF($A152="","",COUNTIFS(PO!$D$4:$D$203,$A152,PO!$S$4:$S$203,"Đúng hạn")+COUNTIFS(PO!$D$4:$D$203,$A152,PO!$S$4:$S$203,"Giao trễ")+COUNTIFS(PO!$D$4:$D$203,$A152,PO!$S$4:$S$203,"Trễ hạn"))</f>
        <v/>
      </c>
      <c r="Q152" s="38" t="str">
        <f aca="false">IF($A152="","",COUNTIFS(PO!$D$4:$D$203,$A152,PO!$S$4:$S$203,"Đúng hạn"))</f>
        <v/>
      </c>
      <c r="R152" s="39" t="str">
        <f aca="false">IF($A152="","",IFERROR($Q152/$P152,""))</f>
        <v/>
      </c>
      <c r="S152" s="38" t="str">
        <f aca="false">IF($A152="","",SUMIFS('Thanh toán'!$H$4:$H$203,'Thanh toán'!$D$4:$D$203,$A152))</f>
        <v/>
      </c>
      <c r="T152" s="38" t="str">
        <f aca="false">IF($A152="","",SUMIFS('Công nợ'!$I$4:$I$203,'Công nợ'!$B$4:$B$203,$A152))</f>
        <v/>
      </c>
      <c r="U152" s="38" t="str">
        <f aca="false">IF($A152="","",SUMIFS('Công nợ'!$I$4:$I$203,'Công nợ'!$B$4:$B$203,$A152,'Công nợ'!$K$4:$K$203,"&gt;0"))</f>
        <v/>
      </c>
    </row>
    <row r="153" customFormat="false" ht="15" hidden="false" customHeight="false" outlineLevel="0" collapsed="false">
      <c r="A153" s="37" t="str">
        <f aca="false">IF('Dự án'!$A153="","",'Dự án'!$A153)</f>
        <v/>
      </c>
      <c r="B153" s="37" t="str">
        <f aca="false">IF($A153="","",'Dự án'!$B153)</f>
        <v/>
      </c>
      <c r="C153" s="37" t="str">
        <f aca="false">IF($A153="","",'Dự án'!$C153)</f>
        <v/>
      </c>
      <c r="D153" s="37" t="str">
        <f aca="false">IF($A153="","",'Dự án'!$H153)</f>
        <v/>
      </c>
      <c r="E153" s="38" t="str">
        <f aca="false">IF($A153="","",'Dự án'!$G153)</f>
        <v/>
      </c>
      <c r="F153" s="38" t="str">
        <f aca="false">IF($A153="","",COUNTIFS('Check giá'!$C$4:$C$203,$A153))</f>
        <v/>
      </c>
      <c r="G153" s="38" t="str">
        <f aca="false">IF($A153="","",COUNTIFS('Check giá'!$C$4:$C$203,$A153,'Check giá'!$O$4:$O$203,"Đang xử lý")+COUNTIFS('Check giá'!$C$4:$C$203,$A153,'Check giá'!$O$4:$O$203,"Quá hạn chưa trả"))</f>
        <v/>
      </c>
      <c r="H153" s="38" t="str">
        <f aca="false">IF($A153="","",SUMIFS('Check giá'!$J$4:$J$203,'Check giá'!$C$4:$C$203,$A153))</f>
        <v/>
      </c>
      <c r="I153" s="38" t="str">
        <f aca="false">IF($A153="","",COUNTIFS(PR!$D$4:$D$203,$A153))</f>
        <v/>
      </c>
      <c r="J153" s="38" t="str">
        <f aca="false">IF($A153="","",SUMIFS(PR!$L$4:$L$203,PR!$D$4:$D$203,$A153))</f>
        <v/>
      </c>
      <c r="K153" s="38" t="str">
        <f aca="false">IF($A153="","",COUNTIFS(PO!$D$4:$D$203,$A153))</f>
        <v/>
      </c>
      <c r="L153" s="38" t="str">
        <f aca="false">IF($A153="","",SUMIFS(PO!$L$4:$L$203,PO!$D$4:$D$203,$A153))</f>
        <v/>
      </c>
      <c r="M153" s="38" t="str">
        <f aca="false">IF($A153="","",SUMIFS(PO!$N$4:$N$203,PO!$D$4:$D$203,$A153))</f>
        <v/>
      </c>
      <c r="N153" s="39" t="str">
        <f aca="false">IF($A153="","",IFERROR($L153/$E153,""))</f>
        <v/>
      </c>
      <c r="O153" s="38" t="str">
        <f aca="false">IF($A153="","",IFERROR($E153-$L153,""))</f>
        <v/>
      </c>
      <c r="P153" s="38" t="str">
        <f aca="false">IF($A153="","",COUNTIFS(PO!$D$4:$D$203,$A153,PO!$S$4:$S$203,"Đúng hạn")+COUNTIFS(PO!$D$4:$D$203,$A153,PO!$S$4:$S$203,"Giao trễ")+COUNTIFS(PO!$D$4:$D$203,$A153,PO!$S$4:$S$203,"Trễ hạn"))</f>
        <v/>
      </c>
      <c r="Q153" s="38" t="str">
        <f aca="false">IF($A153="","",COUNTIFS(PO!$D$4:$D$203,$A153,PO!$S$4:$S$203,"Đúng hạn"))</f>
        <v/>
      </c>
      <c r="R153" s="39" t="str">
        <f aca="false">IF($A153="","",IFERROR($Q153/$P153,""))</f>
        <v/>
      </c>
      <c r="S153" s="38" t="str">
        <f aca="false">IF($A153="","",SUMIFS('Thanh toán'!$H$4:$H$203,'Thanh toán'!$D$4:$D$203,$A153))</f>
        <v/>
      </c>
      <c r="T153" s="38" t="str">
        <f aca="false">IF($A153="","",SUMIFS('Công nợ'!$I$4:$I$203,'Công nợ'!$B$4:$B$203,$A153))</f>
        <v/>
      </c>
      <c r="U153" s="38" t="str">
        <f aca="false">IF($A153="","",SUMIFS('Công nợ'!$I$4:$I$203,'Công nợ'!$B$4:$B$203,$A153,'Công nợ'!$K$4:$K$203,"&gt;0"))</f>
        <v/>
      </c>
    </row>
    <row r="154" customFormat="false" ht="15" hidden="false" customHeight="false" outlineLevel="0" collapsed="false">
      <c r="A154" s="37" t="str">
        <f aca="false">IF('Dự án'!$A154="","",'Dự án'!$A154)</f>
        <v/>
      </c>
      <c r="B154" s="37" t="str">
        <f aca="false">IF($A154="","",'Dự án'!$B154)</f>
        <v/>
      </c>
      <c r="C154" s="37" t="str">
        <f aca="false">IF($A154="","",'Dự án'!$C154)</f>
        <v/>
      </c>
      <c r="D154" s="37" t="str">
        <f aca="false">IF($A154="","",'Dự án'!$H154)</f>
        <v/>
      </c>
      <c r="E154" s="38" t="str">
        <f aca="false">IF($A154="","",'Dự án'!$G154)</f>
        <v/>
      </c>
      <c r="F154" s="38" t="str">
        <f aca="false">IF($A154="","",COUNTIFS('Check giá'!$C$4:$C$203,$A154))</f>
        <v/>
      </c>
      <c r="G154" s="38" t="str">
        <f aca="false">IF($A154="","",COUNTIFS('Check giá'!$C$4:$C$203,$A154,'Check giá'!$O$4:$O$203,"Đang xử lý")+COUNTIFS('Check giá'!$C$4:$C$203,$A154,'Check giá'!$O$4:$O$203,"Quá hạn chưa trả"))</f>
        <v/>
      </c>
      <c r="H154" s="38" t="str">
        <f aca="false">IF($A154="","",SUMIFS('Check giá'!$J$4:$J$203,'Check giá'!$C$4:$C$203,$A154))</f>
        <v/>
      </c>
      <c r="I154" s="38" t="str">
        <f aca="false">IF($A154="","",COUNTIFS(PR!$D$4:$D$203,$A154))</f>
        <v/>
      </c>
      <c r="J154" s="38" t="str">
        <f aca="false">IF($A154="","",SUMIFS(PR!$L$4:$L$203,PR!$D$4:$D$203,$A154))</f>
        <v/>
      </c>
      <c r="K154" s="38" t="str">
        <f aca="false">IF($A154="","",COUNTIFS(PO!$D$4:$D$203,$A154))</f>
        <v/>
      </c>
      <c r="L154" s="38" t="str">
        <f aca="false">IF($A154="","",SUMIFS(PO!$L$4:$L$203,PO!$D$4:$D$203,$A154))</f>
        <v/>
      </c>
      <c r="M154" s="38" t="str">
        <f aca="false">IF($A154="","",SUMIFS(PO!$N$4:$N$203,PO!$D$4:$D$203,$A154))</f>
        <v/>
      </c>
      <c r="N154" s="39" t="str">
        <f aca="false">IF($A154="","",IFERROR($L154/$E154,""))</f>
        <v/>
      </c>
      <c r="O154" s="38" t="str">
        <f aca="false">IF($A154="","",IFERROR($E154-$L154,""))</f>
        <v/>
      </c>
      <c r="P154" s="38" t="str">
        <f aca="false">IF($A154="","",COUNTIFS(PO!$D$4:$D$203,$A154,PO!$S$4:$S$203,"Đúng hạn")+COUNTIFS(PO!$D$4:$D$203,$A154,PO!$S$4:$S$203,"Giao trễ")+COUNTIFS(PO!$D$4:$D$203,$A154,PO!$S$4:$S$203,"Trễ hạn"))</f>
        <v/>
      </c>
      <c r="Q154" s="38" t="str">
        <f aca="false">IF($A154="","",COUNTIFS(PO!$D$4:$D$203,$A154,PO!$S$4:$S$203,"Đúng hạn"))</f>
        <v/>
      </c>
      <c r="R154" s="39" t="str">
        <f aca="false">IF($A154="","",IFERROR($Q154/$P154,""))</f>
        <v/>
      </c>
      <c r="S154" s="38" t="str">
        <f aca="false">IF($A154="","",SUMIFS('Thanh toán'!$H$4:$H$203,'Thanh toán'!$D$4:$D$203,$A154))</f>
        <v/>
      </c>
      <c r="T154" s="38" t="str">
        <f aca="false">IF($A154="","",SUMIFS('Công nợ'!$I$4:$I$203,'Công nợ'!$B$4:$B$203,$A154))</f>
        <v/>
      </c>
      <c r="U154" s="38" t="str">
        <f aca="false">IF($A154="","",SUMIFS('Công nợ'!$I$4:$I$203,'Công nợ'!$B$4:$B$203,$A154,'Công nợ'!$K$4:$K$203,"&gt;0"))</f>
        <v/>
      </c>
    </row>
    <row r="155" customFormat="false" ht="15" hidden="false" customHeight="false" outlineLevel="0" collapsed="false">
      <c r="A155" s="37" t="str">
        <f aca="false">IF('Dự án'!$A155="","",'Dự án'!$A155)</f>
        <v/>
      </c>
      <c r="B155" s="37" t="str">
        <f aca="false">IF($A155="","",'Dự án'!$B155)</f>
        <v/>
      </c>
      <c r="C155" s="37" t="str">
        <f aca="false">IF($A155="","",'Dự án'!$C155)</f>
        <v/>
      </c>
      <c r="D155" s="37" t="str">
        <f aca="false">IF($A155="","",'Dự án'!$H155)</f>
        <v/>
      </c>
      <c r="E155" s="38" t="str">
        <f aca="false">IF($A155="","",'Dự án'!$G155)</f>
        <v/>
      </c>
      <c r="F155" s="38" t="str">
        <f aca="false">IF($A155="","",COUNTIFS('Check giá'!$C$4:$C$203,$A155))</f>
        <v/>
      </c>
      <c r="G155" s="38" t="str">
        <f aca="false">IF($A155="","",COUNTIFS('Check giá'!$C$4:$C$203,$A155,'Check giá'!$O$4:$O$203,"Đang xử lý")+COUNTIFS('Check giá'!$C$4:$C$203,$A155,'Check giá'!$O$4:$O$203,"Quá hạn chưa trả"))</f>
        <v/>
      </c>
      <c r="H155" s="38" t="str">
        <f aca="false">IF($A155="","",SUMIFS('Check giá'!$J$4:$J$203,'Check giá'!$C$4:$C$203,$A155))</f>
        <v/>
      </c>
      <c r="I155" s="38" t="str">
        <f aca="false">IF($A155="","",COUNTIFS(PR!$D$4:$D$203,$A155))</f>
        <v/>
      </c>
      <c r="J155" s="38" t="str">
        <f aca="false">IF($A155="","",SUMIFS(PR!$L$4:$L$203,PR!$D$4:$D$203,$A155))</f>
        <v/>
      </c>
      <c r="K155" s="38" t="str">
        <f aca="false">IF($A155="","",COUNTIFS(PO!$D$4:$D$203,$A155))</f>
        <v/>
      </c>
      <c r="L155" s="38" t="str">
        <f aca="false">IF($A155="","",SUMIFS(PO!$L$4:$L$203,PO!$D$4:$D$203,$A155))</f>
        <v/>
      </c>
      <c r="M155" s="38" t="str">
        <f aca="false">IF($A155="","",SUMIFS(PO!$N$4:$N$203,PO!$D$4:$D$203,$A155))</f>
        <v/>
      </c>
      <c r="N155" s="39" t="str">
        <f aca="false">IF($A155="","",IFERROR($L155/$E155,""))</f>
        <v/>
      </c>
      <c r="O155" s="38" t="str">
        <f aca="false">IF($A155="","",IFERROR($E155-$L155,""))</f>
        <v/>
      </c>
      <c r="P155" s="38" t="str">
        <f aca="false">IF($A155="","",COUNTIFS(PO!$D$4:$D$203,$A155,PO!$S$4:$S$203,"Đúng hạn")+COUNTIFS(PO!$D$4:$D$203,$A155,PO!$S$4:$S$203,"Giao trễ")+COUNTIFS(PO!$D$4:$D$203,$A155,PO!$S$4:$S$203,"Trễ hạn"))</f>
        <v/>
      </c>
      <c r="Q155" s="38" t="str">
        <f aca="false">IF($A155="","",COUNTIFS(PO!$D$4:$D$203,$A155,PO!$S$4:$S$203,"Đúng hạn"))</f>
        <v/>
      </c>
      <c r="R155" s="39" t="str">
        <f aca="false">IF($A155="","",IFERROR($Q155/$P155,""))</f>
        <v/>
      </c>
      <c r="S155" s="38" t="str">
        <f aca="false">IF($A155="","",SUMIFS('Thanh toán'!$H$4:$H$203,'Thanh toán'!$D$4:$D$203,$A155))</f>
        <v/>
      </c>
      <c r="T155" s="38" t="str">
        <f aca="false">IF($A155="","",SUMIFS('Công nợ'!$I$4:$I$203,'Công nợ'!$B$4:$B$203,$A155))</f>
        <v/>
      </c>
      <c r="U155" s="38" t="str">
        <f aca="false">IF($A155="","",SUMIFS('Công nợ'!$I$4:$I$203,'Công nợ'!$B$4:$B$203,$A155,'Công nợ'!$K$4:$K$203,"&gt;0"))</f>
        <v/>
      </c>
    </row>
    <row r="156" customFormat="false" ht="15" hidden="false" customHeight="false" outlineLevel="0" collapsed="false">
      <c r="A156" s="37" t="str">
        <f aca="false">IF('Dự án'!$A156="","",'Dự án'!$A156)</f>
        <v/>
      </c>
      <c r="B156" s="37" t="str">
        <f aca="false">IF($A156="","",'Dự án'!$B156)</f>
        <v/>
      </c>
      <c r="C156" s="37" t="str">
        <f aca="false">IF($A156="","",'Dự án'!$C156)</f>
        <v/>
      </c>
      <c r="D156" s="37" t="str">
        <f aca="false">IF($A156="","",'Dự án'!$H156)</f>
        <v/>
      </c>
      <c r="E156" s="38" t="str">
        <f aca="false">IF($A156="","",'Dự án'!$G156)</f>
        <v/>
      </c>
      <c r="F156" s="38" t="str">
        <f aca="false">IF($A156="","",COUNTIFS('Check giá'!$C$4:$C$203,$A156))</f>
        <v/>
      </c>
      <c r="G156" s="38" t="str">
        <f aca="false">IF($A156="","",COUNTIFS('Check giá'!$C$4:$C$203,$A156,'Check giá'!$O$4:$O$203,"Đang xử lý")+COUNTIFS('Check giá'!$C$4:$C$203,$A156,'Check giá'!$O$4:$O$203,"Quá hạn chưa trả"))</f>
        <v/>
      </c>
      <c r="H156" s="38" t="str">
        <f aca="false">IF($A156="","",SUMIFS('Check giá'!$J$4:$J$203,'Check giá'!$C$4:$C$203,$A156))</f>
        <v/>
      </c>
      <c r="I156" s="38" t="str">
        <f aca="false">IF($A156="","",COUNTIFS(PR!$D$4:$D$203,$A156))</f>
        <v/>
      </c>
      <c r="J156" s="38" t="str">
        <f aca="false">IF($A156="","",SUMIFS(PR!$L$4:$L$203,PR!$D$4:$D$203,$A156))</f>
        <v/>
      </c>
      <c r="K156" s="38" t="str">
        <f aca="false">IF($A156="","",COUNTIFS(PO!$D$4:$D$203,$A156))</f>
        <v/>
      </c>
      <c r="L156" s="38" t="str">
        <f aca="false">IF($A156="","",SUMIFS(PO!$L$4:$L$203,PO!$D$4:$D$203,$A156))</f>
        <v/>
      </c>
      <c r="M156" s="38" t="str">
        <f aca="false">IF($A156="","",SUMIFS(PO!$N$4:$N$203,PO!$D$4:$D$203,$A156))</f>
        <v/>
      </c>
      <c r="N156" s="39" t="str">
        <f aca="false">IF($A156="","",IFERROR($L156/$E156,""))</f>
        <v/>
      </c>
      <c r="O156" s="38" t="str">
        <f aca="false">IF($A156="","",IFERROR($E156-$L156,""))</f>
        <v/>
      </c>
      <c r="P156" s="38" t="str">
        <f aca="false">IF($A156="","",COUNTIFS(PO!$D$4:$D$203,$A156,PO!$S$4:$S$203,"Đúng hạn")+COUNTIFS(PO!$D$4:$D$203,$A156,PO!$S$4:$S$203,"Giao trễ")+COUNTIFS(PO!$D$4:$D$203,$A156,PO!$S$4:$S$203,"Trễ hạn"))</f>
        <v/>
      </c>
      <c r="Q156" s="38" t="str">
        <f aca="false">IF($A156="","",COUNTIFS(PO!$D$4:$D$203,$A156,PO!$S$4:$S$203,"Đúng hạn"))</f>
        <v/>
      </c>
      <c r="R156" s="39" t="str">
        <f aca="false">IF($A156="","",IFERROR($Q156/$P156,""))</f>
        <v/>
      </c>
      <c r="S156" s="38" t="str">
        <f aca="false">IF($A156="","",SUMIFS('Thanh toán'!$H$4:$H$203,'Thanh toán'!$D$4:$D$203,$A156))</f>
        <v/>
      </c>
      <c r="T156" s="38" t="str">
        <f aca="false">IF($A156="","",SUMIFS('Công nợ'!$I$4:$I$203,'Công nợ'!$B$4:$B$203,$A156))</f>
        <v/>
      </c>
      <c r="U156" s="38" t="str">
        <f aca="false">IF($A156="","",SUMIFS('Công nợ'!$I$4:$I$203,'Công nợ'!$B$4:$B$203,$A156,'Công nợ'!$K$4:$K$203,"&gt;0"))</f>
        <v/>
      </c>
    </row>
    <row r="157" customFormat="false" ht="15" hidden="false" customHeight="false" outlineLevel="0" collapsed="false">
      <c r="A157" s="37" t="str">
        <f aca="false">IF('Dự án'!$A157="","",'Dự án'!$A157)</f>
        <v/>
      </c>
      <c r="B157" s="37" t="str">
        <f aca="false">IF($A157="","",'Dự án'!$B157)</f>
        <v/>
      </c>
      <c r="C157" s="37" t="str">
        <f aca="false">IF($A157="","",'Dự án'!$C157)</f>
        <v/>
      </c>
      <c r="D157" s="37" t="str">
        <f aca="false">IF($A157="","",'Dự án'!$H157)</f>
        <v/>
      </c>
      <c r="E157" s="38" t="str">
        <f aca="false">IF($A157="","",'Dự án'!$G157)</f>
        <v/>
      </c>
      <c r="F157" s="38" t="str">
        <f aca="false">IF($A157="","",COUNTIFS('Check giá'!$C$4:$C$203,$A157))</f>
        <v/>
      </c>
      <c r="G157" s="38" t="str">
        <f aca="false">IF($A157="","",COUNTIFS('Check giá'!$C$4:$C$203,$A157,'Check giá'!$O$4:$O$203,"Đang xử lý")+COUNTIFS('Check giá'!$C$4:$C$203,$A157,'Check giá'!$O$4:$O$203,"Quá hạn chưa trả"))</f>
        <v/>
      </c>
      <c r="H157" s="38" t="str">
        <f aca="false">IF($A157="","",SUMIFS('Check giá'!$J$4:$J$203,'Check giá'!$C$4:$C$203,$A157))</f>
        <v/>
      </c>
      <c r="I157" s="38" t="str">
        <f aca="false">IF($A157="","",COUNTIFS(PR!$D$4:$D$203,$A157))</f>
        <v/>
      </c>
      <c r="J157" s="38" t="str">
        <f aca="false">IF($A157="","",SUMIFS(PR!$L$4:$L$203,PR!$D$4:$D$203,$A157))</f>
        <v/>
      </c>
      <c r="K157" s="38" t="str">
        <f aca="false">IF($A157="","",COUNTIFS(PO!$D$4:$D$203,$A157))</f>
        <v/>
      </c>
      <c r="L157" s="38" t="str">
        <f aca="false">IF($A157="","",SUMIFS(PO!$L$4:$L$203,PO!$D$4:$D$203,$A157))</f>
        <v/>
      </c>
      <c r="M157" s="38" t="str">
        <f aca="false">IF($A157="","",SUMIFS(PO!$N$4:$N$203,PO!$D$4:$D$203,$A157))</f>
        <v/>
      </c>
      <c r="N157" s="39" t="str">
        <f aca="false">IF($A157="","",IFERROR($L157/$E157,""))</f>
        <v/>
      </c>
      <c r="O157" s="38" t="str">
        <f aca="false">IF($A157="","",IFERROR($E157-$L157,""))</f>
        <v/>
      </c>
      <c r="P157" s="38" t="str">
        <f aca="false">IF($A157="","",COUNTIFS(PO!$D$4:$D$203,$A157,PO!$S$4:$S$203,"Đúng hạn")+COUNTIFS(PO!$D$4:$D$203,$A157,PO!$S$4:$S$203,"Giao trễ")+COUNTIFS(PO!$D$4:$D$203,$A157,PO!$S$4:$S$203,"Trễ hạn"))</f>
        <v/>
      </c>
      <c r="Q157" s="38" t="str">
        <f aca="false">IF($A157="","",COUNTIFS(PO!$D$4:$D$203,$A157,PO!$S$4:$S$203,"Đúng hạn"))</f>
        <v/>
      </c>
      <c r="R157" s="39" t="str">
        <f aca="false">IF($A157="","",IFERROR($Q157/$P157,""))</f>
        <v/>
      </c>
      <c r="S157" s="38" t="str">
        <f aca="false">IF($A157="","",SUMIFS('Thanh toán'!$H$4:$H$203,'Thanh toán'!$D$4:$D$203,$A157))</f>
        <v/>
      </c>
      <c r="T157" s="38" t="str">
        <f aca="false">IF($A157="","",SUMIFS('Công nợ'!$I$4:$I$203,'Công nợ'!$B$4:$B$203,$A157))</f>
        <v/>
      </c>
      <c r="U157" s="38" t="str">
        <f aca="false">IF($A157="","",SUMIFS('Công nợ'!$I$4:$I$203,'Công nợ'!$B$4:$B$203,$A157,'Công nợ'!$K$4:$K$203,"&gt;0"))</f>
        <v/>
      </c>
    </row>
    <row r="158" customFormat="false" ht="15" hidden="false" customHeight="false" outlineLevel="0" collapsed="false">
      <c r="A158" s="37" t="str">
        <f aca="false">IF('Dự án'!$A158="","",'Dự án'!$A158)</f>
        <v/>
      </c>
      <c r="B158" s="37" t="str">
        <f aca="false">IF($A158="","",'Dự án'!$B158)</f>
        <v/>
      </c>
      <c r="C158" s="37" t="str">
        <f aca="false">IF($A158="","",'Dự án'!$C158)</f>
        <v/>
      </c>
      <c r="D158" s="37" t="str">
        <f aca="false">IF($A158="","",'Dự án'!$H158)</f>
        <v/>
      </c>
      <c r="E158" s="38" t="str">
        <f aca="false">IF($A158="","",'Dự án'!$G158)</f>
        <v/>
      </c>
      <c r="F158" s="38" t="str">
        <f aca="false">IF($A158="","",COUNTIFS('Check giá'!$C$4:$C$203,$A158))</f>
        <v/>
      </c>
      <c r="G158" s="38" t="str">
        <f aca="false">IF($A158="","",COUNTIFS('Check giá'!$C$4:$C$203,$A158,'Check giá'!$O$4:$O$203,"Đang xử lý")+COUNTIFS('Check giá'!$C$4:$C$203,$A158,'Check giá'!$O$4:$O$203,"Quá hạn chưa trả"))</f>
        <v/>
      </c>
      <c r="H158" s="38" t="str">
        <f aca="false">IF($A158="","",SUMIFS('Check giá'!$J$4:$J$203,'Check giá'!$C$4:$C$203,$A158))</f>
        <v/>
      </c>
      <c r="I158" s="38" t="str">
        <f aca="false">IF($A158="","",COUNTIFS(PR!$D$4:$D$203,$A158))</f>
        <v/>
      </c>
      <c r="J158" s="38" t="str">
        <f aca="false">IF($A158="","",SUMIFS(PR!$L$4:$L$203,PR!$D$4:$D$203,$A158))</f>
        <v/>
      </c>
      <c r="K158" s="38" t="str">
        <f aca="false">IF($A158="","",COUNTIFS(PO!$D$4:$D$203,$A158))</f>
        <v/>
      </c>
      <c r="L158" s="38" t="str">
        <f aca="false">IF($A158="","",SUMIFS(PO!$L$4:$L$203,PO!$D$4:$D$203,$A158))</f>
        <v/>
      </c>
      <c r="M158" s="38" t="str">
        <f aca="false">IF($A158="","",SUMIFS(PO!$N$4:$N$203,PO!$D$4:$D$203,$A158))</f>
        <v/>
      </c>
      <c r="N158" s="39" t="str">
        <f aca="false">IF($A158="","",IFERROR($L158/$E158,""))</f>
        <v/>
      </c>
      <c r="O158" s="38" t="str">
        <f aca="false">IF($A158="","",IFERROR($E158-$L158,""))</f>
        <v/>
      </c>
      <c r="P158" s="38" t="str">
        <f aca="false">IF($A158="","",COUNTIFS(PO!$D$4:$D$203,$A158,PO!$S$4:$S$203,"Đúng hạn")+COUNTIFS(PO!$D$4:$D$203,$A158,PO!$S$4:$S$203,"Giao trễ")+COUNTIFS(PO!$D$4:$D$203,$A158,PO!$S$4:$S$203,"Trễ hạn"))</f>
        <v/>
      </c>
      <c r="Q158" s="38" t="str">
        <f aca="false">IF($A158="","",COUNTIFS(PO!$D$4:$D$203,$A158,PO!$S$4:$S$203,"Đúng hạn"))</f>
        <v/>
      </c>
      <c r="R158" s="39" t="str">
        <f aca="false">IF($A158="","",IFERROR($Q158/$P158,""))</f>
        <v/>
      </c>
      <c r="S158" s="38" t="str">
        <f aca="false">IF($A158="","",SUMIFS('Thanh toán'!$H$4:$H$203,'Thanh toán'!$D$4:$D$203,$A158))</f>
        <v/>
      </c>
      <c r="T158" s="38" t="str">
        <f aca="false">IF($A158="","",SUMIFS('Công nợ'!$I$4:$I$203,'Công nợ'!$B$4:$B$203,$A158))</f>
        <v/>
      </c>
      <c r="U158" s="38" t="str">
        <f aca="false">IF($A158="","",SUMIFS('Công nợ'!$I$4:$I$203,'Công nợ'!$B$4:$B$203,$A158,'Công nợ'!$K$4:$K$203,"&gt;0"))</f>
        <v/>
      </c>
    </row>
    <row r="159" customFormat="false" ht="15" hidden="false" customHeight="false" outlineLevel="0" collapsed="false">
      <c r="A159" s="37" t="str">
        <f aca="false">IF('Dự án'!$A159="","",'Dự án'!$A159)</f>
        <v/>
      </c>
      <c r="B159" s="37" t="str">
        <f aca="false">IF($A159="","",'Dự án'!$B159)</f>
        <v/>
      </c>
      <c r="C159" s="37" t="str">
        <f aca="false">IF($A159="","",'Dự án'!$C159)</f>
        <v/>
      </c>
      <c r="D159" s="37" t="str">
        <f aca="false">IF($A159="","",'Dự án'!$H159)</f>
        <v/>
      </c>
      <c r="E159" s="38" t="str">
        <f aca="false">IF($A159="","",'Dự án'!$G159)</f>
        <v/>
      </c>
      <c r="F159" s="38" t="str">
        <f aca="false">IF($A159="","",COUNTIFS('Check giá'!$C$4:$C$203,$A159))</f>
        <v/>
      </c>
      <c r="G159" s="38" t="str">
        <f aca="false">IF($A159="","",COUNTIFS('Check giá'!$C$4:$C$203,$A159,'Check giá'!$O$4:$O$203,"Đang xử lý")+COUNTIFS('Check giá'!$C$4:$C$203,$A159,'Check giá'!$O$4:$O$203,"Quá hạn chưa trả"))</f>
        <v/>
      </c>
      <c r="H159" s="38" t="str">
        <f aca="false">IF($A159="","",SUMIFS('Check giá'!$J$4:$J$203,'Check giá'!$C$4:$C$203,$A159))</f>
        <v/>
      </c>
      <c r="I159" s="38" t="str">
        <f aca="false">IF($A159="","",COUNTIFS(PR!$D$4:$D$203,$A159))</f>
        <v/>
      </c>
      <c r="J159" s="38" t="str">
        <f aca="false">IF($A159="","",SUMIFS(PR!$L$4:$L$203,PR!$D$4:$D$203,$A159))</f>
        <v/>
      </c>
      <c r="K159" s="38" t="str">
        <f aca="false">IF($A159="","",COUNTIFS(PO!$D$4:$D$203,$A159))</f>
        <v/>
      </c>
      <c r="L159" s="38" t="str">
        <f aca="false">IF($A159="","",SUMIFS(PO!$L$4:$L$203,PO!$D$4:$D$203,$A159))</f>
        <v/>
      </c>
      <c r="M159" s="38" t="str">
        <f aca="false">IF($A159="","",SUMIFS(PO!$N$4:$N$203,PO!$D$4:$D$203,$A159))</f>
        <v/>
      </c>
      <c r="N159" s="39" t="str">
        <f aca="false">IF($A159="","",IFERROR($L159/$E159,""))</f>
        <v/>
      </c>
      <c r="O159" s="38" t="str">
        <f aca="false">IF($A159="","",IFERROR($E159-$L159,""))</f>
        <v/>
      </c>
      <c r="P159" s="38" t="str">
        <f aca="false">IF($A159="","",COUNTIFS(PO!$D$4:$D$203,$A159,PO!$S$4:$S$203,"Đúng hạn")+COUNTIFS(PO!$D$4:$D$203,$A159,PO!$S$4:$S$203,"Giao trễ")+COUNTIFS(PO!$D$4:$D$203,$A159,PO!$S$4:$S$203,"Trễ hạn"))</f>
        <v/>
      </c>
      <c r="Q159" s="38" t="str">
        <f aca="false">IF($A159="","",COUNTIFS(PO!$D$4:$D$203,$A159,PO!$S$4:$S$203,"Đúng hạn"))</f>
        <v/>
      </c>
      <c r="R159" s="39" t="str">
        <f aca="false">IF($A159="","",IFERROR($Q159/$P159,""))</f>
        <v/>
      </c>
      <c r="S159" s="38" t="str">
        <f aca="false">IF($A159="","",SUMIFS('Thanh toán'!$H$4:$H$203,'Thanh toán'!$D$4:$D$203,$A159))</f>
        <v/>
      </c>
      <c r="T159" s="38" t="str">
        <f aca="false">IF($A159="","",SUMIFS('Công nợ'!$I$4:$I$203,'Công nợ'!$B$4:$B$203,$A159))</f>
        <v/>
      </c>
      <c r="U159" s="38" t="str">
        <f aca="false">IF($A159="","",SUMIFS('Công nợ'!$I$4:$I$203,'Công nợ'!$B$4:$B$203,$A159,'Công nợ'!$K$4:$K$203,"&gt;0"))</f>
        <v/>
      </c>
    </row>
    <row r="160" customFormat="false" ht="15" hidden="false" customHeight="false" outlineLevel="0" collapsed="false">
      <c r="A160" s="37" t="str">
        <f aca="false">IF('Dự án'!$A160="","",'Dự án'!$A160)</f>
        <v/>
      </c>
      <c r="B160" s="37" t="str">
        <f aca="false">IF($A160="","",'Dự án'!$B160)</f>
        <v/>
      </c>
      <c r="C160" s="37" t="str">
        <f aca="false">IF($A160="","",'Dự án'!$C160)</f>
        <v/>
      </c>
      <c r="D160" s="37" t="str">
        <f aca="false">IF($A160="","",'Dự án'!$H160)</f>
        <v/>
      </c>
      <c r="E160" s="38" t="str">
        <f aca="false">IF($A160="","",'Dự án'!$G160)</f>
        <v/>
      </c>
      <c r="F160" s="38" t="str">
        <f aca="false">IF($A160="","",COUNTIFS('Check giá'!$C$4:$C$203,$A160))</f>
        <v/>
      </c>
      <c r="G160" s="38" t="str">
        <f aca="false">IF($A160="","",COUNTIFS('Check giá'!$C$4:$C$203,$A160,'Check giá'!$O$4:$O$203,"Đang xử lý")+COUNTIFS('Check giá'!$C$4:$C$203,$A160,'Check giá'!$O$4:$O$203,"Quá hạn chưa trả"))</f>
        <v/>
      </c>
      <c r="H160" s="38" t="str">
        <f aca="false">IF($A160="","",SUMIFS('Check giá'!$J$4:$J$203,'Check giá'!$C$4:$C$203,$A160))</f>
        <v/>
      </c>
      <c r="I160" s="38" t="str">
        <f aca="false">IF($A160="","",COUNTIFS(PR!$D$4:$D$203,$A160))</f>
        <v/>
      </c>
      <c r="J160" s="38" t="str">
        <f aca="false">IF($A160="","",SUMIFS(PR!$L$4:$L$203,PR!$D$4:$D$203,$A160))</f>
        <v/>
      </c>
      <c r="K160" s="38" t="str">
        <f aca="false">IF($A160="","",COUNTIFS(PO!$D$4:$D$203,$A160))</f>
        <v/>
      </c>
      <c r="L160" s="38" t="str">
        <f aca="false">IF($A160="","",SUMIFS(PO!$L$4:$L$203,PO!$D$4:$D$203,$A160))</f>
        <v/>
      </c>
      <c r="M160" s="38" t="str">
        <f aca="false">IF($A160="","",SUMIFS(PO!$N$4:$N$203,PO!$D$4:$D$203,$A160))</f>
        <v/>
      </c>
      <c r="N160" s="39" t="str">
        <f aca="false">IF($A160="","",IFERROR($L160/$E160,""))</f>
        <v/>
      </c>
      <c r="O160" s="38" t="str">
        <f aca="false">IF($A160="","",IFERROR($E160-$L160,""))</f>
        <v/>
      </c>
      <c r="P160" s="38" t="str">
        <f aca="false">IF($A160="","",COUNTIFS(PO!$D$4:$D$203,$A160,PO!$S$4:$S$203,"Đúng hạn")+COUNTIFS(PO!$D$4:$D$203,$A160,PO!$S$4:$S$203,"Giao trễ")+COUNTIFS(PO!$D$4:$D$203,$A160,PO!$S$4:$S$203,"Trễ hạn"))</f>
        <v/>
      </c>
      <c r="Q160" s="38" t="str">
        <f aca="false">IF($A160="","",COUNTIFS(PO!$D$4:$D$203,$A160,PO!$S$4:$S$203,"Đúng hạn"))</f>
        <v/>
      </c>
      <c r="R160" s="39" t="str">
        <f aca="false">IF($A160="","",IFERROR($Q160/$P160,""))</f>
        <v/>
      </c>
      <c r="S160" s="38" t="str">
        <f aca="false">IF($A160="","",SUMIFS('Thanh toán'!$H$4:$H$203,'Thanh toán'!$D$4:$D$203,$A160))</f>
        <v/>
      </c>
      <c r="T160" s="38" t="str">
        <f aca="false">IF($A160="","",SUMIFS('Công nợ'!$I$4:$I$203,'Công nợ'!$B$4:$B$203,$A160))</f>
        <v/>
      </c>
      <c r="U160" s="38" t="str">
        <f aca="false">IF($A160="","",SUMIFS('Công nợ'!$I$4:$I$203,'Công nợ'!$B$4:$B$203,$A160,'Công nợ'!$K$4:$K$203,"&gt;0"))</f>
        <v/>
      </c>
    </row>
    <row r="161" customFormat="false" ht="15" hidden="false" customHeight="false" outlineLevel="0" collapsed="false">
      <c r="A161" s="37" t="str">
        <f aca="false">IF('Dự án'!$A161="","",'Dự án'!$A161)</f>
        <v/>
      </c>
      <c r="B161" s="37" t="str">
        <f aca="false">IF($A161="","",'Dự án'!$B161)</f>
        <v/>
      </c>
      <c r="C161" s="37" t="str">
        <f aca="false">IF($A161="","",'Dự án'!$C161)</f>
        <v/>
      </c>
      <c r="D161" s="37" t="str">
        <f aca="false">IF($A161="","",'Dự án'!$H161)</f>
        <v/>
      </c>
      <c r="E161" s="38" t="str">
        <f aca="false">IF($A161="","",'Dự án'!$G161)</f>
        <v/>
      </c>
      <c r="F161" s="38" t="str">
        <f aca="false">IF($A161="","",COUNTIFS('Check giá'!$C$4:$C$203,$A161))</f>
        <v/>
      </c>
      <c r="G161" s="38" t="str">
        <f aca="false">IF($A161="","",COUNTIFS('Check giá'!$C$4:$C$203,$A161,'Check giá'!$O$4:$O$203,"Đang xử lý")+COUNTIFS('Check giá'!$C$4:$C$203,$A161,'Check giá'!$O$4:$O$203,"Quá hạn chưa trả"))</f>
        <v/>
      </c>
      <c r="H161" s="38" t="str">
        <f aca="false">IF($A161="","",SUMIFS('Check giá'!$J$4:$J$203,'Check giá'!$C$4:$C$203,$A161))</f>
        <v/>
      </c>
      <c r="I161" s="38" t="str">
        <f aca="false">IF($A161="","",COUNTIFS(PR!$D$4:$D$203,$A161))</f>
        <v/>
      </c>
      <c r="J161" s="38" t="str">
        <f aca="false">IF($A161="","",SUMIFS(PR!$L$4:$L$203,PR!$D$4:$D$203,$A161))</f>
        <v/>
      </c>
      <c r="K161" s="38" t="str">
        <f aca="false">IF($A161="","",COUNTIFS(PO!$D$4:$D$203,$A161))</f>
        <v/>
      </c>
      <c r="L161" s="38" t="str">
        <f aca="false">IF($A161="","",SUMIFS(PO!$L$4:$L$203,PO!$D$4:$D$203,$A161))</f>
        <v/>
      </c>
      <c r="M161" s="38" t="str">
        <f aca="false">IF($A161="","",SUMIFS(PO!$N$4:$N$203,PO!$D$4:$D$203,$A161))</f>
        <v/>
      </c>
      <c r="N161" s="39" t="str">
        <f aca="false">IF($A161="","",IFERROR($L161/$E161,""))</f>
        <v/>
      </c>
      <c r="O161" s="38" t="str">
        <f aca="false">IF($A161="","",IFERROR($E161-$L161,""))</f>
        <v/>
      </c>
      <c r="P161" s="38" t="str">
        <f aca="false">IF($A161="","",COUNTIFS(PO!$D$4:$D$203,$A161,PO!$S$4:$S$203,"Đúng hạn")+COUNTIFS(PO!$D$4:$D$203,$A161,PO!$S$4:$S$203,"Giao trễ")+COUNTIFS(PO!$D$4:$D$203,$A161,PO!$S$4:$S$203,"Trễ hạn"))</f>
        <v/>
      </c>
      <c r="Q161" s="38" t="str">
        <f aca="false">IF($A161="","",COUNTIFS(PO!$D$4:$D$203,$A161,PO!$S$4:$S$203,"Đúng hạn"))</f>
        <v/>
      </c>
      <c r="R161" s="39" t="str">
        <f aca="false">IF($A161="","",IFERROR($Q161/$P161,""))</f>
        <v/>
      </c>
      <c r="S161" s="38" t="str">
        <f aca="false">IF($A161="","",SUMIFS('Thanh toán'!$H$4:$H$203,'Thanh toán'!$D$4:$D$203,$A161))</f>
        <v/>
      </c>
      <c r="T161" s="38" t="str">
        <f aca="false">IF($A161="","",SUMIFS('Công nợ'!$I$4:$I$203,'Công nợ'!$B$4:$B$203,$A161))</f>
        <v/>
      </c>
      <c r="U161" s="38" t="str">
        <f aca="false">IF($A161="","",SUMIFS('Công nợ'!$I$4:$I$203,'Công nợ'!$B$4:$B$203,$A161,'Công nợ'!$K$4:$K$203,"&gt;0"))</f>
        <v/>
      </c>
    </row>
    <row r="162" customFormat="false" ht="15" hidden="false" customHeight="false" outlineLevel="0" collapsed="false">
      <c r="A162" s="37" t="str">
        <f aca="false">IF('Dự án'!$A162="","",'Dự án'!$A162)</f>
        <v/>
      </c>
      <c r="B162" s="37" t="str">
        <f aca="false">IF($A162="","",'Dự án'!$B162)</f>
        <v/>
      </c>
      <c r="C162" s="37" t="str">
        <f aca="false">IF($A162="","",'Dự án'!$C162)</f>
        <v/>
      </c>
      <c r="D162" s="37" t="str">
        <f aca="false">IF($A162="","",'Dự án'!$H162)</f>
        <v/>
      </c>
      <c r="E162" s="38" t="str">
        <f aca="false">IF($A162="","",'Dự án'!$G162)</f>
        <v/>
      </c>
      <c r="F162" s="38" t="str">
        <f aca="false">IF($A162="","",COUNTIFS('Check giá'!$C$4:$C$203,$A162))</f>
        <v/>
      </c>
      <c r="G162" s="38" t="str">
        <f aca="false">IF($A162="","",COUNTIFS('Check giá'!$C$4:$C$203,$A162,'Check giá'!$O$4:$O$203,"Đang xử lý")+COUNTIFS('Check giá'!$C$4:$C$203,$A162,'Check giá'!$O$4:$O$203,"Quá hạn chưa trả"))</f>
        <v/>
      </c>
      <c r="H162" s="38" t="str">
        <f aca="false">IF($A162="","",SUMIFS('Check giá'!$J$4:$J$203,'Check giá'!$C$4:$C$203,$A162))</f>
        <v/>
      </c>
      <c r="I162" s="38" t="str">
        <f aca="false">IF($A162="","",COUNTIFS(PR!$D$4:$D$203,$A162))</f>
        <v/>
      </c>
      <c r="J162" s="38" t="str">
        <f aca="false">IF($A162="","",SUMIFS(PR!$L$4:$L$203,PR!$D$4:$D$203,$A162))</f>
        <v/>
      </c>
      <c r="K162" s="38" t="str">
        <f aca="false">IF($A162="","",COUNTIFS(PO!$D$4:$D$203,$A162))</f>
        <v/>
      </c>
      <c r="L162" s="38" t="str">
        <f aca="false">IF($A162="","",SUMIFS(PO!$L$4:$L$203,PO!$D$4:$D$203,$A162))</f>
        <v/>
      </c>
      <c r="M162" s="38" t="str">
        <f aca="false">IF($A162="","",SUMIFS(PO!$N$4:$N$203,PO!$D$4:$D$203,$A162))</f>
        <v/>
      </c>
      <c r="N162" s="39" t="str">
        <f aca="false">IF($A162="","",IFERROR($L162/$E162,""))</f>
        <v/>
      </c>
      <c r="O162" s="38" t="str">
        <f aca="false">IF($A162="","",IFERROR($E162-$L162,""))</f>
        <v/>
      </c>
      <c r="P162" s="38" t="str">
        <f aca="false">IF($A162="","",COUNTIFS(PO!$D$4:$D$203,$A162,PO!$S$4:$S$203,"Đúng hạn")+COUNTIFS(PO!$D$4:$D$203,$A162,PO!$S$4:$S$203,"Giao trễ")+COUNTIFS(PO!$D$4:$D$203,$A162,PO!$S$4:$S$203,"Trễ hạn"))</f>
        <v/>
      </c>
      <c r="Q162" s="38" t="str">
        <f aca="false">IF($A162="","",COUNTIFS(PO!$D$4:$D$203,$A162,PO!$S$4:$S$203,"Đúng hạn"))</f>
        <v/>
      </c>
      <c r="R162" s="39" t="str">
        <f aca="false">IF($A162="","",IFERROR($Q162/$P162,""))</f>
        <v/>
      </c>
      <c r="S162" s="38" t="str">
        <f aca="false">IF($A162="","",SUMIFS('Thanh toán'!$H$4:$H$203,'Thanh toán'!$D$4:$D$203,$A162))</f>
        <v/>
      </c>
      <c r="T162" s="38" t="str">
        <f aca="false">IF($A162="","",SUMIFS('Công nợ'!$I$4:$I$203,'Công nợ'!$B$4:$B$203,$A162))</f>
        <v/>
      </c>
      <c r="U162" s="38" t="str">
        <f aca="false">IF($A162="","",SUMIFS('Công nợ'!$I$4:$I$203,'Công nợ'!$B$4:$B$203,$A162,'Công nợ'!$K$4:$K$203,"&gt;0"))</f>
        <v/>
      </c>
    </row>
    <row r="163" customFormat="false" ht="15" hidden="false" customHeight="false" outlineLevel="0" collapsed="false">
      <c r="A163" s="37" t="str">
        <f aca="false">IF('Dự án'!$A163="","",'Dự án'!$A163)</f>
        <v/>
      </c>
      <c r="B163" s="37" t="str">
        <f aca="false">IF($A163="","",'Dự án'!$B163)</f>
        <v/>
      </c>
      <c r="C163" s="37" t="str">
        <f aca="false">IF($A163="","",'Dự án'!$C163)</f>
        <v/>
      </c>
      <c r="D163" s="37" t="str">
        <f aca="false">IF($A163="","",'Dự án'!$H163)</f>
        <v/>
      </c>
      <c r="E163" s="38" t="str">
        <f aca="false">IF($A163="","",'Dự án'!$G163)</f>
        <v/>
      </c>
      <c r="F163" s="38" t="str">
        <f aca="false">IF($A163="","",COUNTIFS('Check giá'!$C$4:$C$203,$A163))</f>
        <v/>
      </c>
      <c r="G163" s="38" t="str">
        <f aca="false">IF($A163="","",COUNTIFS('Check giá'!$C$4:$C$203,$A163,'Check giá'!$O$4:$O$203,"Đang xử lý")+COUNTIFS('Check giá'!$C$4:$C$203,$A163,'Check giá'!$O$4:$O$203,"Quá hạn chưa trả"))</f>
        <v/>
      </c>
      <c r="H163" s="38" t="str">
        <f aca="false">IF($A163="","",SUMIFS('Check giá'!$J$4:$J$203,'Check giá'!$C$4:$C$203,$A163))</f>
        <v/>
      </c>
      <c r="I163" s="38" t="str">
        <f aca="false">IF($A163="","",COUNTIFS(PR!$D$4:$D$203,$A163))</f>
        <v/>
      </c>
      <c r="J163" s="38" t="str">
        <f aca="false">IF($A163="","",SUMIFS(PR!$L$4:$L$203,PR!$D$4:$D$203,$A163))</f>
        <v/>
      </c>
      <c r="K163" s="38" t="str">
        <f aca="false">IF($A163="","",COUNTIFS(PO!$D$4:$D$203,$A163))</f>
        <v/>
      </c>
      <c r="L163" s="38" t="str">
        <f aca="false">IF($A163="","",SUMIFS(PO!$L$4:$L$203,PO!$D$4:$D$203,$A163))</f>
        <v/>
      </c>
      <c r="M163" s="38" t="str">
        <f aca="false">IF($A163="","",SUMIFS(PO!$N$4:$N$203,PO!$D$4:$D$203,$A163))</f>
        <v/>
      </c>
      <c r="N163" s="39" t="str">
        <f aca="false">IF($A163="","",IFERROR($L163/$E163,""))</f>
        <v/>
      </c>
      <c r="O163" s="38" t="str">
        <f aca="false">IF($A163="","",IFERROR($E163-$L163,""))</f>
        <v/>
      </c>
      <c r="P163" s="38" t="str">
        <f aca="false">IF($A163="","",COUNTIFS(PO!$D$4:$D$203,$A163,PO!$S$4:$S$203,"Đúng hạn")+COUNTIFS(PO!$D$4:$D$203,$A163,PO!$S$4:$S$203,"Giao trễ")+COUNTIFS(PO!$D$4:$D$203,$A163,PO!$S$4:$S$203,"Trễ hạn"))</f>
        <v/>
      </c>
      <c r="Q163" s="38" t="str">
        <f aca="false">IF($A163="","",COUNTIFS(PO!$D$4:$D$203,$A163,PO!$S$4:$S$203,"Đúng hạn"))</f>
        <v/>
      </c>
      <c r="R163" s="39" t="str">
        <f aca="false">IF($A163="","",IFERROR($Q163/$P163,""))</f>
        <v/>
      </c>
      <c r="S163" s="38" t="str">
        <f aca="false">IF($A163="","",SUMIFS('Thanh toán'!$H$4:$H$203,'Thanh toán'!$D$4:$D$203,$A163))</f>
        <v/>
      </c>
      <c r="T163" s="38" t="str">
        <f aca="false">IF($A163="","",SUMIFS('Công nợ'!$I$4:$I$203,'Công nợ'!$B$4:$B$203,$A163))</f>
        <v/>
      </c>
      <c r="U163" s="38" t="str">
        <f aca="false">IF($A163="","",SUMIFS('Công nợ'!$I$4:$I$203,'Công nợ'!$B$4:$B$203,$A163,'Công nợ'!$K$4:$K$203,"&gt;0"))</f>
        <v/>
      </c>
    </row>
    <row r="164" customFormat="false" ht="15" hidden="false" customHeight="false" outlineLevel="0" collapsed="false">
      <c r="A164" s="37" t="str">
        <f aca="false">IF('Dự án'!$A164="","",'Dự án'!$A164)</f>
        <v/>
      </c>
      <c r="B164" s="37" t="str">
        <f aca="false">IF($A164="","",'Dự án'!$B164)</f>
        <v/>
      </c>
      <c r="C164" s="37" t="str">
        <f aca="false">IF($A164="","",'Dự án'!$C164)</f>
        <v/>
      </c>
      <c r="D164" s="37" t="str">
        <f aca="false">IF($A164="","",'Dự án'!$H164)</f>
        <v/>
      </c>
      <c r="E164" s="38" t="str">
        <f aca="false">IF($A164="","",'Dự án'!$G164)</f>
        <v/>
      </c>
      <c r="F164" s="38" t="str">
        <f aca="false">IF($A164="","",COUNTIFS('Check giá'!$C$4:$C$203,$A164))</f>
        <v/>
      </c>
      <c r="G164" s="38" t="str">
        <f aca="false">IF($A164="","",COUNTIFS('Check giá'!$C$4:$C$203,$A164,'Check giá'!$O$4:$O$203,"Đang xử lý")+COUNTIFS('Check giá'!$C$4:$C$203,$A164,'Check giá'!$O$4:$O$203,"Quá hạn chưa trả"))</f>
        <v/>
      </c>
      <c r="H164" s="38" t="str">
        <f aca="false">IF($A164="","",SUMIFS('Check giá'!$J$4:$J$203,'Check giá'!$C$4:$C$203,$A164))</f>
        <v/>
      </c>
      <c r="I164" s="38" t="str">
        <f aca="false">IF($A164="","",COUNTIFS(PR!$D$4:$D$203,$A164))</f>
        <v/>
      </c>
      <c r="J164" s="38" t="str">
        <f aca="false">IF($A164="","",SUMIFS(PR!$L$4:$L$203,PR!$D$4:$D$203,$A164))</f>
        <v/>
      </c>
      <c r="K164" s="38" t="str">
        <f aca="false">IF($A164="","",COUNTIFS(PO!$D$4:$D$203,$A164))</f>
        <v/>
      </c>
      <c r="L164" s="38" t="str">
        <f aca="false">IF($A164="","",SUMIFS(PO!$L$4:$L$203,PO!$D$4:$D$203,$A164))</f>
        <v/>
      </c>
      <c r="M164" s="38" t="str">
        <f aca="false">IF($A164="","",SUMIFS(PO!$N$4:$N$203,PO!$D$4:$D$203,$A164))</f>
        <v/>
      </c>
      <c r="N164" s="39" t="str">
        <f aca="false">IF($A164="","",IFERROR($L164/$E164,""))</f>
        <v/>
      </c>
      <c r="O164" s="38" t="str">
        <f aca="false">IF($A164="","",IFERROR($E164-$L164,""))</f>
        <v/>
      </c>
      <c r="P164" s="38" t="str">
        <f aca="false">IF($A164="","",COUNTIFS(PO!$D$4:$D$203,$A164,PO!$S$4:$S$203,"Đúng hạn")+COUNTIFS(PO!$D$4:$D$203,$A164,PO!$S$4:$S$203,"Giao trễ")+COUNTIFS(PO!$D$4:$D$203,$A164,PO!$S$4:$S$203,"Trễ hạn"))</f>
        <v/>
      </c>
      <c r="Q164" s="38" t="str">
        <f aca="false">IF($A164="","",COUNTIFS(PO!$D$4:$D$203,$A164,PO!$S$4:$S$203,"Đúng hạn"))</f>
        <v/>
      </c>
      <c r="R164" s="39" t="str">
        <f aca="false">IF($A164="","",IFERROR($Q164/$P164,""))</f>
        <v/>
      </c>
      <c r="S164" s="38" t="str">
        <f aca="false">IF($A164="","",SUMIFS('Thanh toán'!$H$4:$H$203,'Thanh toán'!$D$4:$D$203,$A164))</f>
        <v/>
      </c>
      <c r="T164" s="38" t="str">
        <f aca="false">IF($A164="","",SUMIFS('Công nợ'!$I$4:$I$203,'Công nợ'!$B$4:$B$203,$A164))</f>
        <v/>
      </c>
      <c r="U164" s="38" t="str">
        <f aca="false">IF($A164="","",SUMIFS('Công nợ'!$I$4:$I$203,'Công nợ'!$B$4:$B$203,$A164,'Công nợ'!$K$4:$K$203,"&gt;0"))</f>
        <v/>
      </c>
    </row>
    <row r="165" customFormat="false" ht="15" hidden="false" customHeight="false" outlineLevel="0" collapsed="false">
      <c r="A165" s="37" t="str">
        <f aca="false">IF('Dự án'!$A165="","",'Dự án'!$A165)</f>
        <v/>
      </c>
      <c r="B165" s="37" t="str">
        <f aca="false">IF($A165="","",'Dự án'!$B165)</f>
        <v/>
      </c>
      <c r="C165" s="37" t="str">
        <f aca="false">IF($A165="","",'Dự án'!$C165)</f>
        <v/>
      </c>
      <c r="D165" s="37" t="str">
        <f aca="false">IF($A165="","",'Dự án'!$H165)</f>
        <v/>
      </c>
      <c r="E165" s="38" t="str">
        <f aca="false">IF($A165="","",'Dự án'!$G165)</f>
        <v/>
      </c>
      <c r="F165" s="38" t="str">
        <f aca="false">IF($A165="","",COUNTIFS('Check giá'!$C$4:$C$203,$A165))</f>
        <v/>
      </c>
      <c r="G165" s="38" t="str">
        <f aca="false">IF($A165="","",COUNTIFS('Check giá'!$C$4:$C$203,$A165,'Check giá'!$O$4:$O$203,"Đang xử lý")+COUNTIFS('Check giá'!$C$4:$C$203,$A165,'Check giá'!$O$4:$O$203,"Quá hạn chưa trả"))</f>
        <v/>
      </c>
      <c r="H165" s="38" t="str">
        <f aca="false">IF($A165="","",SUMIFS('Check giá'!$J$4:$J$203,'Check giá'!$C$4:$C$203,$A165))</f>
        <v/>
      </c>
      <c r="I165" s="38" t="str">
        <f aca="false">IF($A165="","",COUNTIFS(PR!$D$4:$D$203,$A165))</f>
        <v/>
      </c>
      <c r="J165" s="38" t="str">
        <f aca="false">IF($A165="","",SUMIFS(PR!$L$4:$L$203,PR!$D$4:$D$203,$A165))</f>
        <v/>
      </c>
      <c r="K165" s="38" t="str">
        <f aca="false">IF($A165="","",COUNTIFS(PO!$D$4:$D$203,$A165))</f>
        <v/>
      </c>
      <c r="L165" s="38" t="str">
        <f aca="false">IF($A165="","",SUMIFS(PO!$L$4:$L$203,PO!$D$4:$D$203,$A165))</f>
        <v/>
      </c>
      <c r="M165" s="38" t="str">
        <f aca="false">IF($A165="","",SUMIFS(PO!$N$4:$N$203,PO!$D$4:$D$203,$A165))</f>
        <v/>
      </c>
      <c r="N165" s="39" t="str">
        <f aca="false">IF($A165="","",IFERROR($L165/$E165,""))</f>
        <v/>
      </c>
      <c r="O165" s="38" t="str">
        <f aca="false">IF($A165="","",IFERROR($E165-$L165,""))</f>
        <v/>
      </c>
      <c r="P165" s="38" t="str">
        <f aca="false">IF($A165="","",COUNTIFS(PO!$D$4:$D$203,$A165,PO!$S$4:$S$203,"Đúng hạn")+COUNTIFS(PO!$D$4:$D$203,$A165,PO!$S$4:$S$203,"Giao trễ")+COUNTIFS(PO!$D$4:$D$203,$A165,PO!$S$4:$S$203,"Trễ hạn"))</f>
        <v/>
      </c>
      <c r="Q165" s="38" t="str">
        <f aca="false">IF($A165="","",COUNTIFS(PO!$D$4:$D$203,$A165,PO!$S$4:$S$203,"Đúng hạn"))</f>
        <v/>
      </c>
      <c r="R165" s="39" t="str">
        <f aca="false">IF($A165="","",IFERROR($Q165/$P165,""))</f>
        <v/>
      </c>
      <c r="S165" s="38" t="str">
        <f aca="false">IF($A165="","",SUMIFS('Thanh toán'!$H$4:$H$203,'Thanh toán'!$D$4:$D$203,$A165))</f>
        <v/>
      </c>
      <c r="T165" s="38" t="str">
        <f aca="false">IF($A165="","",SUMIFS('Công nợ'!$I$4:$I$203,'Công nợ'!$B$4:$B$203,$A165))</f>
        <v/>
      </c>
      <c r="U165" s="38" t="str">
        <f aca="false">IF($A165="","",SUMIFS('Công nợ'!$I$4:$I$203,'Công nợ'!$B$4:$B$203,$A165,'Công nợ'!$K$4:$K$203,"&gt;0"))</f>
        <v/>
      </c>
    </row>
    <row r="166" customFormat="false" ht="15" hidden="false" customHeight="false" outlineLevel="0" collapsed="false">
      <c r="A166" s="37" t="str">
        <f aca="false">IF('Dự án'!$A166="","",'Dự án'!$A166)</f>
        <v/>
      </c>
      <c r="B166" s="37" t="str">
        <f aca="false">IF($A166="","",'Dự án'!$B166)</f>
        <v/>
      </c>
      <c r="C166" s="37" t="str">
        <f aca="false">IF($A166="","",'Dự án'!$C166)</f>
        <v/>
      </c>
      <c r="D166" s="37" t="str">
        <f aca="false">IF($A166="","",'Dự án'!$H166)</f>
        <v/>
      </c>
      <c r="E166" s="38" t="str">
        <f aca="false">IF($A166="","",'Dự án'!$G166)</f>
        <v/>
      </c>
      <c r="F166" s="38" t="str">
        <f aca="false">IF($A166="","",COUNTIFS('Check giá'!$C$4:$C$203,$A166))</f>
        <v/>
      </c>
      <c r="G166" s="38" t="str">
        <f aca="false">IF($A166="","",COUNTIFS('Check giá'!$C$4:$C$203,$A166,'Check giá'!$O$4:$O$203,"Đang xử lý")+COUNTIFS('Check giá'!$C$4:$C$203,$A166,'Check giá'!$O$4:$O$203,"Quá hạn chưa trả"))</f>
        <v/>
      </c>
      <c r="H166" s="38" t="str">
        <f aca="false">IF($A166="","",SUMIFS('Check giá'!$J$4:$J$203,'Check giá'!$C$4:$C$203,$A166))</f>
        <v/>
      </c>
      <c r="I166" s="38" t="str">
        <f aca="false">IF($A166="","",COUNTIFS(PR!$D$4:$D$203,$A166))</f>
        <v/>
      </c>
      <c r="J166" s="38" t="str">
        <f aca="false">IF($A166="","",SUMIFS(PR!$L$4:$L$203,PR!$D$4:$D$203,$A166))</f>
        <v/>
      </c>
      <c r="K166" s="38" t="str">
        <f aca="false">IF($A166="","",COUNTIFS(PO!$D$4:$D$203,$A166))</f>
        <v/>
      </c>
      <c r="L166" s="38" t="str">
        <f aca="false">IF($A166="","",SUMIFS(PO!$L$4:$L$203,PO!$D$4:$D$203,$A166))</f>
        <v/>
      </c>
      <c r="M166" s="38" t="str">
        <f aca="false">IF($A166="","",SUMIFS(PO!$N$4:$N$203,PO!$D$4:$D$203,$A166))</f>
        <v/>
      </c>
      <c r="N166" s="39" t="str">
        <f aca="false">IF($A166="","",IFERROR($L166/$E166,""))</f>
        <v/>
      </c>
      <c r="O166" s="38" t="str">
        <f aca="false">IF($A166="","",IFERROR($E166-$L166,""))</f>
        <v/>
      </c>
      <c r="P166" s="38" t="str">
        <f aca="false">IF($A166="","",COUNTIFS(PO!$D$4:$D$203,$A166,PO!$S$4:$S$203,"Đúng hạn")+COUNTIFS(PO!$D$4:$D$203,$A166,PO!$S$4:$S$203,"Giao trễ")+COUNTIFS(PO!$D$4:$D$203,$A166,PO!$S$4:$S$203,"Trễ hạn"))</f>
        <v/>
      </c>
      <c r="Q166" s="38" t="str">
        <f aca="false">IF($A166="","",COUNTIFS(PO!$D$4:$D$203,$A166,PO!$S$4:$S$203,"Đúng hạn"))</f>
        <v/>
      </c>
      <c r="R166" s="39" t="str">
        <f aca="false">IF($A166="","",IFERROR($Q166/$P166,""))</f>
        <v/>
      </c>
      <c r="S166" s="38" t="str">
        <f aca="false">IF($A166="","",SUMIFS('Thanh toán'!$H$4:$H$203,'Thanh toán'!$D$4:$D$203,$A166))</f>
        <v/>
      </c>
      <c r="T166" s="38" t="str">
        <f aca="false">IF($A166="","",SUMIFS('Công nợ'!$I$4:$I$203,'Công nợ'!$B$4:$B$203,$A166))</f>
        <v/>
      </c>
      <c r="U166" s="38" t="str">
        <f aca="false">IF($A166="","",SUMIFS('Công nợ'!$I$4:$I$203,'Công nợ'!$B$4:$B$203,$A166,'Công nợ'!$K$4:$K$203,"&gt;0"))</f>
        <v/>
      </c>
    </row>
    <row r="167" customFormat="false" ht="15" hidden="false" customHeight="false" outlineLevel="0" collapsed="false">
      <c r="A167" s="37" t="str">
        <f aca="false">IF('Dự án'!$A167="","",'Dự án'!$A167)</f>
        <v/>
      </c>
      <c r="B167" s="37" t="str">
        <f aca="false">IF($A167="","",'Dự án'!$B167)</f>
        <v/>
      </c>
      <c r="C167" s="37" t="str">
        <f aca="false">IF($A167="","",'Dự án'!$C167)</f>
        <v/>
      </c>
      <c r="D167" s="37" t="str">
        <f aca="false">IF($A167="","",'Dự án'!$H167)</f>
        <v/>
      </c>
      <c r="E167" s="38" t="str">
        <f aca="false">IF($A167="","",'Dự án'!$G167)</f>
        <v/>
      </c>
      <c r="F167" s="38" t="str">
        <f aca="false">IF($A167="","",COUNTIFS('Check giá'!$C$4:$C$203,$A167))</f>
        <v/>
      </c>
      <c r="G167" s="38" t="str">
        <f aca="false">IF($A167="","",COUNTIFS('Check giá'!$C$4:$C$203,$A167,'Check giá'!$O$4:$O$203,"Đang xử lý")+COUNTIFS('Check giá'!$C$4:$C$203,$A167,'Check giá'!$O$4:$O$203,"Quá hạn chưa trả"))</f>
        <v/>
      </c>
      <c r="H167" s="38" t="str">
        <f aca="false">IF($A167="","",SUMIFS('Check giá'!$J$4:$J$203,'Check giá'!$C$4:$C$203,$A167))</f>
        <v/>
      </c>
      <c r="I167" s="38" t="str">
        <f aca="false">IF($A167="","",COUNTIFS(PR!$D$4:$D$203,$A167))</f>
        <v/>
      </c>
      <c r="J167" s="38" t="str">
        <f aca="false">IF($A167="","",SUMIFS(PR!$L$4:$L$203,PR!$D$4:$D$203,$A167))</f>
        <v/>
      </c>
      <c r="K167" s="38" t="str">
        <f aca="false">IF($A167="","",COUNTIFS(PO!$D$4:$D$203,$A167))</f>
        <v/>
      </c>
      <c r="L167" s="38" t="str">
        <f aca="false">IF($A167="","",SUMIFS(PO!$L$4:$L$203,PO!$D$4:$D$203,$A167))</f>
        <v/>
      </c>
      <c r="M167" s="38" t="str">
        <f aca="false">IF($A167="","",SUMIFS(PO!$N$4:$N$203,PO!$D$4:$D$203,$A167))</f>
        <v/>
      </c>
      <c r="N167" s="39" t="str">
        <f aca="false">IF($A167="","",IFERROR($L167/$E167,""))</f>
        <v/>
      </c>
      <c r="O167" s="38" t="str">
        <f aca="false">IF($A167="","",IFERROR($E167-$L167,""))</f>
        <v/>
      </c>
      <c r="P167" s="38" t="str">
        <f aca="false">IF($A167="","",COUNTIFS(PO!$D$4:$D$203,$A167,PO!$S$4:$S$203,"Đúng hạn")+COUNTIFS(PO!$D$4:$D$203,$A167,PO!$S$4:$S$203,"Giao trễ")+COUNTIFS(PO!$D$4:$D$203,$A167,PO!$S$4:$S$203,"Trễ hạn"))</f>
        <v/>
      </c>
      <c r="Q167" s="38" t="str">
        <f aca="false">IF($A167="","",COUNTIFS(PO!$D$4:$D$203,$A167,PO!$S$4:$S$203,"Đúng hạn"))</f>
        <v/>
      </c>
      <c r="R167" s="39" t="str">
        <f aca="false">IF($A167="","",IFERROR($Q167/$P167,""))</f>
        <v/>
      </c>
      <c r="S167" s="38" t="str">
        <f aca="false">IF($A167="","",SUMIFS('Thanh toán'!$H$4:$H$203,'Thanh toán'!$D$4:$D$203,$A167))</f>
        <v/>
      </c>
      <c r="T167" s="38" t="str">
        <f aca="false">IF($A167="","",SUMIFS('Công nợ'!$I$4:$I$203,'Công nợ'!$B$4:$B$203,$A167))</f>
        <v/>
      </c>
      <c r="U167" s="38" t="str">
        <f aca="false">IF($A167="","",SUMIFS('Công nợ'!$I$4:$I$203,'Công nợ'!$B$4:$B$203,$A167,'Công nợ'!$K$4:$K$203,"&gt;0"))</f>
        <v/>
      </c>
    </row>
    <row r="168" customFormat="false" ht="15" hidden="false" customHeight="false" outlineLevel="0" collapsed="false">
      <c r="A168" s="37" t="str">
        <f aca="false">IF('Dự án'!$A168="","",'Dự án'!$A168)</f>
        <v/>
      </c>
      <c r="B168" s="37" t="str">
        <f aca="false">IF($A168="","",'Dự án'!$B168)</f>
        <v/>
      </c>
      <c r="C168" s="37" t="str">
        <f aca="false">IF($A168="","",'Dự án'!$C168)</f>
        <v/>
      </c>
      <c r="D168" s="37" t="str">
        <f aca="false">IF($A168="","",'Dự án'!$H168)</f>
        <v/>
      </c>
      <c r="E168" s="38" t="str">
        <f aca="false">IF($A168="","",'Dự án'!$G168)</f>
        <v/>
      </c>
      <c r="F168" s="38" t="str">
        <f aca="false">IF($A168="","",COUNTIFS('Check giá'!$C$4:$C$203,$A168))</f>
        <v/>
      </c>
      <c r="G168" s="38" t="str">
        <f aca="false">IF($A168="","",COUNTIFS('Check giá'!$C$4:$C$203,$A168,'Check giá'!$O$4:$O$203,"Đang xử lý")+COUNTIFS('Check giá'!$C$4:$C$203,$A168,'Check giá'!$O$4:$O$203,"Quá hạn chưa trả"))</f>
        <v/>
      </c>
      <c r="H168" s="38" t="str">
        <f aca="false">IF($A168="","",SUMIFS('Check giá'!$J$4:$J$203,'Check giá'!$C$4:$C$203,$A168))</f>
        <v/>
      </c>
      <c r="I168" s="38" t="str">
        <f aca="false">IF($A168="","",COUNTIFS(PR!$D$4:$D$203,$A168))</f>
        <v/>
      </c>
      <c r="J168" s="38" t="str">
        <f aca="false">IF($A168="","",SUMIFS(PR!$L$4:$L$203,PR!$D$4:$D$203,$A168))</f>
        <v/>
      </c>
      <c r="K168" s="38" t="str">
        <f aca="false">IF($A168="","",COUNTIFS(PO!$D$4:$D$203,$A168))</f>
        <v/>
      </c>
      <c r="L168" s="38" t="str">
        <f aca="false">IF($A168="","",SUMIFS(PO!$L$4:$L$203,PO!$D$4:$D$203,$A168))</f>
        <v/>
      </c>
      <c r="M168" s="38" t="str">
        <f aca="false">IF($A168="","",SUMIFS(PO!$N$4:$N$203,PO!$D$4:$D$203,$A168))</f>
        <v/>
      </c>
      <c r="N168" s="39" t="str">
        <f aca="false">IF($A168="","",IFERROR($L168/$E168,""))</f>
        <v/>
      </c>
      <c r="O168" s="38" t="str">
        <f aca="false">IF($A168="","",IFERROR($E168-$L168,""))</f>
        <v/>
      </c>
      <c r="P168" s="38" t="str">
        <f aca="false">IF($A168="","",COUNTIFS(PO!$D$4:$D$203,$A168,PO!$S$4:$S$203,"Đúng hạn")+COUNTIFS(PO!$D$4:$D$203,$A168,PO!$S$4:$S$203,"Giao trễ")+COUNTIFS(PO!$D$4:$D$203,$A168,PO!$S$4:$S$203,"Trễ hạn"))</f>
        <v/>
      </c>
      <c r="Q168" s="38" t="str">
        <f aca="false">IF($A168="","",COUNTIFS(PO!$D$4:$D$203,$A168,PO!$S$4:$S$203,"Đúng hạn"))</f>
        <v/>
      </c>
      <c r="R168" s="39" t="str">
        <f aca="false">IF($A168="","",IFERROR($Q168/$P168,""))</f>
        <v/>
      </c>
      <c r="S168" s="38" t="str">
        <f aca="false">IF($A168="","",SUMIFS('Thanh toán'!$H$4:$H$203,'Thanh toán'!$D$4:$D$203,$A168))</f>
        <v/>
      </c>
      <c r="T168" s="38" t="str">
        <f aca="false">IF($A168="","",SUMIFS('Công nợ'!$I$4:$I$203,'Công nợ'!$B$4:$B$203,$A168))</f>
        <v/>
      </c>
      <c r="U168" s="38" t="str">
        <f aca="false">IF($A168="","",SUMIFS('Công nợ'!$I$4:$I$203,'Công nợ'!$B$4:$B$203,$A168,'Công nợ'!$K$4:$K$203,"&gt;0"))</f>
        <v/>
      </c>
    </row>
    <row r="169" customFormat="false" ht="15" hidden="false" customHeight="false" outlineLevel="0" collapsed="false">
      <c r="A169" s="37" t="str">
        <f aca="false">IF('Dự án'!$A169="","",'Dự án'!$A169)</f>
        <v/>
      </c>
      <c r="B169" s="37" t="str">
        <f aca="false">IF($A169="","",'Dự án'!$B169)</f>
        <v/>
      </c>
      <c r="C169" s="37" t="str">
        <f aca="false">IF($A169="","",'Dự án'!$C169)</f>
        <v/>
      </c>
      <c r="D169" s="37" t="str">
        <f aca="false">IF($A169="","",'Dự án'!$H169)</f>
        <v/>
      </c>
      <c r="E169" s="38" t="str">
        <f aca="false">IF($A169="","",'Dự án'!$G169)</f>
        <v/>
      </c>
      <c r="F169" s="38" t="str">
        <f aca="false">IF($A169="","",COUNTIFS('Check giá'!$C$4:$C$203,$A169))</f>
        <v/>
      </c>
      <c r="G169" s="38" t="str">
        <f aca="false">IF($A169="","",COUNTIFS('Check giá'!$C$4:$C$203,$A169,'Check giá'!$O$4:$O$203,"Đang xử lý")+COUNTIFS('Check giá'!$C$4:$C$203,$A169,'Check giá'!$O$4:$O$203,"Quá hạn chưa trả"))</f>
        <v/>
      </c>
      <c r="H169" s="38" t="str">
        <f aca="false">IF($A169="","",SUMIFS('Check giá'!$J$4:$J$203,'Check giá'!$C$4:$C$203,$A169))</f>
        <v/>
      </c>
      <c r="I169" s="38" t="str">
        <f aca="false">IF($A169="","",COUNTIFS(PR!$D$4:$D$203,$A169))</f>
        <v/>
      </c>
      <c r="J169" s="38" t="str">
        <f aca="false">IF($A169="","",SUMIFS(PR!$L$4:$L$203,PR!$D$4:$D$203,$A169))</f>
        <v/>
      </c>
      <c r="K169" s="38" t="str">
        <f aca="false">IF($A169="","",COUNTIFS(PO!$D$4:$D$203,$A169))</f>
        <v/>
      </c>
      <c r="L169" s="38" t="str">
        <f aca="false">IF($A169="","",SUMIFS(PO!$L$4:$L$203,PO!$D$4:$D$203,$A169))</f>
        <v/>
      </c>
      <c r="M169" s="38" t="str">
        <f aca="false">IF($A169="","",SUMIFS(PO!$N$4:$N$203,PO!$D$4:$D$203,$A169))</f>
        <v/>
      </c>
      <c r="N169" s="39" t="str">
        <f aca="false">IF($A169="","",IFERROR($L169/$E169,""))</f>
        <v/>
      </c>
      <c r="O169" s="38" t="str">
        <f aca="false">IF($A169="","",IFERROR($E169-$L169,""))</f>
        <v/>
      </c>
      <c r="P169" s="38" t="str">
        <f aca="false">IF($A169="","",COUNTIFS(PO!$D$4:$D$203,$A169,PO!$S$4:$S$203,"Đúng hạn")+COUNTIFS(PO!$D$4:$D$203,$A169,PO!$S$4:$S$203,"Giao trễ")+COUNTIFS(PO!$D$4:$D$203,$A169,PO!$S$4:$S$203,"Trễ hạn"))</f>
        <v/>
      </c>
      <c r="Q169" s="38" t="str">
        <f aca="false">IF($A169="","",COUNTIFS(PO!$D$4:$D$203,$A169,PO!$S$4:$S$203,"Đúng hạn"))</f>
        <v/>
      </c>
      <c r="R169" s="39" t="str">
        <f aca="false">IF($A169="","",IFERROR($Q169/$P169,""))</f>
        <v/>
      </c>
      <c r="S169" s="38" t="str">
        <f aca="false">IF($A169="","",SUMIFS('Thanh toán'!$H$4:$H$203,'Thanh toán'!$D$4:$D$203,$A169))</f>
        <v/>
      </c>
      <c r="T169" s="38" t="str">
        <f aca="false">IF($A169="","",SUMIFS('Công nợ'!$I$4:$I$203,'Công nợ'!$B$4:$B$203,$A169))</f>
        <v/>
      </c>
      <c r="U169" s="38" t="str">
        <f aca="false">IF($A169="","",SUMIFS('Công nợ'!$I$4:$I$203,'Công nợ'!$B$4:$B$203,$A169,'Công nợ'!$K$4:$K$203,"&gt;0"))</f>
        <v/>
      </c>
    </row>
    <row r="170" customFormat="false" ht="15" hidden="false" customHeight="false" outlineLevel="0" collapsed="false">
      <c r="A170" s="37" t="str">
        <f aca="false">IF('Dự án'!$A170="","",'Dự án'!$A170)</f>
        <v/>
      </c>
      <c r="B170" s="37" t="str">
        <f aca="false">IF($A170="","",'Dự án'!$B170)</f>
        <v/>
      </c>
      <c r="C170" s="37" t="str">
        <f aca="false">IF($A170="","",'Dự án'!$C170)</f>
        <v/>
      </c>
      <c r="D170" s="37" t="str">
        <f aca="false">IF($A170="","",'Dự án'!$H170)</f>
        <v/>
      </c>
      <c r="E170" s="38" t="str">
        <f aca="false">IF($A170="","",'Dự án'!$G170)</f>
        <v/>
      </c>
      <c r="F170" s="38" t="str">
        <f aca="false">IF($A170="","",COUNTIFS('Check giá'!$C$4:$C$203,$A170))</f>
        <v/>
      </c>
      <c r="G170" s="38" t="str">
        <f aca="false">IF($A170="","",COUNTIFS('Check giá'!$C$4:$C$203,$A170,'Check giá'!$O$4:$O$203,"Đang xử lý")+COUNTIFS('Check giá'!$C$4:$C$203,$A170,'Check giá'!$O$4:$O$203,"Quá hạn chưa trả"))</f>
        <v/>
      </c>
      <c r="H170" s="38" t="str">
        <f aca="false">IF($A170="","",SUMIFS('Check giá'!$J$4:$J$203,'Check giá'!$C$4:$C$203,$A170))</f>
        <v/>
      </c>
      <c r="I170" s="38" t="str">
        <f aca="false">IF($A170="","",COUNTIFS(PR!$D$4:$D$203,$A170))</f>
        <v/>
      </c>
      <c r="J170" s="38" t="str">
        <f aca="false">IF($A170="","",SUMIFS(PR!$L$4:$L$203,PR!$D$4:$D$203,$A170))</f>
        <v/>
      </c>
      <c r="K170" s="38" t="str">
        <f aca="false">IF($A170="","",COUNTIFS(PO!$D$4:$D$203,$A170))</f>
        <v/>
      </c>
      <c r="L170" s="38" t="str">
        <f aca="false">IF($A170="","",SUMIFS(PO!$L$4:$L$203,PO!$D$4:$D$203,$A170))</f>
        <v/>
      </c>
      <c r="M170" s="38" t="str">
        <f aca="false">IF($A170="","",SUMIFS(PO!$N$4:$N$203,PO!$D$4:$D$203,$A170))</f>
        <v/>
      </c>
      <c r="N170" s="39" t="str">
        <f aca="false">IF($A170="","",IFERROR($L170/$E170,""))</f>
        <v/>
      </c>
      <c r="O170" s="38" t="str">
        <f aca="false">IF($A170="","",IFERROR($E170-$L170,""))</f>
        <v/>
      </c>
      <c r="P170" s="38" t="str">
        <f aca="false">IF($A170="","",COUNTIFS(PO!$D$4:$D$203,$A170,PO!$S$4:$S$203,"Đúng hạn")+COUNTIFS(PO!$D$4:$D$203,$A170,PO!$S$4:$S$203,"Giao trễ")+COUNTIFS(PO!$D$4:$D$203,$A170,PO!$S$4:$S$203,"Trễ hạn"))</f>
        <v/>
      </c>
      <c r="Q170" s="38" t="str">
        <f aca="false">IF($A170="","",COUNTIFS(PO!$D$4:$D$203,$A170,PO!$S$4:$S$203,"Đúng hạn"))</f>
        <v/>
      </c>
      <c r="R170" s="39" t="str">
        <f aca="false">IF($A170="","",IFERROR($Q170/$P170,""))</f>
        <v/>
      </c>
      <c r="S170" s="38" t="str">
        <f aca="false">IF($A170="","",SUMIFS('Thanh toán'!$H$4:$H$203,'Thanh toán'!$D$4:$D$203,$A170))</f>
        <v/>
      </c>
      <c r="T170" s="38" t="str">
        <f aca="false">IF($A170="","",SUMIFS('Công nợ'!$I$4:$I$203,'Công nợ'!$B$4:$B$203,$A170))</f>
        <v/>
      </c>
      <c r="U170" s="38" t="str">
        <f aca="false">IF($A170="","",SUMIFS('Công nợ'!$I$4:$I$203,'Công nợ'!$B$4:$B$203,$A170,'Công nợ'!$K$4:$K$203,"&gt;0"))</f>
        <v/>
      </c>
    </row>
    <row r="171" customFormat="false" ht="15" hidden="false" customHeight="false" outlineLevel="0" collapsed="false">
      <c r="A171" s="37" t="str">
        <f aca="false">IF('Dự án'!$A171="","",'Dự án'!$A171)</f>
        <v/>
      </c>
      <c r="B171" s="37" t="str">
        <f aca="false">IF($A171="","",'Dự án'!$B171)</f>
        <v/>
      </c>
      <c r="C171" s="37" t="str">
        <f aca="false">IF($A171="","",'Dự án'!$C171)</f>
        <v/>
      </c>
      <c r="D171" s="37" t="str">
        <f aca="false">IF($A171="","",'Dự án'!$H171)</f>
        <v/>
      </c>
      <c r="E171" s="38" t="str">
        <f aca="false">IF($A171="","",'Dự án'!$G171)</f>
        <v/>
      </c>
      <c r="F171" s="38" t="str">
        <f aca="false">IF($A171="","",COUNTIFS('Check giá'!$C$4:$C$203,$A171))</f>
        <v/>
      </c>
      <c r="G171" s="38" t="str">
        <f aca="false">IF($A171="","",COUNTIFS('Check giá'!$C$4:$C$203,$A171,'Check giá'!$O$4:$O$203,"Đang xử lý")+COUNTIFS('Check giá'!$C$4:$C$203,$A171,'Check giá'!$O$4:$O$203,"Quá hạn chưa trả"))</f>
        <v/>
      </c>
      <c r="H171" s="38" t="str">
        <f aca="false">IF($A171="","",SUMIFS('Check giá'!$J$4:$J$203,'Check giá'!$C$4:$C$203,$A171))</f>
        <v/>
      </c>
      <c r="I171" s="38" t="str">
        <f aca="false">IF($A171="","",COUNTIFS(PR!$D$4:$D$203,$A171))</f>
        <v/>
      </c>
      <c r="J171" s="38" t="str">
        <f aca="false">IF($A171="","",SUMIFS(PR!$L$4:$L$203,PR!$D$4:$D$203,$A171))</f>
        <v/>
      </c>
      <c r="K171" s="38" t="str">
        <f aca="false">IF($A171="","",COUNTIFS(PO!$D$4:$D$203,$A171))</f>
        <v/>
      </c>
      <c r="L171" s="38" t="str">
        <f aca="false">IF($A171="","",SUMIFS(PO!$L$4:$L$203,PO!$D$4:$D$203,$A171))</f>
        <v/>
      </c>
      <c r="M171" s="38" t="str">
        <f aca="false">IF($A171="","",SUMIFS(PO!$N$4:$N$203,PO!$D$4:$D$203,$A171))</f>
        <v/>
      </c>
      <c r="N171" s="39" t="str">
        <f aca="false">IF($A171="","",IFERROR($L171/$E171,""))</f>
        <v/>
      </c>
      <c r="O171" s="38" t="str">
        <f aca="false">IF($A171="","",IFERROR($E171-$L171,""))</f>
        <v/>
      </c>
      <c r="P171" s="38" t="str">
        <f aca="false">IF($A171="","",COUNTIFS(PO!$D$4:$D$203,$A171,PO!$S$4:$S$203,"Đúng hạn")+COUNTIFS(PO!$D$4:$D$203,$A171,PO!$S$4:$S$203,"Giao trễ")+COUNTIFS(PO!$D$4:$D$203,$A171,PO!$S$4:$S$203,"Trễ hạn"))</f>
        <v/>
      </c>
      <c r="Q171" s="38" t="str">
        <f aca="false">IF($A171="","",COUNTIFS(PO!$D$4:$D$203,$A171,PO!$S$4:$S$203,"Đúng hạn"))</f>
        <v/>
      </c>
      <c r="R171" s="39" t="str">
        <f aca="false">IF($A171="","",IFERROR($Q171/$P171,""))</f>
        <v/>
      </c>
      <c r="S171" s="38" t="str">
        <f aca="false">IF($A171="","",SUMIFS('Thanh toán'!$H$4:$H$203,'Thanh toán'!$D$4:$D$203,$A171))</f>
        <v/>
      </c>
      <c r="T171" s="38" t="str">
        <f aca="false">IF($A171="","",SUMIFS('Công nợ'!$I$4:$I$203,'Công nợ'!$B$4:$B$203,$A171))</f>
        <v/>
      </c>
      <c r="U171" s="38" t="str">
        <f aca="false">IF($A171="","",SUMIFS('Công nợ'!$I$4:$I$203,'Công nợ'!$B$4:$B$203,$A171,'Công nợ'!$K$4:$K$203,"&gt;0"))</f>
        <v/>
      </c>
    </row>
    <row r="172" customFormat="false" ht="15" hidden="false" customHeight="false" outlineLevel="0" collapsed="false">
      <c r="A172" s="37" t="str">
        <f aca="false">IF('Dự án'!$A172="","",'Dự án'!$A172)</f>
        <v/>
      </c>
      <c r="B172" s="37" t="str">
        <f aca="false">IF($A172="","",'Dự án'!$B172)</f>
        <v/>
      </c>
      <c r="C172" s="37" t="str">
        <f aca="false">IF($A172="","",'Dự án'!$C172)</f>
        <v/>
      </c>
      <c r="D172" s="37" t="str">
        <f aca="false">IF($A172="","",'Dự án'!$H172)</f>
        <v/>
      </c>
      <c r="E172" s="38" t="str">
        <f aca="false">IF($A172="","",'Dự án'!$G172)</f>
        <v/>
      </c>
      <c r="F172" s="38" t="str">
        <f aca="false">IF($A172="","",COUNTIFS('Check giá'!$C$4:$C$203,$A172))</f>
        <v/>
      </c>
      <c r="G172" s="38" t="str">
        <f aca="false">IF($A172="","",COUNTIFS('Check giá'!$C$4:$C$203,$A172,'Check giá'!$O$4:$O$203,"Đang xử lý")+COUNTIFS('Check giá'!$C$4:$C$203,$A172,'Check giá'!$O$4:$O$203,"Quá hạn chưa trả"))</f>
        <v/>
      </c>
      <c r="H172" s="38" t="str">
        <f aca="false">IF($A172="","",SUMIFS('Check giá'!$J$4:$J$203,'Check giá'!$C$4:$C$203,$A172))</f>
        <v/>
      </c>
      <c r="I172" s="38" t="str">
        <f aca="false">IF($A172="","",COUNTIFS(PR!$D$4:$D$203,$A172))</f>
        <v/>
      </c>
      <c r="J172" s="38" t="str">
        <f aca="false">IF($A172="","",SUMIFS(PR!$L$4:$L$203,PR!$D$4:$D$203,$A172))</f>
        <v/>
      </c>
      <c r="K172" s="38" t="str">
        <f aca="false">IF($A172="","",COUNTIFS(PO!$D$4:$D$203,$A172))</f>
        <v/>
      </c>
      <c r="L172" s="38" t="str">
        <f aca="false">IF($A172="","",SUMIFS(PO!$L$4:$L$203,PO!$D$4:$D$203,$A172))</f>
        <v/>
      </c>
      <c r="M172" s="38" t="str">
        <f aca="false">IF($A172="","",SUMIFS(PO!$N$4:$N$203,PO!$D$4:$D$203,$A172))</f>
        <v/>
      </c>
      <c r="N172" s="39" t="str">
        <f aca="false">IF($A172="","",IFERROR($L172/$E172,""))</f>
        <v/>
      </c>
      <c r="O172" s="38" t="str">
        <f aca="false">IF($A172="","",IFERROR($E172-$L172,""))</f>
        <v/>
      </c>
      <c r="P172" s="38" t="str">
        <f aca="false">IF($A172="","",COUNTIFS(PO!$D$4:$D$203,$A172,PO!$S$4:$S$203,"Đúng hạn")+COUNTIFS(PO!$D$4:$D$203,$A172,PO!$S$4:$S$203,"Giao trễ")+COUNTIFS(PO!$D$4:$D$203,$A172,PO!$S$4:$S$203,"Trễ hạn"))</f>
        <v/>
      </c>
      <c r="Q172" s="38" t="str">
        <f aca="false">IF($A172="","",COUNTIFS(PO!$D$4:$D$203,$A172,PO!$S$4:$S$203,"Đúng hạn"))</f>
        <v/>
      </c>
      <c r="R172" s="39" t="str">
        <f aca="false">IF($A172="","",IFERROR($Q172/$P172,""))</f>
        <v/>
      </c>
      <c r="S172" s="38" t="str">
        <f aca="false">IF($A172="","",SUMIFS('Thanh toán'!$H$4:$H$203,'Thanh toán'!$D$4:$D$203,$A172))</f>
        <v/>
      </c>
      <c r="T172" s="38" t="str">
        <f aca="false">IF($A172="","",SUMIFS('Công nợ'!$I$4:$I$203,'Công nợ'!$B$4:$B$203,$A172))</f>
        <v/>
      </c>
      <c r="U172" s="38" t="str">
        <f aca="false">IF($A172="","",SUMIFS('Công nợ'!$I$4:$I$203,'Công nợ'!$B$4:$B$203,$A172,'Công nợ'!$K$4:$K$203,"&gt;0"))</f>
        <v/>
      </c>
    </row>
    <row r="173" customFormat="false" ht="15" hidden="false" customHeight="false" outlineLevel="0" collapsed="false">
      <c r="A173" s="37" t="str">
        <f aca="false">IF('Dự án'!$A173="","",'Dự án'!$A173)</f>
        <v/>
      </c>
      <c r="B173" s="37" t="str">
        <f aca="false">IF($A173="","",'Dự án'!$B173)</f>
        <v/>
      </c>
      <c r="C173" s="37" t="str">
        <f aca="false">IF($A173="","",'Dự án'!$C173)</f>
        <v/>
      </c>
      <c r="D173" s="37" t="str">
        <f aca="false">IF($A173="","",'Dự án'!$H173)</f>
        <v/>
      </c>
      <c r="E173" s="38" t="str">
        <f aca="false">IF($A173="","",'Dự án'!$G173)</f>
        <v/>
      </c>
      <c r="F173" s="38" t="str">
        <f aca="false">IF($A173="","",COUNTIFS('Check giá'!$C$4:$C$203,$A173))</f>
        <v/>
      </c>
      <c r="G173" s="38" t="str">
        <f aca="false">IF($A173="","",COUNTIFS('Check giá'!$C$4:$C$203,$A173,'Check giá'!$O$4:$O$203,"Đang xử lý")+COUNTIFS('Check giá'!$C$4:$C$203,$A173,'Check giá'!$O$4:$O$203,"Quá hạn chưa trả"))</f>
        <v/>
      </c>
      <c r="H173" s="38" t="str">
        <f aca="false">IF($A173="","",SUMIFS('Check giá'!$J$4:$J$203,'Check giá'!$C$4:$C$203,$A173))</f>
        <v/>
      </c>
      <c r="I173" s="38" t="str">
        <f aca="false">IF($A173="","",COUNTIFS(PR!$D$4:$D$203,$A173))</f>
        <v/>
      </c>
      <c r="J173" s="38" t="str">
        <f aca="false">IF($A173="","",SUMIFS(PR!$L$4:$L$203,PR!$D$4:$D$203,$A173))</f>
        <v/>
      </c>
      <c r="K173" s="38" t="str">
        <f aca="false">IF($A173="","",COUNTIFS(PO!$D$4:$D$203,$A173))</f>
        <v/>
      </c>
      <c r="L173" s="38" t="str">
        <f aca="false">IF($A173="","",SUMIFS(PO!$L$4:$L$203,PO!$D$4:$D$203,$A173))</f>
        <v/>
      </c>
      <c r="M173" s="38" t="str">
        <f aca="false">IF($A173="","",SUMIFS(PO!$N$4:$N$203,PO!$D$4:$D$203,$A173))</f>
        <v/>
      </c>
      <c r="N173" s="39" t="str">
        <f aca="false">IF($A173="","",IFERROR($L173/$E173,""))</f>
        <v/>
      </c>
      <c r="O173" s="38" t="str">
        <f aca="false">IF($A173="","",IFERROR($E173-$L173,""))</f>
        <v/>
      </c>
      <c r="P173" s="38" t="str">
        <f aca="false">IF($A173="","",COUNTIFS(PO!$D$4:$D$203,$A173,PO!$S$4:$S$203,"Đúng hạn")+COUNTIFS(PO!$D$4:$D$203,$A173,PO!$S$4:$S$203,"Giao trễ")+COUNTIFS(PO!$D$4:$D$203,$A173,PO!$S$4:$S$203,"Trễ hạn"))</f>
        <v/>
      </c>
      <c r="Q173" s="38" t="str">
        <f aca="false">IF($A173="","",COUNTIFS(PO!$D$4:$D$203,$A173,PO!$S$4:$S$203,"Đúng hạn"))</f>
        <v/>
      </c>
      <c r="R173" s="39" t="str">
        <f aca="false">IF($A173="","",IFERROR($Q173/$P173,""))</f>
        <v/>
      </c>
      <c r="S173" s="38" t="str">
        <f aca="false">IF($A173="","",SUMIFS('Thanh toán'!$H$4:$H$203,'Thanh toán'!$D$4:$D$203,$A173))</f>
        <v/>
      </c>
      <c r="T173" s="38" t="str">
        <f aca="false">IF($A173="","",SUMIFS('Công nợ'!$I$4:$I$203,'Công nợ'!$B$4:$B$203,$A173))</f>
        <v/>
      </c>
      <c r="U173" s="38" t="str">
        <f aca="false">IF($A173="","",SUMIFS('Công nợ'!$I$4:$I$203,'Công nợ'!$B$4:$B$203,$A173,'Công nợ'!$K$4:$K$203,"&gt;0"))</f>
        <v/>
      </c>
    </row>
    <row r="174" customFormat="false" ht="15" hidden="false" customHeight="false" outlineLevel="0" collapsed="false">
      <c r="A174" s="37" t="str">
        <f aca="false">IF('Dự án'!$A174="","",'Dự án'!$A174)</f>
        <v/>
      </c>
      <c r="B174" s="37" t="str">
        <f aca="false">IF($A174="","",'Dự án'!$B174)</f>
        <v/>
      </c>
      <c r="C174" s="37" t="str">
        <f aca="false">IF($A174="","",'Dự án'!$C174)</f>
        <v/>
      </c>
      <c r="D174" s="37" t="str">
        <f aca="false">IF($A174="","",'Dự án'!$H174)</f>
        <v/>
      </c>
      <c r="E174" s="38" t="str">
        <f aca="false">IF($A174="","",'Dự án'!$G174)</f>
        <v/>
      </c>
      <c r="F174" s="38" t="str">
        <f aca="false">IF($A174="","",COUNTIFS('Check giá'!$C$4:$C$203,$A174))</f>
        <v/>
      </c>
      <c r="G174" s="38" t="str">
        <f aca="false">IF($A174="","",COUNTIFS('Check giá'!$C$4:$C$203,$A174,'Check giá'!$O$4:$O$203,"Đang xử lý")+COUNTIFS('Check giá'!$C$4:$C$203,$A174,'Check giá'!$O$4:$O$203,"Quá hạn chưa trả"))</f>
        <v/>
      </c>
      <c r="H174" s="38" t="str">
        <f aca="false">IF($A174="","",SUMIFS('Check giá'!$J$4:$J$203,'Check giá'!$C$4:$C$203,$A174))</f>
        <v/>
      </c>
      <c r="I174" s="38" t="str">
        <f aca="false">IF($A174="","",COUNTIFS(PR!$D$4:$D$203,$A174))</f>
        <v/>
      </c>
      <c r="J174" s="38" t="str">
        <f aca="false">IF($A174="","",SUMIFS(PR!$L$4:$L$203,PR!$D$4:$D$203,$A174))</f>
        <v/>
      </c>
      <c r="K174" s="38" t="str">
        <f aca="false">IF($A174="","",COUNTIFS(PO!$D$4:$D$203,$A174))</f>
        <v/>
      </c>
      <c r="L174" s="38" t="str">
        <f aca="false">IF($A174="","",SUMIFS(PO!$L$4:$L$203,PO!$D$4:$D$203,$A174))</f>
        <v/>
      </c>
      <c r="M174" s="38" t="str">
        <f aca="false">IF($A174="","",SUMIFS(PO!$N$4:$N$203,PO!$D$4:$D$203,$A174))</f>
        <v/>
      </c>
      <c r="N174" s="39" t="str">
        <f aca="false">IF($A174="","",IFERROR($L174/$E174,""))</f>
        <v/>
      </c>
      <c r="O174" s="38" t="str">
        <f aca="false">IF($A174="","",IFERROR($E174-$L174,""))</f>
        <v/>
      </c>
      <c r="P174" s="38" t="str">
        <f aca="false">IF($A174="","",COUNTIFS(PO!$D$4:$D$203,$A174,PO!$S$4:$S$203,"Đúng hạn")+COUNTIFS(PO!$D$4:$D$203,$A174,PO!$S$4:$S$203,"Giao trễ")+COUNTIFS(PO!$D$4:$D$203,$A174,PO!$S$4:$S$203,"Trễ hạn"))</f>
        <v/>
      </c>
      <c r="Q174" s="38" t="str">
        <f aca="false">IF($A174="","",COUNTIFS(PO!$D$4:$D$203,$A174,PO!$S$4:$S$203,"Đúng hạn"))</f>
        <v/>
      </c>
      <c r="R174" s="39" t="str">
        <f aca="false">IF($A174="","",IFERROR($Q174/$P174,""))</f>
        <v/>
      </c>
      <c r="S174" s="38" t="str">
        <f aca="false">IF($A174="","",SUMIFS('Thanh toán'!$H$4:$H$203,'Thanh toán'!$D$4:$D$203,$A174))</f>
        <v/>
      </c>
      <c r="T174" s="38" t="str">
        <f aca="false">IF($A174="","",SUMIFS('Công nợ'!$I$4:$I$203,'Công nợ'!$B$4:$B$203,$A174))</f>
        <v/>
      </c>
      <c r="U174" s="38" t="str">
        <f aca="false">IF($A174="","",SUMIFS('Công nợ'!$I$4:$I$203,'Công nợ'!$B$4:$B$203,$A174,'Công nợ'!$K$4:$K$203,"&gt;0"))</f>
        <v/>
      </c>
    </row>
    <row r="175" customFormat="false" ht="15" hidden="false" customHeight="false" outlineLevel="0" collapsed="false">
      <c r="A175" s="37" t="str">
        <f aca="false">IF('Dự án'!$A175="","",'Dự án'!$A175)</f>
        <v/>
      </c>
      <c r="B175" s="37" t="str">
        <f aca="false">IF($A175="","",'Dự án'!$B175)</f>
        <v/>
      </c>
      <c r="C175" s="37" t="str">
        <f aca="false">IF($A175="","",'Dự án'!$C175)</f>
        <v/>
      </c>
      <c r="D175" s="37" t="str">
        <f aca="false">IF($A175="","",'Dự án'!$H175)</f>
        <v/>
      </c>
      <c r="E175" s="38" t="str">
        <f aca="false">IF($A175="","",'Dự án'!$G175)</f>
        <v/>
      </c>
      <c r="F175" s="38" t="str">
        <f aca="false">IF($A175="","",COUNTIFS('Check giá'!$C$4:$C$203,$A175))</f>
        <v/>
      </c>
      <c r="G175" s="38" t="str">
        <f aca="false">IF($A175="","",COUNTIFS('Check giá'!$C$4:$C$203,$A175,'Check giá'!$O$4:$O$203,"Đang xử lý")+COUNTIFS('Check giá'!$C$4:$C$203,$A175,'Check giá'!$O$4:$O$203,"Quá hạn chưa trả"))</f>
        <v/>
      </c>
      <c r="H175" s="38" t="str">
        <f aca="false">IF($A175="","",SUMIFS('Check giá'!$J$4:$J$203,'Check giá'!$C$4:$C$203,$A175))</f>
        <v/>
      </c>
      <c r="I175" s="38" t="str">
        <f aca="false">IF($A175="","",COUNTIFS(PR!$D$4:$D$203,$A175))</f>
        <v/>
      </c>
      <c r="J175" s="38" t="str">
        <f aca="false">IF($A175="","",SUMIFS(PR!$L$4:$L$203,PR!$D$4:$D$203,$A175))</f>
        <v/>
      </c>
      <c r="K175" s="38" t="str">
        <f aca="false">IF($A175="","",COUNTIFS(PO!$D$4:$D$203,$A175))</f>
        <v/>
      </c>
      <c r="L175" s="38" t="str">
        <f aca="false">IF($A175="","",SUMIFS(PO!$L$4:$L$203,PO!$D$4:$D$203,$A175))</f>
        <v/>
      </c>
      <c r="M175" s="38" t="str">
        <f aca="false">IF($A175="","",SUMIFS(PO!$N$4:$N$203,PO!$D$4:$D$203,$A175))</f>
        <v/>
      </c>
      <c r="N175" s="39" t="str">
        <f aca="false">IF($A175="","",IFERROR($L175/$E175,""))</f>
        <v/>
      </c>
      <c r="O175" s="38" t="str">
        <f aca="false">IF($A175="","",IFERROR($E175-$L175,""))</f>
        <v/>
      </c>
      <c r="P175" s="38" t="str">
        <f aca="false">IF($A175="","",COUNTIFS(PO!$D$4:$D$203,$A175,PO!$S$4:$S$203,"Đúng hạn")+COUNTIFS(PO!$D$4:$D$203,$A175,PO!$S$4:$S$203,"Giao trễ")+COUNTIFS(PO!$D$4:$D$203,$A175,PO!$S$4:$S$203,"Trễ hạn"))</f>
        <v/>
      </c>
      <c r="Q175" s="38" t="str">
        <f aca="false">IF($A175="","",COUNTIFS(PO!$D$4:$D$203,$A175,PO!$S$4:$S$203,"Đúng hạn"))</f>
        <v/>
      </c>
      <c r="R175" s="39" t="str">
        <f aca="false">IF($A175="","",IFERROR($Q175/$P175,""))</f>
        <v/>
      </c>
      <c r="S175" s="38" t="str">
        <f aca="false">IF($A175="","",SUMIFS('Thanh toán'!$H$4:$H$203,'Thanh toán'!$D$4:$D$203,$A175))</f>
        <v/>
      </c>
      <c r="T175" s="38" t="str">
        <f aca="false">IF($A175="","",SUMIFS('Công nợ'!$I$4:$I$203,'Công nợ'!$B$4:$B$203,$A175))</f>
        <v/>
      </c>
      <c r="U175" s="38" t="str">
        <f aca="false">IF($A175="","",SUMIFS('Công nợ'!$I$4:$I$203,'Công nợ'!$B$4:$B$203,$A175,'Công nợ'!$K$4:$K$203,"&gt;0"))</f>
        <v/>
      </c>
    </row>
    <row r="176" customFormat="false" ht="15" hidden="false" customHeight="false" outlineLevel="0" collapsed="false">
      <c r="A176" s="37" t="str">
        <f aca="false">IF('Dự án'!$A176="","",'Dự án'!$A176)</f>
        <v/>
      </c>
      <c r="B176" s="37" t="str">
        <f aca="false">IF($A176="","",'Dự án'!$B176)</f>
        <v/>
      </c>
      <c r="C176" s="37" t="str">
        <f aca="false">IF($A176="","",'Dự án'!$C176)</f>
        <v/>
      </c>
      <c r="D176" s="37" t="str">
        <f aca="false">IF($A176="","",'Dự án'!$H176)</f>
        <v/>
      </c>
      <c r="E176" s="38" t="str">
        <f aca="false">IF($A176="","",'Dự án'!$G176)</f>
        <v/>
      </c>
      <c r="F176" s="38" t="str">
        <f aca="false">IF($A176="","",COUNTIFS('Check giá'!$C$4:$C$203,$A176))</f>
        <v/>
      </c>
      <c r="G176" s="38" t="str">
        <f aca="false">IF($A176="","",COUNTIFS('Check giá'!$C$4:$C$203,$A176,'Check giá'!$O$4:$O$203,"Đang xử lý")+COUNTIFS('Check giá'!$C$4:$C$203,$A176,'Check giá'!$O$4:$O$203,"Quá hạn chưa trả"))</f>
        <v/>
      </c>
      <c r="H176" s="38" t="str">
        <f aca="false">IF($A176="","",SUMIFS('Check giá'!$J$4:$J$203,'Check giá'!$C$4:$C$203,$A176))</f>
        <v/>
      </c>
      <c r="I176" s="38" t="str">
        <f aca="false">IF($A176="","",COUNTIFS(PR!$D$4:$D$203,$A176))</f>
        <v/>
      </c>
      <c r="J176" s="38" t="str">
        <f aca="false">IF($A176="","",SUMIFS(PR!$L$4:$L$203,PR!$D$4:$D$203,$A176))</f>
        <v/>
      </c>
      <c r="K176" s="38" t="str">
        <f aca="false">IF($A176="","",COUNTIFS(PO!$D$4:$D$203,$A176))</f>
        <v/>
      </c>
      <c r="L176" s="38" t="str">
        <f aca="false">IF($A176="","",SUMIFS(PO!$L$4:$L$203,PO!$D$4:$D$203,$A176))</f>
        <v/>
      </c>
      <c r="M176" s="38" t="str">
        <f aca="false">IF($A176="","",SUMIFS(PO!$N$4:$N$203,PO!$D$4:$D$203,$A176))</f>
        <v/>
      </c>
      <c r="N176" s="39" t="str">
        <f aca="false">IF($A176="","",IFERROR($L176/$E176,""))</f>
        <v/>
      </c>
      <c r="O176" s="38" t="str">
        <f aca="false">IF($A176="","",IFERROR($E176-$L176,""))</f>
        <v/>
      </c>
      <c r="P176" s="38" t="str">
        <f aca="false">IF($A176="","",COUNTIFS(PO!$D$4:$D$203,$A176,PO!$S$4:$S$203,"Đúng hạn")+COUNTIFS(PO!$D$4:$D$203,$A176,PO!$S$4:$S$203,"Giao trễ")+COUNTIFS(PO!$D$4:$D$203,$A176,PO!$S$4:$S$203,"Trễ hạn"))</f>
        <v/>
      </c>
      <c r="Q176" s="38" t="str">
        <f aca="false">IF($A176="","",COUNTIFS(PO!$D$4:$D$203,$A176,PO!$S$4:$S$203,"Đúng hạn"))</f>
        <v/>
      </c>
      <c r="R176" s="39" t="str">
        <f aca="false">IF($A176="","",IFERROR($Q176/$P176,""))</f>
        <v/>
      </c>
      <c r="S176" s="38" t="str">
        <f aca="false">IF($A176="","",SUMIFS('Thanh toán'!$H$4:$H$203,'Thanh toán'!$D$4:$D$203,$A176))</f>
        <v/>
      </c>
      <c r="T176" s="38" t="str">
        <f aca="false">IF($A176="","",SUMIFS('Công nợ'!$I$4:$I$203,'Công nợ'!$B$4:$B$203,$A176))</f>
        <v/>
      </c>
      <c r="U176" s="38" t="str">
        <f aca="false">IF($A176="","",SUMIFS('Công nợ'!$I$4:$I$203,'Công nợ'!$B$4:$B$203,$A176,'Công nợ'!$K$4:$K$203,"&gt;0"))</f>
        <v/>
      </c>
    </row>
    <row r="177" customFormat="false" ht="15" hidden="false" customHeight="false" outlineLevel="0" collapsed="false">
      <c r="A177" s="37" t="str">
        <f aca="false">IF('Dự án'!$A177="","",'Dự án'!$A177)</f>
        <v/>
      </c>
      <c r="B177" s="37" t="str">
        <f aca="false">IF($A177="","",'Dự án'!$B177)</f>
        <v/>
      </c>
      <c r="C177" s="37" t="str">
        <f aca="false">IF($A177="","",'Dự án'!$C177)</f>
        <v/>
      </c>
      <c r="D177" s="37" t="str">
        <f aca="false">IF($A177="","",'Dự án'!$H177)</f>
        <v/>
      </c>
      <c r="E177" s="38" t="str">
        <f aca="false">IF($A177="","",'Dự án'!$G177)</f>
        <v/>
      </c>
      <c r="F177" s="38" t="str">
        <f aca="false">IF($A177="","",COUNTIFS('Check giá'!$C$4:$C$203,$A177))</f>
        <v/>
      </c>
      <c r="G177" s="38" t="str">
        <f aca="false">IF($A177="","",COUNTIFS('Check giá'!$C$4:$C$203,$A177,'Check giá'!$O$4:$O$203,"Đang xử lý")+COUNTIFS('Check giá'!$C$4:$C$203,$A177,'Check giá'!$O$4:$O$203,"Quá hạn chưa trả"))</f>
        <v/>
      </c>
      <c r="H177" s="38" t="str">
        <f aca="false">IF($A177="","",SUMIFS('Check giá'!$J$4:$J$203,'Check giá'!$C$4:$C$203,$A177))</f>
        <v/>
      </c>
      <c r="I177" s="38" t="str">
        <f aca="false">IF($A177="","",COUNTIFS(PR!$D$4:$D$203,$A177))</f>
        <v/>
      </c>
      <c r="J177" s="38" t="str">
        <f aca="false">IF($A177="","",SUMIFS(PR!$L$4:$L$203,PR!$D$4:$D$203,$A177))</f>
        <v/>
      </c>
      <c r="K177" s="38" t="str">
        <f aca="false">IF($A177="","",COUNTIFS(PO!$D$4:$D$203,$A177))</f>
        <v/>
      </c>
      <c r="L177" s="38" t="str">
        <f aca="false">IF($A177="","",SUMIFS(PO!$L$4:$L$203,PO!$D$4:$D$203,$A177))</f>
        <v/>
      </c>
      <c r="M177" s="38" t="str">
        <f aca="false">IF($A177="","",SUMIFS(PO!$N$4:$N$203,PO!$D$4:$D$203,$A177))</f>
        <v/>
      </c>
      <c r="N177" s="39" t="str">
        <f aca="false">IF($A177="","",IFERROR($L177/$E177,""))</f>
        <v/>
      </c>
      <c r="O177" s="38" t="str">
        <f aca="false">IF($A177="","",IFERROR($E177-$L177,""))</f>
        <v/>
      </c>
      <c r="P177" s="38" t="str">
        <f aca="false">IF($A177="","",COUNTIFS(PO!$D$4:$D$203,$A177,PO!$S$4:$S$203,"Đúng hạn")+COUNTIFS(PO!$D$4:$D$203,$A177,PO!$S$4:$S$203,"Giao trễ")+COUNTIFS(PO!$D$4:$D$203,$A177,PO!$S$4:$S$203,"Trễ hạn"))</f>
        <v/>
      </c>
      <c r="Q177" s="38" t="str">
        <f aca="false">IF($A177="","",COUNTIFS(PO!$D$4:$D$203,$A177,PO!$S$4:$S$203,"Đúng hạn"))</f>
        <v/>
      </c>
      <c r="R177" s="39" t="str">
        <f aca="false">IF($A177="","",IFERROR($Q177/$P177,""))</f>
        <v/>
      </c>
      <c r="S177" s="38" t="str">
        <f aca="false">IF($A177="","",SUMIFS('Thanh toán'!$H$4:$H$203,'Thanh toán'!$D$4:$D$203,$A177))</f>
        <v/>
      </c>
      <c r="T177" s="38" t="str">
        <f aca="false">IF($A177="","",SUMIFS('Công nợ'!$I$4:$I$203,'Công nợ'!$B$4:$B$203,$A177))</f>
        <v/>
      </c>
      <c r="U177" s="38" t="str">
        <f aca="false">IF($A177="","",SUMIFS('Công nợ'!$I$4:$I$203,'Công nợ'!$B$4:$B$203,$A177,'Công nợ'!$K$4:$K$203,"&gt;0"))</f>
        <v/>
      </c>
    </row>
    <row r="178" customFormat="false" ht="15" hidden="false" customHeight="false" outlineLevel="0" collapsed="false">
      <c r="A178" s="37" t="str">
        <f aca="false">IF('Dự án'!$A178="","",'Dự án'!$A178)</f>
        <v/>
      </c>
      <c r="B178" s="37" t="str">
        <f aca="false">IF($A178="","",'Dự án'!$B178)</f>
        <v/>
      </c>
      <c r="C178" s="37" t="str">
        <f aca="false">IF($A178="","",'Dự án'!$C178)</f>
        <v/>
      </c>
      <c r="D178" s="37" t="str">
        <f aca="false">IF($A178="","",'Dự án'!$H178)</f>
        <v/>
      </c>
      <c r="E178" s="38" t="str">
        <f aca="false">IF($A178="","",'Dự án'!$G178)</f>
        <v/>
      </c>
      <c r="F178" s="38" t="str">
        <f aca="false">IF($A178="","",COUNTIFS('Check giá'!$C$4:$C$203,$A178))</f>
        <v/>
      </c>
      <c r="G178" s="38" t="str">
        <f aca="false">IF($A178="","",COUNTIFS('Check giá'!$C$4:$C$203,$A178,'Check giá'!$O$4:$O$203,"Đang xử lý")+COUNTIFS('Check giá'!$C$4:$C$203,$A178,'Check giá'!$O$4:$O$203,"Quá hạn chưa trả"))</f>
        <v/>
      </c>
      <c r="H178" s="38" t="str">
        <f aca="false">IF($A178="","",SUMIFS('Check giá'!$J$4:$J$203,'Check giá'!$C$4:$C$203,$A178))</f>
        <v/>
      </c>
      <c r="I178" s="38" t="str">
        <f aca="false">IF($A178="","",COUNTIFS(PR!$D$4:$D$203,$A178))</f>
        <v/>
      </c>
      <c r="J178" s="38" t="str">
        <f aca="false">IF($A178="","",SUMIFS(PR!$L$4:$L$203,PR!$D$4:$D$203,$A178))</f>
        <v/>
      </c>
      <c r="K178" s="38" t="str">
        <f aca="false">IF($A178="","",COUNTIFS(PO!$D$4:$D$203,$A178))</f>
        <v/>
      </c>
      <c r="L178" s="38" t="str">
        <f aca="false">IF($A178="","",SUMIFS(PO!$L$4:$L$203,PO!$D$4:$D$203,$A178))</f>
        <v/>
      </c>
      <c r="M178" s="38" t="str">
        <f aca="false">IF($A178="","",SUMIFS(PO!$N$4:$N$203,PO!$D$4:$D$203,$A178))</f>
        <v/>
      </c>
      <c r="N178" s="39" t="str">
        <f aca="false">IF($A178="","",IFERROR($L178/$E178,""))</f>
        <v/>
      </c>
      <c r="O178" s="38" t="str">
        <f aca="false">IF($A178="","",IFERROR($E178-$L178,""))</f>
        <v/>
      </c>
      <c r="P178" s="38" t="str">
        <f aca="false">IF($A178="","",COUNTIFS(PO!$D$4:$D$203,$A178,PO!$S$4:$S$203,"Đúng hạn")+COUNTIFS(PO!$D$4:$D$203,$A178,PO!$S$4:$S$203,"Giao trễ")+COUNTIFS(PO!$D$4:$D$203,$A178,PO!$S$4:$S$203,"Trễ hạn"))</f>
        <v/>
      </c>
      <c r="Q178" s="38" t="str">
        <f aca="false">IF($A178="","",COUNTIFS(PO!$D$4:$D$203,$A178,PO!$S$4:$S$203,"Đúng hạn"))</f>
        <v/>
      </c>
      <c r="R178" s="39" t="str">
        <f aca="false">IF($A178="","",IFERROR($Q178/$P178,""))</f>
        <v/>
      </c>
      <c r="S178" s="38" t="str">
        <f aca="false">IF($A178="","",SUMIFS('Thanh toán'!$H$4:$H$203,'Thanh toán'!$D$4:$D$203,$A178))</f>
        <v/>
      </c>
      <c r="T178" s="38" t="str">
        <f aca="false">IF($A178="","",SUMIFS('Công nợ'!$I$4:$I$203,'Công nợ'!$B$4:$B$203,$A178))</f>
        <v/>
      </c>
      <c r="U178" s="38" t="str">
        <f aca="false">IF($A178="","",SUMIFS('Công nợ'!$I$4:$I$203,'Công nợ'!$B$4:$B$203,$A178,'Công nợ'!$K$4:$K$203,"&gt;0"))</f>
        <v/>
      </c>
    </row>
    <row r="179" customFormat="false" ht="15" hidden="false" customHeight="false" outlineLevel="0" collapsed="false">
      <c r="A179" s="37" t="str">
        <f aca="false">IF('Dự án'!$A179="","",'Dự án'!$A179)</f>
        <v/>
      </c>
      <c r="B179" s="37" t="str">
        <f aca="false">IF($A179="","",'Dự án'!$B179)</f>
        <v/>
      </c>
      <c r="C179" s="37" t="str">
        <f aca="false">IF($A179="","",'Dự án'!$C179)</f>
        <v/>
      </c>
      <c r="D179" s="37" t="str">
        <f aca="false">IF($A179="","",'Dự án'!$H179)</f>
        <v/>
      </c>
      <c r="E179" s="38" t="str">
        <f aca="false">IF($A179="","",'Dự án'!$G179)</f>
        <v/>
      </c>
      <c r="F179" s="38" t="str">
        <f aca="false">IF($A179="","",COUNTIFS('Check giá'!$C$4:$C$203,$A179))</f>
        <v/>
      </c>
      <c r="G179" s="38" t="str">
        <f aca="false">IF($A179="","",COUNTIFS('Check giá'!$C$4:$C$203,$A179,'Check giá'!$O$4:$O$203,"Đang xử lý")+COUNTIFS('Check giá'!$C$4:$C$203,$A179,'Check giá'!$O$4:$O$203,"Quá hạn chưa trả"))</f>
        <v/>
      </c>
      <c r="H179" s="38" t="str">
        <f aca="false">IF($A179="","",SUMIFS('Check giá'!$J$4:$J$203,'Check giá'!$C$4:$C$203,$A179))</f>
        <v/>
      </c>
      <c r="I179" s="38" t="str">
        <f aca="false">IF($A179="","",COUNTIFS(PR!$D$4:$D$203,$A179))</f>
        <v/>
      </c>
      <c r="J179" s="38" t="str">
        <f aca="false">IF($A179="","",SUMIFS(PR!$L$4:$L$203,PR!$D$4:$D$203,$A179))</f>
        <v/>
      </c>
      <c r="K179" s="38" t="str">
        <f aca="false">IF($A179="","",COUNTIFS(PO!$D$4:$D$203,$A179))</f>
        <v/>
      </c>
      <c r="L179" s="38" t="str">
        <f aca="false">IF($A179="","",SUMIFS(PO!$L$4:$L$203,PO!$D$4:$D$203,$A179))</f>
        <v/>
      </c>
      <c r="M179" s="38" t="str">
        <f aca="false">IF($A179="","",SUMIFS(PO!$N$4:$N$203,PO!$D$4:$D$203,$A179))</f>
        <v/>
      </c>
      <c r="N179" s="39" t="str">
        <f aca="false">IF($A179="","",IFERROR($L179/$E179,""))</f>
        <v/>
      </c>
      <c r="O179" s="38" t="str">
        <f aca="false">IF($A179="","",IFERROR($E179-$L179,""))</f>
        <v/>
      </c>
      <c r="P179" s="38" t="str">
        <f aca="false">IF($A179="","",COUNTIFS(PO!$D$4:$D$203,$A179,PO!$S$4:$S$203,"Đúng hạn")+COUNTIFS(PO!$D$4:$D$203,$A179,PO!$S$4:$S$203,"Giao trễ")+COUNTIFS(PO!$D$4:$D$203,$A179,PO!$S$4:$S$203,"Trễ hạn"))</f>
        <v/>
      </c>
      <c r="Q179" s="38" t="str">
        <f aca="false">IF($A179="","",COUNTIFS(PO!$D$4:$D$203,$A179,PO!$S$4:$S$203,"Đúng hạn"))</f>
        <v/>
      </c>
      <c r="R179" s="39" t="str">
        <f aca="false">IF($A179="","",IFERROR($Q179/$P179,""))</f>
        <v/>
      </c>
      <c r="S179" s="38" t="str">
        <f aca="false">IF($A179="","",SUMIFS('Thanh toán'!$H$4:$H$203,'Thanh toán'!$D$4:$D$203,$A179))</f>
        <v/>
      </c>
      <c r="T179" s="38" t="str">
        <f aca="false">IF($A179="","",SUMIFS('Công nợ'!$I$4:$I$203,'Công nợ'!$B$4:$B$203,$A179))</f>
        <v/>
      </c>
      <c r="U179" s="38" t="str">
        <f aca="false">IF($A179="","",SUMIFS('Công nợ'!$I$4:$I$203,'Công nợ'!$B$4:$B$203,$A179,'Công nợ'!$K$4:$K$203,"&gt;0"))</f>
        <v/>
      </c>
    </row>
    <row r="180" customFormat="false" ht="15" hidden="false" customHeight="false" outlineLevel="0" collapsed="false">
      <c r="A180" s="37" t="str">
        <f aca="false">IF('Dự án'!$A180="","",'Dự án'!$A180)</f>
        <v/>
      </c>
      <c r="B180" s="37" t="str">
        <f aca="false">IF($A180="","",'Dự án'!$B180)</f>
        <v/>
      </c>
      <c r="C180" s="37" t="str">
        <f aca="false">IF($A180="","",'Dự án'!$C180)</f>
        <v/>
      </c>
      <c r="D180" s="37" t="str">
        <f aca="false">IF($A180="","",'Dự án'!$H180)</f>
        <v/>
      </c>
      <c r="E180" s="38" t="str">
        <f aca="false">IF($A180="","",'Dự án'!$G180)</f>
        <v/>
      </c>
      <c r="F180" s="38" t="str">
        <f aca="false">IF($A180="","",COUNTIFS('Check giá'!$C$4:$C$203,$A180))</f>
        <v/>
      </c>
      <c r="G180" s="38" t="str">
        <f aca="false">IF($A180="","",COUNTIFS('Check giá'!$C$4:$C$203,$A180,'Check giá'!$O$4:$O$203,"Đang xử lý")+COUNTIFS('Check giá'!$C$4:$C$203,$A180,'Check giá'!$O$4:$O$203,"Quá hạn chưa trả"))</f>
        <v/>
      </c>
      <c r="H180" s="38" t="str">
        <f aca="false">IF($A180="","",SUMIFS('Check giá'!$J$4:$J$203,'Check giá'!$C$4:$C$203,$A180))</f>
        <v/>
      </c>
      <c r="I180" s="38" t="str">
        <f aca="false">IF($A180="","",COUNTIFS(PR!$D$4:$D$203,$A180))</f>
        <v/>
      </c>
      <c r="J180" s="38" t="str">
        <f aca="false">IF($A180="","",SUMIFS(PR!$L$4:$L$203,PR!$D$4:$D$203,$A180))</f>
        <v/>
      </c>
      <c r="K180" s="38" t="str">
        <f aca="false">IF($A180="","",COUNTIFS(PO!$D$4:$D$203,$A180))</f>
        <v/>
      </c>
      <c r="L180" s="38" t="str">
        <f aca="false">IF($A180="","",SUMIFS(PO!$L$4:$L$203,PO!$D$4:$D$203,$A180))</f>
        <v/>
      </c>
      <c r="M180" s="38" t="str">
        <f aca="false">IF($A180="","",SUMIFS(PO!$N$4:$N$203,PO!$D$4:$D$203,$A180))</f>
        <v/>
      </c>
      <c r="N180" s="39" t="str">
        <f aca="false">IF($A180="","",IFERROR($L180/$E180,""))</f>
        <v/>
      </c>
      <c r="O180" s="38" t="str">
        <f aca="false">IF($A180="","",IFERROR($E180-$L180,""))</f>
        <v/>
      </c>
      <c r="P180" s="38" t="str">
        <f aca="false">IF($A180="","",COUNTIFS(PO!$D$4:$D$203,$A180,PO!$S$4:$S$203,"Đúng hạn")+COUNTIFS(PO!$D$4:$D$203,$A180,PO!$S$4:$S$203,"Giao trễ")+COUNTIFS(PO!$D$4:$D$203,$A180,PO!$S$4:$S$203,"Trễ hạn"))</f>
        <v/>
      </c>
      <c r="Q180" s="38" t="str">
        <f aca="false">IF($A180="","",COUNTIFS(PO!$D$4:$D$203,$A180,PO!$S$4:$S$203,"Đúng hạn"))</f>
        <v/>
      </c>
      <c r="R180" s="39" t="str">
        <f aca="false">IF($A180="","",IFERROR($Q180/$P180,""))</f>
        <v/>
      </c>
      <c r="S180" s="38" t="str">
        <f aca="false">IF($A180="","",SUMIFS('Thanh toán'!$H$4:$H$203,'Thanh toán'!$D$4:$D$203,$A180))</f>
        <v/>
      </c>
      <c r="T180" s="38" t="str">
        <f aca="false">IF($A180="","",SUMIFS('Công nợ'!$I$4:$I$203,'Công nợ'!$B$4:$B$203,$A180))</f>
        <v/>
      </c>
      <c r="U180" s="38" t="str">
        <f aca="false">IF($A180="","",SUMIFS('Công nợ'!$I$4:$I$203,'Công nợ'!$B$4:$B$203,$A180,'Công nợ'!$K$4:$K$203,"&gt;0"))</f>
        <v/>
      </c>
    </row>
    <row r="181" customFormat="false" ht="15" hidden="false" customHeight="false" outlineLevel="0" collapsed="false">
      <c r="A181" s="37" t="str">
        <f aca="false">IF('Dự án'!$A181="","",'Dự án'!$A181)</f>
        <v/>
      </c>
      <c r="B181" s="37" t="str">
        <f aca="false">IF($A181="","",'Dự án'!$B181)</f>
        <v/>
      </c>
      <c r="C181" s="37" t="str">
        <f aca="false">IF($A181="","",'Dự án'!$C181)</f>
        <v/>
      </c>
      <c r="D181" s="37" t="str">
        <f aca="false">IF($A181="","",'Dự án'!$H181)</f>
        <v/>
      </c>
      <c r="E181" s="38" t="str">
        <f aca="false">IF($A181="","",'Dự án'!$G181)</f>
        <v/>
      </c>
      <c r="F181" s="38" t="str">
        <f aca="false">IF($A181="","",COUNTIFS('Check giá'!$C$4:$C$203,$A181))</f>
        <v/>
      </c>
      <c r="G181" s="38" t="str">
        <f aca="false">IF($A181="","",COUNTIFS('Check giá'!$C$4:$C$203,$A181,'Check giá'!$O$4:$O$203,"Đang xử lý")+COUNTIFS('Check giá'!$C$4:$C$203,$A181,'Check giá'!$O$4:$O$203,"Quá hạn chưa trả"))</f>
        <v/>
      </c>
      <c r="H181" s="38" t="str">
        <f aca="false">IF($A181="","",SUMIFS('Check giá'!$J$4:$J$203,'Check giá'!$C$4:$C$203,$A181))</f>
        <v/>
      </c>
      <c r="I181" s="38" t="str">
        <f aca="false">IF($A181="","",COUNTIFS(PR!$D$4:$D$203,$A181))</f>
        <v/>
      </c>
      <c r="J181" s="38" t="str">
        <f aca="false">IF($A181="","",SUMIFS(PR!$L$4:$L$203,PR!$D$4:$D$203,$A181))</f>
        <v/>
      </c>
      <c r="K181" s="38" t="str">
        <f aca="false">IF($A181="","",COUNTIFS(PO!$D$4:$D$203,$A181))</f>
        <v/>
      </c>
      <c r="L181" s="38" t="str">
        <f aca="false">IF($A181="","",SUMIFS(PO!$L$4:$L$203,PO!$D$4:$D$203,$A181))</f>
        <v/>
      </c>
      <c r="M181" s="38" t="str">
        <f aca="false">IF($A181="","",SUMIFS(PO!$N$4:$N$203,PO!$D$4:$D$203,$A181))</f>
        <v/>
      </c>
      <c r="N181" s="39" t="str">
        <f aca="false">IF($A181="","",IFERROR($L181/$E181,""))</f>
        <v/>
      </c>
      <c r="O181" s="38" t="str">
        <f aca="false">IF($A181="","",IFERROR($E181-$L181,""))</f>
        <v/>
      </c>
      <c r="P181" s="38" t="str">
        <f aca="false">IF($A181="","",COUNTIFS(PO!$D$4:$D$203,$A181,PO!$S$4:$S$203,"Đúng hạn")+COUNTIFS(PO!$D$4:$D$203,$A181,PO!$S$4:$S$203,"Giao trễ")+COUNTIFS(PO!$D$4:$D$203,$A181,PO!$S$4:$S$203,"Trễ hạn"))</f>
        <v/>
      </c>
      <c r="Q181" s="38" t="str">
        <f aca="false">IF($A181="","",COUNTIFS(PO!$D$4:$D$203,$A181,PO!$S$4:$S$203,"Đúng hạn"))</f>
        <v/>
      </c>
      <c r="R181" s="39" t="str">
        <f aca="false">IF($A181="","",IFERROR($Q181/$P181,""))</f>
        <v/>
      </c>
      <c r="S181" s="38" t="str">
        <f aca="false">IF($A181="","",SUMIFS('Thanh toán'!$H$4:$H$203,'Thanh toán'!$D$4:$D$203,$A181))</f>
        <v/>
      </c>
      <c r="T181" s="38" t="str">
        <f aca="false">IF($A181="","",SUMIFS('Công nợ'!$I$4:$I$203,'Công nợ'!$B$4:$B$203,$A181))</f>
        <v/>
      </c>
      <c r="U181" s="38" t="str">
        <f aca="false">IF($A181="","",SUMIFS('Công nợ'!$I$4:$I$203,'Công nợ'!$B$4:$B$203,$A181,'Công nợ'!$K$4:$K$203,"&gt;0"))</f>
        <v/>
      </c>
    </row>
    <row r="182" customFormat="false" ht="15" hidden="false" customHeight="false" outlineLevel="0" collapsed="false">
      <c r="A182" s="37" t="str">
        <f aca="false">IF('Dự án'!$A182="","",'Dự án'!$A182)</f>
        <v/>
      </c>
      <c r="B182" s="37" t="str">
        <f aca="false">IF($A182="","",'Dự án'!$B182)</f>
        <v/>
      </c>
      <c r="C182" s="37" t="str">
        <f aca="false">IF($A182="","",'Dự án'!$C182)</f>
        <v/>
      </c>
      <c r="D182" s="37" t="str">
        <f aca="false">IF($A182="","",'Dự án'!$H182)</f>
        <v/>
      </c>
      <c r="E182" s="38" t="str">
        <f aca="false">IF($A182="","",'Dự án'!$G182)</f>
        <v/>
      </c>
      <c r="F182" s="38" t="str">
        <f aca="false">IF($A182="","",COUNTIFS('Check giá'!$C$4:$C$203,$A182))</f>
        <v/>
      </c>
      <c r="G182" s="38" t="str">
        <f aca="false">IF($A182="","",COUNTIFS('Check giá'!$C$4:$C$203,$A182,'Check giá'!$O$4:$O$203,"Đang xử lý")+COUNTIFS('Check giá'!$C$4:$C$203,$A182,'Check giá'!$O$4:$O$203,"Quá hạn chưa trả"))</f>
        <v/>
      </c>
      <c r="H182" s="38" t="str">
        <f aca="false">IF($A182="","",SUMIFS('Check giá'!$J$4:$J$203,'Check giá'!$C$4:$C$203,$A182))</f>
        <v/>
      </c>
      <c r="I182" s="38" t="str">
        <f aca="false">IF($A182="","",COUNTIFS(PR!$D$4:$D$203,$A182))</f>
        <v/>
      </c>
      <c r="J182" s="38" t="str">
        <f aca="false">IF($A182="","",SUMIFS(PR!$L$4:$L$203,PR!$D$4:$D$203,$A182))</f>
        <v/>
      </c>
      <c r="K182" s="38" t="str">
        <f aca="false">IF($A182="","",COUNTIFS(PO!$D$4:$D$203,$A182))</f>
        <v/>
      </c>
      <c r="L182" s="38" t="str">
        <f aca="false">IF($A182="","",SUMIFS(PO!$L$4:$L$203,PO!$D$4:$D$203,$A182))</f>
        <v/>
      </c>
      <c r="M182" s="38" t="str">
        <f aca="false">IF($A182="","",SUMIFS(PO!$N$4:$N$203,PO!$D$4:$D$203,$A182))</f>
        <v/>
      </c>
      <c r="N182" s="39" t="str">
        <f aca="false">IF($A182="","",IFERROR($L182/$E182,""))</f>
        <v/>
      </c>
      <c r="O182" s="38" t="str">
        <f aca="false">IF($A182="","",IFERROR($E182-$L182,""))</f>
        <v/>
      </c>
      <c r="P182" s="38" t="str">
        <f aca="false">IF($A182="","",COUNTIFS(PO!$D$4:$D$203,$A182,PO!$S$4:$S$203,"Đúng hạn")+COUNTIFS(PO!$D$4:$D$203,$A182,PO!$S$4:$S$203,"Giao trễ")+COUNTIFS(PO!$D$4:$D$203,$A182,PO!$S$4:$S$203,"Trễ hạn"))</f>
        <v/>
      </c>
      <c r="Q182" s="38" t="str">
        <f aca="false">IF($A182="","",COUNTIFS(PO!$D$4:$D$203,$A182,PO!$S$4:$S$203,"Đúng hạn"))</f>
        <v/>
      </c>
      <c r="R182" s="39" t="str">
        <f aca="false">IF($A182="","",IFERROR($Q182/$P182,""))</f>
        <v/>
      </c>
      <c r="S182" s="38" t="str">
        <f aca="false">IF($A182="","",SUMIFS('Thanh toán'!$H$4:$H$203,'Thanh toán'!$D$4:$D$203,$A182))</f>
        <v/>
      </c>
      <c r="T182" s="38" t="str">
        <f aca="false">IF($A182="","",SUMIFS('Công nợ'!$I$4:$I$203,'Công nợ'!$B$4:$B$203,$A182))</f>
        <v/>
      </c>
      <c r="U182" s="38" t="str">
        <f aca="false">IF($A182="","",SUMIFS('Công nợ'!$I$4:$I$203,'Công nợ'!$B$4:$B$203,$A182,'Công nợ'!$K$4:$K$203,"&gt;0"))</f>
        <v/>
      </c>
    </row>
    <row r="183" customFormat="false" ht="15" hidden="false" customHeight="false" outlineLevel="0" collapsed="false">
      <c r="A183" s="37" t="str">
        <f aca="false">IF('Dự án'!$A183="","",'Dự án'!$A183)</f>
        <v/>
      </c>
      <c r="B183" s="37" t="str">
        <f aca="false">IF($A183="","",'Dự án'!$B183)</f>
        <v/>
      </c>
      <c r="C183" s="37" t="str">
        <f aca="false">IF($A183="","",'Dự án'!$C183)</f>
        <v/>
      </c>
      <c r="D183" s="37" t="str">
        <f aca="false">IF($A183="","",'Dự án'!$H183)</f>
        <v/>
      </c>
      <c r="E183" s="38" t="str">
        <f aca="false">IF($A183="","",'Dự án'!$G183)</f>
        <v/>
      </c>
      <c r="F183" s="38" t="str">
        <f aca="false">IF($A183="","",COUNTIFS('Check giá'!$C$4:$C$203,$A183))</f>
        <v/>
      </c>
      <c r="G183" s="38" t="str">
        <f aca="false">IF($A183="","",COUNTIFS('Check giá'!$C$4:$C$203,$A183,'Check giá'!$O$4:$O$203,"Đang xử lý")+COUNTIFS('Check giá'!$C$4:$C$203,$A183,'Check giá'!$O$4:$O$203,"Quá hạn chưa trả"))</f>
        <v/>
      </c>
      <c r="H183" s="38" t="str">
        <f aca="false">IF($A183="","",SUMIFS('Check giá'!$J$4:$J$203,'Check giá'!$C$4:$C$203,$A183))</f>
        <v/>
      </c>
      <c r="I183" s="38" t="str">
        <f aca="false">IF($A183="","",COUNTIFS(PR!$D$4:$D$203,$A183))</f>
        <v/>
      </c>
      <c r="J183" s="38" t="str">
        <f aca="false">IF($A183="","",SUMIFS(PR!$L$4:$L$203,PR!$D$4:$D$203,$A183))</f>
        <v/>
      </c>
      <c r="K183" s="38" t="str">
        <f aca="false">IF($A183="","",COUNTIFS(PO!$D$4:$D$203,$A183))</f>
        <v/>
      </c>
      <c r="L183" s="38" t="str">
        <f aca="false">IF($A183="","",SUMIFS(PO!$L$4:$L$203,PO!$D$4:$D$203,$A183))</f>
        <v/>
      </c>
      <c r="M183" s="38" t="str">
        <f aca="false">IF($A183="","",SUMIFS(PO!$N$4:$N$203,PO!$D$4:$D$203,$A183))</f>
        <v/>
      </c>
      <c r="N183" s="39" t="str">
        <f aca="false">IF($A183="","",IFERROR($L183/$E183,""))</f>
        <v/>
      </c>
      <c r="O183" s="38" t="str">
        <f aca="false">IF($A183="","",IFERROR($E183-$L183,""))</f>
        <v/>
      </c>
      <c r="P183" s="38" t="str">
        <f aca="false">IF($A183="","",COUNTIFS(PO!$D$4:$D$203,$A183,PO!$S$4:$S$203,"Đúng hạn")+COUNTIFS(PO!$D$4:$D$203,$A183,PO!$S$4:$S$203,"Giao trễ")+COUNTIFS(PO!$D$4:$D$203,$A183,PO!$S$4:$S$203,"Trễ hạn"))</f>
        <v/>
      </c>
      <c r="Q183" s="38" t="str">
        <f aca="false">IF($A183="","",COUNTIFS(PO!$D$4:$D$203,$A183,PO!$S$4:$S$203,"Đúng hạn"))</f>
        <v/>
      </c>
      <c r="R183" s="39" t="str">
        <f aca="false">IF($A183="","",IFERROR($Q183/$P183,""))</f>
        <v/>
      </c>
      <c r="S183" s="38" t="str">
        <f aca="false">IF($A183="","",SUMIFS('Thanh toán'!$H$4:$H$203,'Thanh toán'!$D$4:$D$203,$A183))</f>
        <v/>
      </c>
      <c r="T183" s="38" t="str">
        <f aca="false">IF($A183="","",SUMIFS('Công nợ'!$I$4:$I$203,'Công nợ'!$B$4:$B$203,$A183))</f>
        <v/>
      </c>
      <c r="U183" s="38" t="str">
        <f aca="false">IF($A183="","",SUMIFS('Công nợ'!$I$4:$I$203,'Công nợ'!$B$4:$B$203,$A183,'Công nợ'!$K$4:$K$203,"&gt;0"))</f>
        <v/>
      </c>
    </row>
    <row r="184" customFormat="false" ht="15" hidden="false" customHeight="false" outlineLevel="0" collapsed="false">
      <c r="A184" s="37" t="str">
        <f aca="false">IF('Dự án'!$A184="","",'Dự án'!$A184)</f>
        <v/>
      </c>
      <c r="B184" s="37" t="str">
        <f aca="false">IF($A184="","",'Dự án'!$B184)</f>
        <v/>
      </c>
      <c r="C184" s="37" t="str">
        <f aca="false">IF($A184="","",'Dự án'!$C184)</f>
        <v/>
      </c>
      <c r="D184" s="37" t="str">
        <f aca="false">IF($A184="","",'Dự án'!$H184)</f>
        <v/>
      </c>
      <c r="E184" s="38" t="str">
        <f aca="false">IF($A184="","",'Dự án'!$G184)</f>
        <v/>
      </c>
      <c r="F184" s="38" t="str">
        <f aca="false">IF($A184="","",COUNTIFS('Check giá'!$C$4:$C$203,$A184))</f>
        <v/>
      </c>
      <c r="G184" s="38" t="str">
        <f aca="false">IF($A184="","",COUNTIFS('Check giá'!$C$4:$C$203,$A184,'Check giá'!$O$4:$O$203,"Đang xử lý")+COUNTIFS('Check giá'!$C$4:$C$203,$A184,'Check giá'!$O$4:$O$203,"Quá hạn chưa trả"))</f>
        <v/>
      </c>
      <c r="H184" s="38" t="str">
        <f aca="false">IF($A184="","",SUMIFS('Check giá'!$J$4:$J$203,'Check giá'!$C$4:$C$203,$A184))</f>
        <v/>
      </c>
      <c r="I184" s="38" t="str">
        <f aca="false">IF($A184="","",COUNTIFS(PR!$D$4:$D$203,$A184))</f>
        <v/>
      </c>
      <c r="J184" s="38" t="str">
        <f aca="false">IF($A184="","",SUMIFS(PR!$L$4:$L$203,PR!$D$4:$D$203,$A184))</f>
        <v/>
      </c>
      <c r="K184" s="38" t="str">
        <f aca="false">IF($A184="","",COUNTIFS(PO!$D$4:$D$203,$A184))</f>
        <v/>
      </c>
      <c r="L184" s="38" t="str">
        <f aca="false">IF($A184="","",SUMIFS(PO!$L$4:$L$203,PO!$D$4:$D$203,$A184))</f>
        <v/>
      </c>
      <c r="M184" s="38" t="str">
        <f aca="false">IF($A184="","",SUMIFS(PO!$N$4:$N$203,PO!$D$4:$D$203,$A184))</f>
        <v/>
      </c>
      <c r="N184" s="39" t="str">
        <f aca="false">IF($A184="","",IFERROR($L184/$E184,""))</f>
        <v/>
      </c>
      <c r="O184" s="38" t="str">
        <f aca="false">IF($A184="","",IFERROR($E184-$L184,""))</f>
        <v/>
      </c>
      <c r="P184" s="38" t="str">
        <f aca="false">IF($A184="","",COUNTIFS(PO!$D$4:$D$203,$A184,PO!$S$4:$S$203,"Đúng hạn")+COUNTIFS(PO!$D$4:$D$203,$A184,PO!$S$4:$S$203,"Giao trễ")+COUNTIFS(PO!$D$4:$D$203,$A184,PO!$S$4:$S$203,"Trễ hạn"))</f>
        <v/>
      </c>
      <c r="Q184" s="38" t="str">
        <f aca="false">IF($A184="","",COUNTIFS(PO!$D$4:$D$203,$A184,PO!$S$4:$S$203,"Đúng hạn"))</f>
        <v/>
      </c>
      <c r="R184" s="39" t="str">
        <f aca="false">IF($A184="","",IFERROR($Q184/$P184,""))</f>
        <v/>
      </c>
      <c r="S184" s="38" t="str">
        <f aca="false">IF($A184="","",SUMIFS('Thanh toán'!$H$4:$H$203,'Thanh toán'!$D$4:$D$203,$A184))</f>
        <v/>
      </c>
      <c r="T184" s="38" t="str">
        <f aca="false">IF($A184="","",SUMIFS('Công nợ'!$I$4:$I$203,'Công nợ'!$B$4:$B$203,$A184))</f>
        <v/>
      </c>
      <c r="U184" s="38" t="str">
        <f aca="false">IF($A184="","",SUMIFS('Công nợ'!$I$4:$I$203,'Công nợ'!$B$4:$B$203,$A184,'Công nợ'!$K$4:$K$203,"&gt;0"))</f>
        <v/>
      </c>
    </row>
    <row r="185" customFormat="false" ht="15" hidden="false" customHeight="false" outlineLevel="0" collapsed="false">
      <c r="A185" s="37" t="str">
        <f aca="false">IF('Dự án'!$A185="","",'Dự án'!$A185)</f>
        <v/>
      </c>
      <c r="B185" s="37" t="str">
        <f aca="false">IF($A185="","",'Dự án'!$B185)</f>
        <v/>
      </c>
      <c r="C185" s="37" t="str">
        <f aca="false">IF($A185="","",'Dự án'!$C185)</f>
        <v/>
      </c>
      <c r="D185" s="37" t="str">
        <f aca="false">IF($A185="","",'Dự án'!$H185)</f>
        <v/>
      </c>
      <c r="E185" s="38" t="str">
        <f aca="false">IF($A185="","",'Dự án'!$G185)</f>
        <v/>
      </c>
      <c r="F185" s="38" t="str">
        <f aca="false">IF($A185="","",COUNTIFS('Check giá'!$C$4:$C$203,$A185))</f>
        <v/>
      </c>
      <c r="G185" s="38" t="str">
        <f aca="false">IF($A185="","",COUNTIFS('Check giá'!$C$4:$C$203,$A185,'Check giá'!$O$4:$O$203,"Đang xử lý")+COUNTIFS('Check giá'!$C$4:$C$203,$A185,'Check giá'!$O$4:$O$203,"Quá hạn chưa trả"))</f>
        <v/>
      </c>
      <c r="H185" s="38" t="str">
        <f aca="false">IF($A185="","",SUMIFS('Check giá'!$J$4:$J$203,'Check giá'!$C$4:$C$203,$A185))</f>
        <v/>
      </c>
      <c r="I185" s="38" t="str">
        <f aca="false">IF($A185="","",COUNTIFS(PR!$D$4:$D$203,$A185))</f>
        <v/>
      </c>
      <c r="J185" s="38" t="str">
        <f aca="false">IF($A185="","",SUMIFS(PR!$L$4:$L$203,PR!$D$4:$D$203,$A185))</f>
        <v/>
      </c>
      <c r="K185" s="38" t="str">
        <f aca="false">IF($A185="","",COUNTIFS(PO!$D$4:$D$203,$A185))</f>
        <v/>
      </c>
      <c r="L185" s="38" t="str">
        <f aca="false">IF($A185="","",SUMIFS(PO!$L$4:$L$203,PO!$D$4:$D$203,$A185))</f>
        <v/>
      </c>
      <c r="M185" s="38" t="str">
        <f aca="false">IF($A185="","",SUMIFS(PO!$N$4:$N$203,PO!$D$4:$D$203,$A185))</f>
        <v/>
      </c>
      <c r="N185" s="39" t="str">
        <f aca="false">IF($A185="","",IFERROR($L185/$E185,""))</f>
        <v/>
      </c>
      <c r="O185" s="38" t="str">
        <f aca="false">IF($A185="","",IFERROR($E185-$L185,""))</f>
        <v/>
      </c>
      <c r="P185" s="38" t="str">
        <f aca="false">IF($A185="","",COUNTIFS(PO!$D$4:$D$203,$A185,PO!$S$4:$S$203,"Đúng hạn")+COUNTIFS(PO!$D$4:$D$203,$A185,PO!$S$4:$S$203,"Giao trễ")+COUNTIFS(PO!$D$4:$D$203,$A185,PO!$S$4:$S$203,"Trễ hạn"))</f>
        <v/>
      </c>
      <c r="Q185" s="38" t="str">
        <f aca="false">IF($A185="","",COUNTIFS(PO!$D$4:$D$203,$A185,PO!$S$4:$S$203,"Đúng hạn"))</f>
        <v/>
      </c>
      <c r="R185" s="39" t="str">
        <f aca="false">IF($A185="","",IFERROR($Q185/$P185,""))</f>
        <v/>
      </c>
      <c r="S185" s="38" t="str">
        <f aca="false">IF($A185="","",SUMIFS('Thanh toán'!$H$4:$H$203,'Thanh toán'!$D$4:$D$203,$A185))</f>
        <v/>
      </c>
      <c r="T185" s="38" t="str">
        <f aca="false">IF($A185="","",SUMIFS('Công nợ'!$I$4:$I$203,'Công nợ'!$B$4:$B$203,$A185))</f>
        <v/>
      </c>
      <c r="U185" s="38" t="str">
        <f aca="false">IF($A185="","",SUMIFS('Công nợ'!$I$4:$I$203,'Công nợ'!$B$4:$B$203,$A185,'Công nợ'!$K$4:$K$203,"&gt;0"))</f>
        <v/>
      </c>
    </row>
    <row r="186" customFormat="false" ht="15" hidden="false" customHeight="false" outlineLevel="0" collapsed="false">
      <c r="A186" s="37" t="str">
        <f aca="false">IF('Dự án'!$A186="","",'Dự án'!$A186)</f>
        <v/>
      </c>
      <c r="B186" s="37" t="str">
        <f aca="false">IF($A186="","",'Dự án'!$B186)</f>
        <v/>
      </c>
      <c r="C186" s="37" t="str">
        <f aca="false">IF($A186="","",'Dự án'!$C186)</f>
        <v/>
      </c>
      <c r="D186" s="37" t="str">
        <f aca="false">IF($A186="","",'Dự án'!$H186)</f>
        <v/>
      </c>
      <c r="E186" s="38" t="str">
        <f aca="false">IF($A186="","",'Dự án'!$G186)</f>
        <v/>
      </c>
      <c r="F186" s="38" t="str">
        <f aca="false">IF($A186="","",COUNTIFS('Check giá'!$C$4:$C$203,$A186))</f>
        <v/>
      </c>
      <c r="G186" s="38" t="str">
        <f aca="false">IF($A186="","",COUNTIFS('Check giá'!$C$4:$C$203,$A186,'Check giá'!$O$4:$O$203,"Đang xử lý")+COUNTIFS('Check giá'!$C$4:$C$203,$A186,'Check giá'!$O$4:$O$203,"Quá hạn chưa trả"))</f>
        <v/>
      </c>
      <c r="H186" s="38" t="str">
        <f aca="false">IF($A186="","",SUMIFS('Check giá'!$J$4:$J$203,'Check giá'!$C$4:$C$203,$A186))</f>
        <v/>
      </c>
      <c r="I186" s="38" t="str">
        <f aca="false">IF($A186="","",COUNTIFS(PR!$D$4:$D$203,$A186))</f>
        <v/>
      </c>
      <c r="J186" s="38" t="str">
        <f aca="false">IF($A186="","",SUMIFS(PR!$L$4:$L$203,PR!$D$4:$D$203,$A186))</f>
        <v/>
      </c>
      <c r="K186" s="38" t="str">
        <f aca="false">IF($A186="","",COUNTIFS(PO!$D$4:$D$203,$A186))</f>
        <v/>
      </c>
      <c r="L186" s="38" t="str">
        <f aca="false">IF($A186="","",SUMIFS(PO!$L$4:$L$203,PO!$D$4:$D$203,$A186))</f>
        <v/>
      </c>
      <c r="M186" s="38" t="str">
        <f aca="false">IF($A186="","",SUMIFS(PO!$N$4:$N$203,PO!$D$4:$D$203,$A186))</f>
        <v/>
      </c>
      <c r="N186" s="39" t="str">
        <f aca="false">IF($A186="","",IFERROR($L186/$E186,""))</f>
        <v/>
      </c>
      <c r="O186" s="38" t="str">
        <f aca="false">IF($A186="","",IFERROR($E186-$L186,""))</f>
        <v/>
      </c>
      <c r="P186" s="38" t="str">
        <f aca="false">IF($A186="","",COUNTIFS(PO!$D$4:$D$203,$A186,PO!$S$4:$S$203,"Đúng hạn")+COUNTIFS(PO!$D$4:$D$203,$A186,PO!$S$4:$S$203,"Giao trễ")+COUNTIFS(PO!$D$4:$D$203,$A186,PO!$S$4:$S$203,"Trễ hạn"))</f>
        <v/>
      </c>
      <c r="Q186" s="38" t="str">
        <f aca="false">IF($A186="","",COUNTIFS(PO!$D$4:$D$203,$A186,PO!$S$4:$S$203,"Đúng hạn"))</f>
        <v/>
      </c>
      <c r="R186" s="39" t="str">
        <f aca="false">IF($A186="","",IFERROR($Q186/$P186,""))</f>
        <v/>
      </c>
      <c r="S186" s="38" t="str">
        <f aca="false">IF($A186="","",SUMIFS('Thanh toán'!$H$4:$H$203,'Thanh toán'!$D$4:$D$203,$A186))</f>
        <v/>
      </c>
      <c r="T186" s="38" t="str">
        <f aca="false">IF($A186="","",SUMIFS('Công nợ'!$I$4:$I$203,'Công nợ'!$B$4:$B$203,$A186))</f>
        <v/>
      </c>
      <c r="U186" s="38" t="str">
        <f aca="false">IF($A186="","",SUMIFS('Công nợ'!$I$4:$I$203,'Công nợ'!$B$4:$B$203,$A186,'Công nợ'!$K$4:$K$203,"&gt;0"))</f>
        <v/>
      </c>
    </row>
    <row r="187" customFormat="false" ht="15" hidden="false" customHeight="false" outlineLevel="0" collapsed="false">
      <c r="A187" s="37" t="str">
        <f aca="false">IF('Dự án'!$A187="","",'Dự án'!$A187)</f>
        <v/>
      </c>
      <c r="B187" s="37" t="str">
        <f aca="false">IF($A187="","",'Dự án'!$B187)</f>
        <v/>
      </c>
      <c r="C187" s="37" t="str">
        <f aca="false">IF($A187="","",'Dự án'!$C187)</f>
        <v/>
      </c>
      <c r="D187" s="37" t="str">
        <f aca="false">IF($A187="","",'Dự án'!$H187)</f>
        <v/>
      </c>
      <c r="E187" s="38" t="str">
        <f aca="false">IF($A187="","",'Dự án'!$G187)</f>
        <v/>
      </c>
      <c r="F187" s="38" t="str">
        <f aca="false">IF($A187="","",COUNTIFS('Check giá'!$C$4:$C$203,$A187))</f>
        <v/>
      </c>
      <c r="G187" s="38" t="str">
        <f aca="false">IF($A187="","",COUNTIFS('Check giá'!$C$4:$C$203,$A187,'Check giá'!$O$4:$O$203,"Đang xử lý")+COUNTIFS('Check giá'!$C$4:$C$203,$A187,'Check giá'!$O$4:$O$203,"Quá hạn chưa trả"))</f>
        <v/>
      </c>
      <c r="H187" s="38" t="str">
        <f aca="false">IF($A187="","",SUMIFS('Check giá'!$J$4:$J$203,'Check giá'!$C$4:$C$203,$A187))</f>
        <v/>
      </c>
      <c r="I187" s="38" t="str">
        <f aca="false">IF($A187="","",COUNTIFS(PR!$D$4:$D$203,$A187))</f>
        <v/>
      </c>
      <c r="J187" s="38" t="str">
        <f aca="false">IF($A187="","",SUMIFS(PR!$L$4:$L$203,PR!$D$4:$D$203,$A187))</f>
        <v/>
      </c>
      <c r="K187" s="38" t="str">
        <f aca="false">IF($A187="","",COUNTIFS(PO!$D$4:$D$203,$A187))</f>
        <v/>
      </c>
      <c r="L187" s="38" t="str">
        <f aca="false">IF($A187="","",SUMIFS(PO!$L$4:$L$203,PO!$D$4:$D$203,$A187))</f>
        <v/>
      </c>
      <c r="M187" s="38" t="str">
        <f aca="false">IF($A187="","",SUMIFS(PO!$N$4:$N$203,PO!$D$4:$D$203,$A187))</f>
        <v/>
      </c>
      <c r="N187" s="39" t="str">
        <f aca="false">IF($A187="","",IFERROR($L187/$E187,""))</f>
        <v/>
      </c>
      <c r="O187" s="38" t="str">
        <f aca="false">IF($A187="","",IFERROR($E187-$L187,""))</f>
        <v/>
      </c>
      <c r="P187" s="38" t="str">
        <f aca="false">IF($A187="","",COUNTIFS(PO!$D$4:$D$203,$A187,PO!$S$4:$S$203,"Đúng hạn")+COUNTIFS(PO!$D$4:$D$203,$A187,PO!$S$4:$S$203,"Giao trễ")+COUNTIFS(PO!$D$4:$D$203,$A187,PO!$S$4:$S$203,"Trễ hạn"))</f>
        <v/>
      </c>
      <c r="Q187" s="38" t="str">
        <f aca="false">IF($A187="","",COUNTIFS(PO!$D$4:$D$203,$A187,PO!$S$4:$S$203,"Đúng hạn"))</f>
        <v/>
      </c>
      <c r="R187" s="39" t="str">
        <f aca="false">IF($A187="","",IFERROR($Q187/$P187,""))</f>
        <v/>
      </c>
      <c r="S187" s="38" t="str">
        <f aca="false">IF($A187="","",SUMIFS('Thanh toán'!$H$4:$H$203,'Thanh toán'!$D$4:$D$203,$A187))</f>
        <v/>
      </c>
      <c r="T187" s="38" t="str">
        <f aca="false">IF($A187="","",SUMIFS('Công nợ'!$I$4:$I$203,'Công nợ'!$B$4:$B$203,$A187))</f>
        <v/>
      </c>
      <c r="U187" s="38" t="str">
        <f aca="false">IF($A187="","",SUMIFS('Công nợ'!$I$4:$I$203,'Công nợ'!$B$4:$B$203,$A187,'Công nợ'!$K$4:$K$203,"&gt;0"))</f>
        <v/>
      </c>
    </row>
    <row r="188" customFormat="false" ht="15" hidden="false" customHeight="false" outlineLevel="0" collapsed="false">
      <c r="A188" s="37" t="str">
        <f aca="false">IF('Dự án'!$A188="","",'Dự án'!$A188)</f>
        <v/>
      </c>
      <c r="B188" s="37" t="str">
        <f aca="false">IF($A188="","",'Dự án'!$B188)</f>
        <v/>
      </c>
      <c r="C188" s="37" t="str">
        <f aca="false">IF($A188="","",'Dự án'!$C188)</f>
        <v/>
      </c>
      <c r="D188" s="37" t="str">
        <f aca="false">IF($A188="","",'Dự án'!$H188)</f>
        <v/>
      </c>
      <c r="E188" s="38" t="str">
        <f aca="false">IF($A188="","",'Dự án'!$G188)</f>
        <v/>
      </c>
      <c r="F188" s="38" t="str">
        <f aca="false">IF($A188="","",COUNTIFS('Check giá'!$C$4:$C$203,$A188))</f>
        <v/>
      </c>
      <c r="G188" s="38" t="str">
        <f aca="false">IF($A188="","",COUNTIFS('Check giá'!$C$4:$C$203,$A188,'Check giá'!$O$4:$O$203,"Đang xử lý")+COUNTIFS('Check giá'!$C$4:$C$203,$A188,'Check giá'!$O$4:$O$203,"Quá hạn chưa trả"))</f>
        <v/>
      </c>
      <c r="H188" s="38" t="str">
        <f aca="false">IF($A188="","",SUMIFS('Check giá'!$J$4:$J$203,'Check giá'!$C$4:$C$203,$A188))</f>
        <v/>
      </c>
      <c r="I188" s="38" t="str">
        <f aca="false">IF($A188="","",COUNTIFS(PR!$D$4:$D$203,$A188))</f>
        <v/>
      </c>
      <c r="J188" s="38" t="str">
        <f aca="false">IF($A188="","",SUMIFS(PR!$L$4:$L$203,PR!$D$4:$D$203,$A188))</f>
        <v/>
      </c>
      <c r="K188" s="38" t="str">
        <f aca="false">IF($A188="","",COUNTIFS(PO!$D$4:$D$203,$A188))</f>
        <v/>
      </c>
      <c r="L188" s="38" t="str">
        <f aca="false">IF($A188="","",SUMIFS(PO!$L$4:$L$203,PO!$D$4:$D$203,$A188))</f>
        <v/>
      </c>
      <c r="M188" s="38" t="str">
        <f aca="false">IF($A188="","",SUMIFS(PO!$N$4:$N$203,PO!$D$4:$D$203,$A188))</f>
        <v/>
      </c>
      <c r="N188" s="39" t="str">
        <f aca="false">IF($A188="","",IFERROR($L188/$E188,""))</f>
        <v/>
      </c>
      <c r="O188" s="38" t="str">
        <f aca="false">IF($A188="","",IFERROR($E188-$L188,""))</f>
        <v/>
      </c>
      <c r="P188" s="38" t="str">
        <f aca="false">IF($A188="","",COUNTIFS(PO!$D$4:$D$203,$A188,PO!$S$4:$S$203,"Đúng hạn")+COUNTIFS(PO!$D$4:$D$203,$A188,PO!$S$4:$S$203,"Giao trễ")+COUNTIFS(PO!$D$4:$D$203,$A188,PO!$S$4:$S$203,"Trễ hạn"))</f>
        <v/>
      </c>
      <c r="Q188" s="38" t="str">
        <f aca="false">IF($A188="","",COUNTIFS(PO!$D$4:$D$203,$A188,PO!$S$4:$S$203,"Đúng hạn"))</f>
        <v/>
      </c>
      <c r="R188" s="39" t="str">
        <f aca="false">IF($A188="","",IFERROR($Q188/$P188,""))</f>
        <v/>
      </c>
      <c r="S188" s="38" t="str">
        <f aca="false">IF($A188="","",SUMIFS('Thanh toán'!$H$4:$H$203,'Thanh toán'!$D$4:$D$203,$A188))</f>
        <v/>
      </c>
      <c r="T188" s="38" t="str">
        <f aca="false">IF($A188="","",SUMIFS('Công nợ'!$I$4:$I$203,'Công nợ'!$B$4:$B$203,$A188))</f>
        <v/>
      </c>
      <c r="U188" s="38" t="str">
        <f aca="false">IF($A188="","",SUMIFS('Công nợ'!$I$4:$I$203,'Công nợ'!$B$4:$B$203,$A188,'Công nợ'!$K$4:$K$203,"&gt;0"))</f>
        <v/>
      </c>
    </row>
    <row r="189" customFormat="false" ht="15" hidden="false" customHeight="false" outlineLevel="0" collapsed="false">
      <c r="A189" s="37" t="str">
        <f aca="false">IF('Dự án'!$A189="","",'Dự án'!$A189)</f>
        <v/>
      </c>
      <c r="B189" s="37" t="str">
        <f aca="false">IF($A189="","",'Dự án'!$B189)</f>
        <v/>
      </c>
      <c r="C189" s="37" t="str">
        <f aca="false">IF($A189="","",'Dự án'!$C189)</f>
        <v/>
      </c>
      <c r="D189" s="37" t="str">
        <f aca="false">IF($A189="","",'Dự án'!$H189)</f>
        <v/>
      </c>
      <c r="E189" s="38" t="str">
        <f aca="false">IF($A189="","",'Dự án'!$G189)</f>
        <v/>
      </c>
      <c r="F189" s="38" t="str">
        <f aca="false">IF($A189="","",COUNTIFS('Check giá'!$C$4:$C$203,$A189))</f>
        <v/>
      </c>
      <c r="G189" s="38" t="str">
        <f aca="false">IF($A189="","",COUNTIFS('Check giá'!$C$4:$C$203,$A189,'Check giá'!$O$4:$O$203,"Đang xử lý")+COUNTIFS('Check giá'!$C$4:$C$203,$A189,'Check giá'!$O$4:$O$203,"Quá hạn chưa trả"))</f>
        <v/>
      </c>
      <c r="H189" s="38" t="str">
        <f aca="false">IF($A189="","",SUMIFS('Check giá'!$J$4:$J$203,'Check giá'!$C$4:$C$203,$A189))</f>
        <v/>
      </c>
      <c r="I189" s="38" t="str">
        <f aca="false">IF($A189="","",COUNTIFS(PR!$D$4:$D$203,$A189))</f>
        <v/>
      </c>
      <c r="J189" s="38" t="str">
        <f aca="false">IF($A189="","",SUMIFS(PR!$L$4:$L$203,PR!$D$4:$D$203,$A189))</f>
        <v/>
      </c>
      <c r="K189" s="38" t="str">
        <f aca="false">IF($A189="","",COUNTIFS(PO!$D$4:$D$203,$A189))</f>
        <v/>
      </c>
      <c r="L189" s="38" t="str">
        <f aca="false">IF($A189="","",SUMIFS(PO!$L$4:$L$203,PO!$D$4:$D$203,$A189))</f>
        <v/>
      </c>
      <c r="M189" s="38" t="str">
        <f aca="false">IF($A189="","",SUMIFS(PO!$N$4:$N$203,PO!$D$4:$D$203,$A189))</f>
        <v/>
      </c>
      <c r="N189" s="39" t="str">
        <f aca="false">IF($A189="","",IFERROR($L189/$E189,""))</f>
        <v/>
      </c>
      <c r="O189" s="38" t="str">
        <f aca="false">IF($A189="","",IFERROR($E189-$L189,""))</f>
        <v/>
      </c>
      <c r="P189" s="38" t="str">
        <f aca="false">IF($A189="","",COUNTIFS(PO!$D$4:$D$203,$A189,PO!$S$4:$S$203,"Đúng hạn")+COUNTIFS(PO!$D$4:$D$203,$A189,PO!$S$4:$S$203,"Giao trễ")+COUNTIFS(PO!$D$4:$D$203,$A189,PO!$S$4:$S$203,"Trễ hạn"))</f>
        <v/>
      </c>
      <c r="Q189" s="38" t="str">
        <f aca="false">IF($A189="","",COUNTIFS(PO!$D$4:$D$203,$A189,PO!$S$4:$S$203,"Đúng hạn"))</f>
        <v/>
      </c>
      <c r="R189" s="39" t="str">
        <f aca="false">IF($A189="","",IFERROR($Q189/$P189,""))</f>
        <v/>
      </c>
      <c r="S189" s="38" t="str">
        <f aca="false">IF($A189="","",SUMIFS('Thanh toán'!$H$4:$H$203,'Thanh toán'!$D$4:$D$203,$A189))</f>
        <v/>
      </c>
      <c r="T189" s="38" t="str">
        <f aca="false">IF($A189="","",SUMIFS('Công nợ'!$I$4:$I$203,'Công nợ'!$B$4:$B$203,$A189))</f>
        <v/>
      </c>
      <c r="U189" s="38" t="str">
        <f aca="false">IF($A189="","",SUMIFS('Công nợ'!$I$4:$I$203,'Công nợ'!$B$4:$B$203,$A189,'Công nợ'!$K$4:$K$203,"&gt;0"))</f>
        <v/>
      </c>
    </row>
    <row r="190" customFormat="false" ht="15" hidden="false" customHeight="false" outlineLevel="0" collapsed="false">
      <c r="A190" s="37" t="str">
        <f aca="false">IF('Dự án'!$A190="","",'Dự án'!$A190)</f>
        <v/>
      </c>
      <c r="B190" s="37" t="str">
        <f aca="false">IF($A190="","",'Dự án'!$B190)</f>
        <v/>
      </c>
      <c r="C190" s="37" t="str">
        <f aca="false">IF($A190="","",'Dự án'!$C190)</f>
        <v/>
      </c>
      <c r="D190" s="37" t="str">
        <f aca="false">IF($A190="","",'Dự án'!$H190)</f>
        <v/>
      </c>
      <c r="E190" s="38" t="str">
        <f aca="false">IF($A190="","",'Dự án'!$G190)</f>
        <v/>
      </c>
      <c r="F190" s="38" t="str">
        <f aca="false">IF($A190="","",COUNTIFS('Check giá'!$C$4:$C$203,$A190))</f>
        <v/>
      </c>
      <c r="G190" s="38" t="str">
        <f aca="false">IF($A190="","",COUNTIFS('Check giá'!$C$4:$C$203,$A190,'Check giá'!$O$4:$O$203,"Đang xử lý")+COUNTIFS('Check giá'!$C$4:$C$203,$A190,'Check giá'!$O$4:$O$203,"Quá hạn chưa trả"))</f>
        <v/>
      </c>
      <c r="H190" s="38" t="str">
        <f aca="false">IF($A190="","",SUMIFS('Check giá'!$J$4:$J$203,'Check giá'!$C$4:$C$203,$A190))</f>
        <v/>
      </c>
      <c r="I190" s="38" t="str">
        <f aca="false">IF($A190="","",COUNTIFS(PR!$D$4:$D$203,$A190))</f>
        <v/>
      </c>
      <c r="J190" s="38" t="str">
        <f aca="false">IF($A190="","",SUMIFS(PR!$L$4:$L$203,PR!$D$4:$D$203,$A190))</f>
        <v/>
      </c>
      <c r="K190" s="38" t="str">
        <f aca="false">IF($A190="","",COUNTIFS(PO!$D$4:$D$203,$A190))</f>
        <v/>
      </c>
      <c r="L190" s="38" t="str">
        <f aca="false">IF($A190="","",SUMIFS(PO!$L$4:$L$203,PO!$D$4:$D$203,$A190))</f>
        <v/>
      </c>
      <c r="M190" s="38" t="str">
        <f aca="false">IF($A190="","",SUMIFS(PO!$N$4:$N$203,PO!$D$4:$D$203,$A190))</f>
        <v/>
      </c>
      <c r="N190" s="39" t="str">
        <f aca="false">IF($A190="","",IFERROR($L190/$E190,""))</f>
        <v/>
      </c>
      <c r="O190" s="38" t="str">
        <f aca="false">IF($A190="","",IFERROR($E190-$L190,""))</f>
        <v/>
      </c>
      <c r="P190" s="38" t="str">
        <f aca="false">IF($A190="","",COUNTIFS(PO!$D$4:$D$203,$A190,PO!$S$4:$S$203,"Đúng hạn")+COUNTIFS(PO!$D$4:$D$203,$A190,PO!$S$4:$S$203,"Giao trễ")+COUNTIFS(PO!$D$4:$D$203,$A190,PO!$S$4:$S$203,"Trễ hạn"))</f>
        <v/>
      </c>
      <c r="Q190" s="38" t="str">
        <f aca="false">IF($A190="","",COUNTIFS(PO!$D$4:$D$203,$A190,PO!$S$4:$S$203,"Đúng hạn"))</f>
        <v/>
      </c>
      <c r="R190" s="39" t="str">
        <f aca="false">IF($A190="","",IFERROR($Q190/$P190,""))</f>
        <v/>
      </c>
      <c r="S190" s="38" t="str">
        <f aca="false">IF($A190="","",SUMIFS('Thanh toán'!$H$4:$H$203,'Thanh toán'!$D$4:$D$203,$A190))</f>
        <v/>
      </c>
      <c r="T190" s="38" t="str">
        <f aca="false">IF($A190="","",SUMIFS('Công nợ'!$I$4:$I$203,'Công nợ'!$B$4:$B$203,$A190))</f>
        <v/>
      </c>
      <c r="U190" s="38" t="str">
        <f aca="false">IF($A190="","",SUMIFS('Công nợ'!$I$4:$I$203,'Công nợ'!$B$4:$B$203,$A190,'Công nợ'!$K$4:$K$203,"&gt;0"))</f>
        <v/>
      </c>
    </row>
    <row r="191" customFormat="false" ht="15" hidden="false" customHeight="false" outlineLevel="0" collapsed="false">
      <c r="A191" s="37" t="str">
        <f aca="false">IF('Dự án'!$A191="","",'Dự án'!$A191)</f>
        <v/>
      </c>
      <c r="B191" s="37" t="str">
        <f aca="false">IF($A191="","",'Dự án'!$B191)</f>
        <v/>
      </c>
      <c r="C191" s="37" t="str">
        <f aca="false">IF($A191="","",'Dự án'!$C191)</f>
        <v/>
      </c>
      <c r="D191" s="37" t="str">
        <f aca="false">IF($A191="","",'Dự án'!$H191)</f>
        <v/>
      </c>
      <c r="E191" s="38" t="str">
        <f aca="false">IF($A191="","",'Dự án'!$G191)</f>
        <v/>
      </c>
      <c r="F191" s="38" t="str">
        <f aca="false">IF($A191="","",COUNTIFS('Check giá'!$C$4:$C$203,$A191))</f>
        <v/>
      </c>
      <c r="G191" s="38" t="str">
        <f aca="false">IF($A191="","",COUNTIFS('Check giá'!$C$4:$C$203,$A191,'Check giá'!$O$4:$O$203,"Đang xử lý")+COUNTIFS('Check giá'!$C$4:$C$203,$A191,'Check giá'!$O$4:$O$203,"Quá hạn chưa trả"))</f>
        <v/>
      </c>
      <c r="H191" s="38" t="str">
        <f aca="false">IF($A191="","",SUMIFS('Check giá'!$J$4:$J$203,'Check giá'!$C$4:$C$203,$A191))</f>
        <v/>
      </c>
      <c r="I191" s="38" t="str">
        <f aca="false">IF($A191="","",COUNTIFS(PR!$D$4:$D$203,$A191))</f>
        <v/>
      </c>
      <c r="J191" s="38" t="str">
        <f aca="false">IF($A191="","",SUMIFS(PR!$L$4:$L$203,PR!$D$4:$D$203,$A191))</f>
        <v/>
      </c>
      <c r="K191" s="38" t="str">
        <f aca="false">IF($A191="","",COUNTIFS(PO!$D$4:$D$203,$A191))</f>
        <v/>
      </c>
      <c r="L191" s="38" t="str">
        <f aca="false">IF($A191="","",SUMIFS(PO!$L$4:$L$203,PO!$D$4:$D$203,$A191))</f>
        <v/>
      </c>
      <c r="M191" s="38" t="str">
        <f aca="false">IF($A191="","",SUMIFS(PO!$N$4:$N$203,PO!$D$4:$D$203,$A191))</f>
        <v/>
      </c>
      <c r="N191" s="39" t="str">
        <f aca="false">IF($A191="","",IFERROR($L191/$E191,""))</f>
        <v/>
      </c>
      <c r="O191" s="38" t="str">
        <f aca="false">IF($A191="","",IFERROR($E191-$L191,""))</f>
        <v/>
      </c>
      <c r="P191" s="38" t="str">
        <f aca="false">IF($A191="","",COUNTIFS(PO!$D$4:$D$203,$A191,PO!$S$4:$S$203,"Đúng hạn")+COUNTIFS(PO!$D$4:$D$203,$A191,PO!$S$4:$S$203,"Giao trễ")+COUNTIFS(PO!$D$4:$D$203,$A191,PO!$S$4:$S$203,"Trễ hạn"))</f>
        <v/>
      </c>
      <c r="Q191" s="38" t="str">
        <f aca="false">IF($A191="","",COUNTIFS(PO!$D$4:$D$203,$A191,PO!$S$4:$S$203,"Đúng hạn"))</f>
        <v/>
      </c>
      <c r="R191" s="39" t="str">
        <f aca="false">IF($A191="","",IFERROR($Q191/$P191,""))</f>
        <v/>
      </c>
      <c r="S191" s="38" t="str">
        <f aca="false">IF($A191="","",SUMIFS('Thanh toán'!$H$4:$H$203,'Thanh toán'!$D$4:$D$203,$A191))</f>
        <v/>
      </c>
      <c r="T191" s="38" t="str">
        <f aca="false">IF($A191="","",SUMIFS('Công nợ'!$I$4:$I$203,'Công nợ'!$B$4:$B$203,$A191))</f>
        <v/>
      </c>
      <c r="U191" s="38" t="str">
        <f aca="false">IF($A191="","",SUMIFS('Công nợ'!$I$4:$I$203,'Công nợ'!$B$4:$B$203,$A191,'Công nợ'!$K$4:$K$203,"&gt;0"))</f>
        <v/>
      </c>
    </row>
    <row r="192" customFormat="false" ht="15" hidden="false" customHeight="false" outlineLevel="0" collapsed="false">
      <c r="A192" s="37" t="str">
        <f aca="false">IF('Dự án'!$A192="","",'Dự án'!$A192)</f>
        <v/>
      </c>
      <c r="B192" s="37" t="str">
        <f aca="false">IF($A192="","",'Dự án'!$B192)</f>
        <v/>
      </c>
      <c r="C192" s="37" t="str">
        <f aca="false">IF($A192="","",'Dự án'!$C192)</f>
        <v/>
      </c>
      <c r="D192" s="37" t="str">
        <f aca="false">IF($A192="","",'Dự án'!$H192)</f>
        <v/>
      </c>
      <c r="E192" s="38" t="str">
        <f aca="false">IF($A192="","",'Dự án'!$G192)</f>
        <v/>
      </c>
      <c r="F192" s="38" t="str">
        <f aca="false">IF($A192="","",COUNTIFS('Check giá'!$C$4:$C$203,$A192))</f>
        <v/>
      </c>
      <c r="G192" s="38" t="str">
        <f aca="false">IF($A192="","",COUNTIFS('Check giá'!$C$4:$C$203,$A192,'Check giá'!$O$4:$O$203,"Đang xử lý")+COUNTIFS('Check giá'!$C$4:$C$203,$A192,'Check giá'!$O$4:$O$203,"Quá hạn chưa trả"))</f>
        <v/>
      </c>
      <c r="H192" s="38" t="str">
        <f aca="false">IF($A192="","",SUMIFS('Check giá'!$J$4:$J$203,'Check giá'!$C$4:$C$203,$A192))</f>
        <v/>
      </c>
      <c r="I192" s="38" t="str">
        <f aca="false">IF($A192="","",COUNTIFS(PR!$D$4:$D$203,$A192))</f>
        <v/>
      </c>
      <c r="J192" s="38" t="str">
        <f aca="false">IF($A192="","",SUMIFS(PR!$L$4:$L$203,PR!$D$4:$D$203,$A192))</f>
        <v/>
      </c>
      <c r="K192" s="38" t="str">
        <f aca="false">IF($A192="","",COUNTIFS(PO!$D$4:$D$203,$A192))</f>
        <v/>
      </c>
      <c r="L192" s="38" t="str">
        <f aca="false">IF($A192="","",SUMIFS(PO!$L$4:$L$203,PO!$D$4:$D$203,$A192))</f>
        <v/>
      </c>
      <c r="M192" s="38" t="str">
        <f aca="false">IF($A192="","",SUMIFS(PO!$N$4:$N$203,PO!$D$4:$D$203,$A192))</f>
        <v/>
      </c>
      <c r="N192" s="39" t="str">
        <f aca="false">IF($A192="","",IFERROR($L192/$E192,""))</f>
        <v/>
      </c>
      <c r="O192" s="38" t="str">
        <f aca="false">IF($A192="","",IFERROR($E192-$L192,""))</f>
        <v/>
      </c>
      <c r="P192" s="38" t="str">
        <f aca="false">IF($A192="","",COUNTIFS(PO!$D$4:$D$203,$A192,PO!$S$4:$S$203,"Đúng hạn")+COUNTIFS(PO!$D$4:$D$203,$A192,PO!$S$4:$S$203,"Giao trễ")+COUNTIFS(PO!$D$4:$D$203,$A192,PO!$S$4:$S$203,"Trễ hạn"))</f>
        <v/>
      </c>
      <c r="Q192" s="38" t="str">
        <f aca="false">IF($A192="","",COUNTIFS(PO!$D$4:$D$203,$A192,PO!$S$4:$S$203,"Đúng hạn"))</f>
        <v/>
      </c>
      <c r="R192" s="39" t="str">
        <f aca="false">IF($A192="","",IFERROR($Q192/$P192,""))</f>
        <v/>
      </c>
      <c r="S192" s="38" t="str">
        <f aca="false">IF($A192="","",SUMIFS('Thanh toán'!$H$4:$H$203,'Thanh toán'!$D$4:$D$203,$A192))</f>
        <v/>
      </c>
      <c r="T192" s="38" t="str">
        <f aca="false">IF($A192="","",SUMIFS('Công nợ'!$I$4:$I$203,'Công nợ'!$B$4:$B$203,$A192))</f>
        <v/>
      </c>
      <c r="U192" s="38" t="str">
        <f aca="false">IF($A192="","",SUMIFS('Công nợ'!$I$4:$I$203,'Công nợ'!$B$4:$B$203,$A192,'Công nợ'!$K$4:$K$203,"&gt;0"))</f>
        <v/>
      </c>
    </row>
    <row r="193" customFormat="false" ht="15" hidden="false" customHeight="false" outlineLevel="0" collapsed="false">
      <c r="A193" s="37" t="str">
        <f aca="false">IF('Dự án'!$A193="","",'Dự án'!$A193)</f>
        <v/>
      </c>
      <c r="B193" s="37" t="str">
        <f aca="false">IF($A193="","",'Dự án'!$B193)</f>
        <v/>
      </c>
      <c r="C193" s="37" t="str">
        <f aca="false">IF($A193="","",'Dự án'!$C193)</f>
        <v/>
      </c>
      <c r="D193" s="37" t="str">
        <f aca="false">IF($A193="","",'Dự án'!$H193)</f>
        <v/>
      </c>
      <c r="E193" s="38" t="str">
        <f aca="false">IF($A193="","",'Dự án'!$G193)</f>
        <v/>
      </c>
      <c r="F193" s="38" t="str">
        <f aca="false">IF($A193="","",COUNTIFS('Check giá'!$C$4:$C$203,$A193))</f>
        <v/>
      </c>
      <c r="G193" s="38" t="str">
        <f aca="false">IF($A193="","",COUNTIFS('Check giá'!$C$4:$C$203,$A193,'Check giá'!$O$4:$O$203,"Đang xử lý")+COUNTIFS('Check giá'!$C$4:$C$203,$A193,'Check giá'!$O$4:$O$203,"Quá hạn chưa trả"))</f>
        <v/>
      </c>
      <c r="H193" s="38" t="str">
        <f aca="false">IF($A193="","",SUMIFS('Check giá'!$J$4:$J$203,'Check giá'!$C$4:$C$203,$A193))</f>
        <v/>
      </c>
      <c r="I193" s="38" t="str">
        <f aca="false">IF($A193="","",COUNTIFS(PR!$D$4:$D$203,$A193))</f>
        <v/>
      </c>
      <c r="J193" s="38" t="str">
        <f aca="false">IF($A193="","",SUMIFS(PR!$L$4:$L$203,PR!$D$4:$D$203,$A193))</f>
        <v/>
      </c>
      <c r="K193" s="38" t="str">
        <f aca="false">IF($A193="","",COUNTIFS(PO!$D$4:$D$203,$A193))</f>
        <v/>
      </c>
      <c r="L193" s="38" t="str">
        <f aca="false">IF($A193="","",SUMIFS(PO!$L$4:$L$203,PO!$D$4:$D$203,$A193))</f>
        <v/>
      </c>
      <c r="M193" s="38" t="str">
        <f aca="false">IF($A193="","",SUMIFS(PO!$N$4:$N$203,PO!$D$4:$D$203,$A193))</f>
        <v/>
      </c>
      <c r="N193" s="39" t="str">
        <f aca="false">IF($A193="","",IFERROR($L193/$E193,""))</f>
        <v/>
      </c>
      <c r="O193" s="38" t="str">
        <f aca="false">IF($A193="","",IFERROR($E193-$L193,""))</f>
        <v/>
      </c>
      <c r="P193" s="38" t="str">
        <f aca="false">IF($A193="","",COUNTIFS(PO!$D$4:$D$203,$A193,PO!$S$4:$S$203,"Đúng hạn")+COUNTIFS(PO!$D$4:$D$203,$A193,PO!$S$4:$S$203,"Giao trễ")+COUNTIFS(PO!$D$4:$D$203,$A193,PO!$S$4:$S$203,"Trễ hạn"))</f>
        <v/>
      </c>
      <c r="Q193" s="38" t="str">
        <f aca="false">IF($A193="","",COUNTIFS(PO!$D$4:$D$203,$A193,PO!$S$4:$S$203,"Đúng hạn"))</f>
        <v/>
      </c>
      <c r="R193" s="39" t="str">
        <f aca="false">IF($A193="","",IFERROR($Q193/$P193,""))</f>
        <v/>
      </c>
      <c r="S193" s="38" t="str">
        <f aca="false">IF($A193="","",SUMIFS('Thanh toán'!$H$4:$H$203,'Thanh toán'!$D$4:$D$203,$A193))</f>
        <v/>
      </c>
      <c r="T193" s="38" t="str">
        <f aca="false">IF($A193="","",SUMIFS('Công nợ'!$I$4:$I$203,'Công nợ'!$B$4:$B$203,$A193))</f>
        <v/>
      </c>
      <c r="U193" s="38" t="str">
        <f aca="false">IF($A193="","",SUMIFS('Công nợ'!$I$4:$I$203,'Công nợ'!$B$4:$B$203,$A193,'Công nợ'!$K$4:$K$203,"&gt;0"))</f>
        <v/>
      </c>
    </row>
    <row r="194" customFormat="false" ht="15" hidden="false" customHeight="false" outlineLevel="0" collapsed="false">
      <c r="A194" s="37" t="str">
        <f aca="false">IF('Dự án'!$A194="","",'Dự án'!$A194)</f>
        <v/>
      </c>
      <c r="B194" s="37" t="str">
        <f aca="false">IF($A194="","",'Dự án'!$B194)</f>
        <v/>
      </c>
      <c r="C194" s="37" t="str">
        <f aca="false">IF($A194="","",'Dự án'!$C194)</f>
        <v/>
      </c>
      <c r="D194" s="37" t="str">
        <f aca="false">IF($A194="","",'Dự án'!$H194)</f>
        <v/>
      </c>
      <c r="E194" s="38" t="str">
        <f aca="false">IF($A194="","",'Dự án'!$G194)</f>
        <v/>
      </c>
      <c r="F194" s="38" t="str">
        <f aca="false">IF($A194="","",COUNTIFS('Check giá'!$C$4:$C$203,$A194))</f>
        <v/>
      </c>
      <c r="G194" s="38" t="str">
        <f aca="false">IF($A194="","",COUNTIFS('Check giá'!$C$4:$C$203,$A194,'Check giá'!$O$4:$O$203,"Đang xử lý")+COUNTIFS('Check giá'!$C$4:$C$203,$A194,'Check giá'!$O$4:$O$203,"Quá hạn chưa trả"))</f>
        <v/>
      </c>
      <c r="H194" s="38" t="str">
        <f aca="false">IF($A194="","",SUMIFS('Check giá'!$J$4:$J$203,'Check giá'!$C$4:$C$203,$A194))</f>
        <v/>
      </c>
      <c r="I194" s="38" t="str">
        <f aca="false">IF($A194="","",COUNTIFS(PR!$D$4:$D$203,$A194))</f>
        <v/>
      </c>
      <c r="J194" s="38" t="str">
        <f aca="false">IF($A194="","",SUMIFS(PR!$L$4:$L$203,PR!$D$4:$D$203,$A194))</f>
        <v/>
      </c>
      <c r="K194" s="38" t="str">
        <f aca="false">IF($A194="","",COUNTIFS(PO!$D$4:$D$203,$A194))</f>
        <v/>
      </c>
      <c r="L194" s="38" t="str">
        <f aca="false">IF($A194="","",SUMIFS(PO!$L$4:$L$203,PO!$D$4:$D$203,$A194))</f>
        <v/>
      </c>
      <c r="M194" s="38" t="str">
        <f aca="false">IF($A194="","",SUMIFS(PO!$N$4:$N$203,PO!$D$4:$D$203,$A194))</f>
        <v/>
      </c>
      <c r="N194" s="39" t="str">
        <f aca="false">IF($A194="","",IFERROR($L194/$E194,""))</f>
        <v/>
      </c>
      <c r="O194" s="38" t="str">
        <f aca="false">IF($A194="","",IFERROR($E194-$L194,""))</f>
        <v/>
      </c>
      <c r="P194" s="38" t="str">
        <f aca="false">IF($A194="","",COUNTIFS(PO!$D$4:$D$203,$A194,PO!$S$4:$S$203,"Đúng hạn")+COUNTIFS(PO!$D$4:$D$203,$A194,PO!$S$4:$S$203,"Giao trễ")+COUNTIFS(PO!$D$4:$D$203,$A194,PO!$S$4:$S$203,"Trễ hạn"))</f>
        <v/>
      </c>
      <c r="Q194" s="38" t="str">
        <f aca="false">IF($A194="","",COUNTIFS(PO!$D$4:$D$203,$A194,PO!$S$4:$S$203,"Đúng hạn"))</f>
        <v/>
      </c>
      <c r="R194" s="39" t="str">
        <f aca="false">IF($A194="","",IFERROR($Q194/$P194,""))</f>
        <v/>
      </c>
      <c r="S194" s="38" t="str">
        <f aca="false">IF($A194="","",SUMIFS('Thanh toán'!$H$4:$H$203,'Thanh toán'!$D$4:$D$203,$A194))</f>
        <v/>
      </c>
      <c r="T194" s="38" t="str">
        <f aca="false">IF($A194="","",SUMIFS('Công nợ'!$I$4:$I$203,'Công nợ'!$B$4:$B$203,$A194))</f>
        <v/>
      </c>
      <c r="U194" s="38" t="str">
        <f aca="false">IF($A194="","",SUMIFS('Công nợ'!$I$4:$I$203,'Công nợ'!$B$4:$B$203,$A194,'Công nợ'!$K$4:$K$203,"&gt;0"))</f>
        <v/>
      </c>
    </row>
    <row r="195" customFormat="false" ht="15" hidden="false" customHeight="false" outlineLevel="0" collapsed="false">
      <c r="A195" s="37" t="str">
        <f aca="false">IF('Dự án'!$A195="","",'Dự án'!$A195)</f>
        <v/>
      </c>
      <c r="B195" s="37" t="str">
        <f aca="false">IF($A195="","",'Dự án'!$B195)</f>
        <v/>
      </c>
      <c r="C195" s="37" t="str">
        <f aca="false">IF($A195="","",'Dự án'!$C195)</f>
        <v/>
      </c>
      <c r="D195" s="37" t="str">
        <f aca="false">IF($A195="","",'Dự án'!$H195)</f>
        <v/>
      </c>
      <c r="E195" s="38" t="str">
        <f aca="false">IF($A195="","",'Dự án'!$G195)</f>
        <v/>
      </c>
      <c r="F195" s="38" t="str">
        <f aca="false">IF($A195="","",COUNTIFS('Check giá'!$C$4:$C$203,$A195))</f>
        <v/>
      </c>
      <c r="G195" s="38" t="str">
        <f aca="false">IF($A195="","",COUNTIFS('Check giá'!$C$4:$C$203,$A195,'Check giá'!$O$4:$O$203,"Đang xử lý")+COUNTIFS('Check giá'!$C$4:$C$203,$A195,'Check giá'!$O$4:$O$203,"Quá hạn chưa trả"))</f>
        <v/>
      </c>
      <c r="H195" s="38" t="str">
        <f aca="false">IF($A195="","",SUMIFS('Check giá'!$J$4:$J$203,'Check giá'!$C$4:$C$203,$A195))</f>
        <v/>
      </c>
      <c r="I195" s="38" t="str">
        <f aca="false">IF($A195="","",COUNTIFS(PR!$D$4:$D$203,$A195))</f>
        <v/>
      </c>
      <c r="J195" s="38" t="str">
        <f aca="false">IF($A195="","",SUMIFS(PR!$L$4:$L$203,PR!$D$4:$D$203,$A195))</f>
        <v/>
      </c>
      <c r="K195" s="38" t="str">
        <f aca="false">IF($A195="","",COUNTIFS(PO!$D$4:$D$203,$A195))</f>
        <v/>
      </c>
      <c r="L195" s="38" t="str">
        <f aca="false">IF($A195="","",SUMIFS(PO!$L$4:$L$203,PO!$D$4:$D$203,$A195))</f>
        <v/>
      </c>
      <c r="M195" s="38" t="str">
        <f aca="false">IF($A195="","",SUMIFS(PO!$N$4:$N$203,PO!$D$4:$D$203,$A195))</f>
        <v/>
      </c>
      <c r="N195" s="39" t="str">
        <f aca="false">IF($A195="","",IFERROR($L195/$E195,""))</f>
        <v/>
      </c>
      <c r="O195" s="38" t="str">
        <f aca="false">IF($A195="","",IFERROR($E195-$L195,""))</f>
        <v/>
      </c>
      <c r="P195" s="38" t="str">
        <f aca="false">IF($A195="","",COUNTIFS(PO!$D$4:$D$203,$A195,PO!$S$4:$S$203,"Đúng hạn")+COUNTIFS(PO!$D$4:$D$203,$A195,PO!$S$4:$S$203,"Giao trễ")+COUNTIFS(PO!$D$4:$D$203,$A195,PO!$S$4:$S$203,"Trễ hạn"))</f>
        <v/>
      </c>
      <c r="Q195" s="38" t="str">
        <f aca="false">IF($A195="","",COUNTIFS(PO!$D$4:$D$203,$A195,PO!$S$4:$S$203,"Đúng hạn"))</f>
        <v/>
      </c>
      <c r="R195" s="39" t="str">
        <f aca="false">IF($A195="","",IFERROR($Q195/$P195,""))</f>
        <v/>
      </c>
      <c r="S195" s="38" t="str">
        <f aca="false">IF($A195="","",SUMIFS('Thanh toán'!$H$4:$H$203,'Thanh toán'!$D$4:$D$203,$A195))</f>
        <v/>
      </c>
      <c r="T195" s="38" t="str">
        <f aca="false">IF($A195="","",SUMIFS('Công nợ'!$I$4:$I$203,'Công nợ'!$B$4:$B$203,$A195))</f>
        <v/>
      </c>
      <c r="U195" s="38" t="str">
        <f aca="false">IF($A195="","",SUMIFS('Công nợ'!$I$4:$I$203,'Công nợ'!$B$4:$B$203,$A195,'Công nợ'!$K$4:$K$203,"&gt;0"))</f>
        <v/>
      </c>
    </row>
    <row r="196" customFormat="false" ht="15" hidden="false" customHeight="false" outlineLevel="0" collapsed="false">
      <c r="A196" s="37" t="str">
        <f aca="false">IF('Dự án'!$A196="","",'Dự án'!$A196)</f>
        <v/>
      </c>
      <c r="B196" s="37" t="str">
        <f aca="false">IF($A196="","",'Dự án'!$B196)</f>
        <v/>
      </c>
      <c r="C196" s="37" t="str">
        <f aca="false">IF($A196="","",'Dự án'!$C196)</f>
        <v/>
      </c>
      <c r="D196" s="37" t="str">
        <f aca="false">IF($A196="","",'Dự án'!$H196)</f>
        <v/>
      </c>
      <c r="E196" s="38" t="str">
        <f aca="false">IF($A196="","",'Dự án'!$G196)</f>
        <v/>
      </c>
      <c r="F196" s="38" t="str">
        <f aca="false">IF($A196="","",COUNTIFS('Check giá'!$C$4:$C$203,$A196))</f>
        <v/>
      </c>
      <c r="G196" s="38" t="str">
        <f aca="false">IF($A196="","",COUNTIFS('Check giá'!$C$4:$C$203,$A196,'Check giá'!$O$4:$O$203,"Đang xử lý")+COUNTIFS('Check giá'!$C$4:$C$203,$A196,'Check giá'!$O$4:$O$203,"Quá hạn chưa trả"))</f>
        <v/>
      </c>
      <c r="H196" s="38" t="str">
        <f aca="false">IF($A196="","",SUMIFS('Check giá'!$J$4:$J$203,'Check giá'!$C$4:$C$203,$A196))</f>
        <v/>
      </c>
      <c r="I196" s="38" t="str">
        <f aca="false">IF($A196="","",COUNTIFS(PR!$D$4:$D$203,$A196))</f>
        <v/>
      </c>
      <c r="J196" s="38" t="str">
        <f aca="false">IF($A196="","",SUMIFS(PR!$L$4:$L$203,PR!$D$4:$D$203,$A196))</f>
        <v/>
      </c>
      <c r="K196" s="38" t="str">
        <f aca="false">IF($A196="","",COUNTIFS(PO!$D$4:$D$203,$A196))</f>
        <v/>
      </c>
      <c r="L196" s="38" t="str">
        <f aca="false">IF($A196="","",SUMIFS(PO!$L$4:$L$203,PO!$D$4:$D$203,$A196))</f>
        <v/>
      </c>
      <c r="M196" s="38" t="str">
        <f aca="false">IF($A196="","",SUMIFS(PO!$N$4:$N$203,PO!$D$4:$D$203,$A196))</f>
        <v/>
      </c>
      <c r="N196" s="39" t="str">
        <f aca="false">IF($A196="","",IFERROR($L196/$E196,""))</f>
        <v/>
      </c>
      <c r="O196" s="38" t="str">
        <f aca="false">IF($A196="","",IFERROR($E196-$L196,""))</f>
        <v/>
      </c>
      <c r="P196" s="38" t="str">
        <f aca="false">IF($A196="","",COUNTIFS(PO!$D$4:$D$203,$A196,PO!$S$4:$S$203,"Đúng hạn")+COUNTIFS(PO!$D$4:$D$203,$A196,PO!$S$4:$S$203,"Giao trễ")+COUNTIFS(PO!$D$4:$D$203,$A196,PO!$S$4:$S$203,"Trễ hạn"))</f>
        <v/>
      </c>
      <c r="Q196" s="38" t="str">
        <f aca="false">IF($A196="","",COUNTIFS(PO!$D$4:$D$203,$A196,PO!$S$4:$S$203,"Đúng hạn"))</f>
        <v/>
      </c>
      <c r="R196" s="39" t="str">
        <f aca="false">IF($A196="","",IFERROR($Q196/$P196,""))</f>
        <v/>
      </c>
      <c r="S196" s="38" t="str">
        <f aca="false">IF($A196="","",SUMIFS('Thanh toán'!$H$4:$H$203,'Thanh toán'!$D$4:$D$203,$A196))</f>
        <v/>
      </c>
      <c r="T196" s="38" t="str">
        <f aca="false">IF($A196="","",SUMIFS('Công nợ'!$I$4:$I$203,'Công nợ'!$B$4:$B$203,$A196))</f>
        <v/>
      </c>
      <c r="U196" s="38" t="str">
        <f aca="false">IF($A196="","",SUMIFS('Công nợ'!$I$4:$I$203,'Công nợ'!$B$4:$B$203,$A196,'Công nợ'!$K$4:$K$203,"&gt;0"))</f>
        <v/>
      </c>
    </row>
    <row r="197" customFormat="false" ht="15" hidden="false" customHeight="false" outlineLevel="0" collapsed="false">
      <c r="A197" s="37" t="str">
        <f aca="false">IF('Dự án'!$A197="","",'Dự án'!$A197)</f>
        <v/>
      </c>
      <c r="B197" s="37" t="str">
        <f aca="false">IF($A197="","",'Dự án'!$B197)</f>
        <v/>
      </c>
      <c r="C197" s="37" t="str">
        <f aca="false">IF($A197="","",'Dự án'!$C197)</f>
        <v/>
      </c>
      <c r="D197" s="37" t="str">
        <f aca="false">IF($A197="","",'Dự án'!$H197)</f>
        <v/>
      </c>
      <c r="E197" s="38" t="str">
        <f aca="false">IF($A197="","",'Dự án'!$G197)</f>
        <v/>
      </c>
      <c r="F197" s="38" t="str">
        <f aca="false">IF($A197="","",COUNTIFS('Check giá'!$C$4:$C$203,$A197))</f>
        <v/>
      </c>
      <c r="G197" s="38" t="str">
        <f aca="false">IF($A197="","",COUNTIFS('Check giá'!$C$4:$C$203,$A197,'Check giá'!$O$4:$O$203,"Đang xử lý")+COUNTIFS('Check giá'!$C$4:$C$203,$A197,'Check giá'!$O$4:$O$203,"Quá hạn chưa trả"))</f>
        <v/>
      </c>
      <c r="H197" s="38" t="str">
        <f aca="false">IF($A197="","",SUMIFS('Check giá'!$J$4:$J$203,'Check giá'!$C$4:$C$203,$A197))</f>
        <v/>
      </c>
      <c r="I197" s="38" t="str">
        <f aca="false">IF($A197="","",COUNTIFS(PR!$D$4:$D$203,$A197))</f>
        <v/>
      </c>
      <c r="J197" s="38" t="str">
        <f aca="false">IF($A197="","",SUMIFS(PR!$L$4:$L$203,PR!$D$4:$D$203,$A197))</f>
        <v/>
      </c>
      <c r="K197" s="38" t="str">
        <f aca="false">IF($A197="","",COUNTIFS(PO!$D$4:$D$203,$A197))</f>
        <v/>
      </c>
      <c r="L197" s="38" t="str">
        <f aca="false">IF($A197="","",SUMIFS(PO!$L$4:$L$203,PO!$D$4:$D$203,$A197))</f>
        <v/>
      </c>
      <c r="M197" s="38" t="str">
        <f aca="false">IF($A197="","",SUMIFS(PO!$N$4:$N$203,PO!$D$4:$D$203,$A197))</f>
        <v/>
      </c>
      <c r="N197" s="39" t="str">
        <f aca="false">IF($A197="","",IFERROR($L197/$E197,""))</f>
        <v/>
      </c>
      <c r="O197" s="38" t="str">
        <f aca="false">IF($A197="","",IFERROR($E197-$L197,""))</f>
        <v/>
      </c>
      <c r="P197" s="38" t="str">
        <f aca="false">IF($A197="","",COUNTIFS(PO!$D$4:$D$203,$A197,PO!$S$4:$S$203,"Đúng hạn")+COUNTIFS(PO!$D$4:$D$203,$A197,PO!$S$4:$S$203,"Giao trễ")+COUNTIFS(PO!$D$4:$D$203,$A197,PO!$S$4:$S$203,"Trễ hạn"))</f>
        <v/>
      </c>
      <c r="Q197" s="38" t="str">
        <f aca="false">IF($A197="","",COUNTIFS(PO!$D$4:$D$203,$A197,PO!$S$4:$S$203,"Đúng hạn"))</f>
        <v/>
      </c>
      <c r="R197" s="39" t="str">
        <f aca="false">IF($A197="","",IFERROR($Q197/$P197,""))</f>
        <v/>
      </c>
      <c r="S197" s="38" t="str">
        <f aca="false">IF($A197="","",SUMIFS('Thanh toán'!$H$4:$H$203,'Thanh toán'!$D$4:$D$203,$A197))</f>
        <v/>
      </c>
      <c r="T197" s="38" t="str">
        <f aca="false">IF($A197="","",SUMIFS('Công nợ'!$I$4:$I$203,'Công nợ'!$B$4:$B$203,$A197))</f>
        <v/>
      </c>
      <c r="U197" s="38" t="str">
        <f aca="false">IF($A197="","",SUMIFS('Công nợ'!$I$4:$I$203,'Công nợ'!$B$4:$B$203,$A197,'Công nợ'!$K$4:$K$203,"&gt;0"))</f>
        <v/>
      </c>
    </row>
    <row r="198" customFormat="false" ht="15" hidden="false" customHeight="false" outlineLevel="0" collapsed="false">
      <c r="A198" s="37" t="str">
        <f aca="false">IF('Dự án'!$A198="","",'Dự án'!$A198)</f>
        <v/>
      </c>
      <c r="B198" s="37" t="str">
        <f aca="false">IF($A198="","",'Dự án'!$B198)</f>
        <v/>
      </c>
      <c r="C198" s="37" t="str">
        <f aca="false">IF($A198="","",'Dự án'!$C198)</f>
        <v/>
      </c>
      <c r="D198" s="37" t="str">
        <f aca="false">IF($A198="","",'Dự án'!$H198)</f>
        <v/>
      </c>
      <c r="E198" s="38" t="str">
        <f aca="false">IF($A198="","",'Dự án'!$G198)</f>
        <v/>
      </c>
      <c r="F198" s="38" t="str">
        <f aca="false">IF($A198="","",COUNTIFS('Check giá'!$C$4:$C$203,$A198))</f>
        <v/>
      </c>
      <c r="G198" s="38" t="str">
        <f aca="false">IF($A198="","",COUNTIFS('Check giá'!$C$4:$C$203,$A198,'Check giá'!$O$4:$O$203,"Đang xử lý")+COUNTIFS('Check giá'!$C$4:$C$203,$A198,'Check giá'!$O$4:$O$203,"Quá hạn chưa trả"))</f>
        <v/>
      </c>
      <c r="H198" s="38" t="str">
        <f aca="false">IF($A198="","",SUMIFS('Check giá'!$J$4:$J$203,'Check giá'!$C$4:$C$203,$A198))</f>
        <v/>
      </c>
      <c r="I198" s="38" t="str">
        <f aca="false">IF($A198="","",COUNTIFS(PR!$D$4:$D$203,$A198))</f>
        <v/>
      </c>
      <c r="J198" s="38" t="str">
        <f aca="false">IF($A198="","",SUMIFS(PR!$L$4:$L$203,PR!$D$4:$D$203,$A198))</f>
        <v/>
      </c>
      <c r="K198" s="38" t="str">
        <f aca="false">IF($A198="","",COUNTIFS(PO!$D$4:$D$203,$A198))</f>
        <v/>
      </c>
      <c r="L198" s="38" t="str">
        <f aca="false">IF($A198="","",SUMIFS(PO!$L$4:$L$203,PO!$D$4:$D$203,$A198))</f>
        <v/>
      </c>
      <c r="M198" s="38" t="str">
        <f aca="false">IF($A198="","",SUMIFS(PO!$N$4:$N$203,PO!$D$4:$D$203,$A198))</f>
        <v/>
      </c>
      <c r="N198" s="39" t="str">
        <f aca="false">IF($A198="","",IFERROR($L198/$E198,""))</f>
        <v/>
      </c>
      <c r="O198" s="38" t="str">
        <f aca="false">IF($A198="","",IFERROR($E198-$L198,""))</f>
        <v/>
      </c>
      <c r="P198" s="38" t="str">
        <f aca="false">IF($A198="","",COUNTIFS(PO!$D$4:$D$203,$A198,PO!$S$4:$S$203,"Đúng hạn")+COUNTIFS(PO!$D$4:$D$203,$A198,PO!$S$4:$S$203,"Giao trễ")+COUNTIFS(PO!$D$4:$D$203,$A198,PO!$S$4:$S$203,"Trễ hạn"))</f>
        <v/>
      </c>
      <c r="Q198" s="38" t="str">
        <f aca="false">IF($A198="","",COUNTIFS(PO!$D$4:$D$203,$A198,PO!$S$4:$S$203,"Đúng hạn"))</f>
        <v/>
      </c>
      <c r="R198" s="39" t="str">
        <f aca="false">IF($A198="","",IFERROR($Q198/$P198,""))</f>
        <v/>
      </c>
      <c r="S198" s="38" t="str">
        <f aca="false">IF($A198="","",SUMIFS('Thanh toán'!$H$4:$H$203,'Thanh toán'!$D$4:$D$203,$A198))</f>
        <v/>
      </c>
      <c r="T198" s="38" t="str">
        <f aca="false">IF($A198="","",SUMIFS('Công nợ'!$I$4:$I$203,'Công nợ'!$B$4:$B$203,$A198))</f>
        <v/>
      </c>
      <c r="U198" s="38" t="str">
        <f aca="false">IF($A198="","",SUMIFS('Công nợ'!$I$4:$I$203,'Công nợ'!$B$4:$B$203,$A198,'Công nợ'!$K$4:$K$203,"&gt;0"))</f>
        <v/>
      </c>
    </row>
    <row r="199" customFormat="false" ht="15" hidden="false" customHeight="false" outlineLevel="0" collapsed="false">
      <c r="A199" s="37" t="str">
        <f aca="false">IF('Dự án'!$A199="","",'Dự án'!$A199)</f>
        <v/>
      </c>
      <c r="B199" s="37" t="str">
        <f aca="false">IF($A199="","",'Dự án'!$B199)</f>
        <v/>
      </c>
      <c r="C199" s="37" t="str">
        <f aca="false">IF($A199="","",'Dự án'!$C199)</f>
        <v/>
      </c>
      <c r="D199" s="37" t="str">
        <f aca="false">IF($A199="","",'Dự án'!$H199)</f>
        <v/>
      </c>
      <c r="E199" s="38" t="str">
        <f aca="false">IF($A199="","",'Dự án'!$G199)</f>
        <v/>
      </c>
      <c r="F199" s="38" t="str">
        <f aca="false">IF($A199="","",COUNTIFS('Check giá'!$C$4:$C$203,$A199))</f>
        <v/>
      </c>
      <c r="G199" s="38" t="str">
        <f aca="false">IF($A199="","",COUNTIFS('Check giá'!$C$4:$C$203,$A199,'Check giá'!$O$4:$O$203,"Đang xử lý")+COUNTIFS('Check giá'!$C$4:$C$203,$A199,'Check giá'!$O$4:$O$203,"Quá hạn chưa trả"))</f>
        <v/>
      </c>
      <c r="H199" s="38" t="str">
        <f aca="false">IF($A199="","",SUMIFS('Check giá'!$J$4:$J$203,'Check giá'!$C$4:$C$203,$A199))</f>
        <v/>
      </c>
      <c r="I199" s="38" t="str">
        <f aca="false">IF($A199="","",COUNTIFS(PR!$D$4:$D$203,$A199))</f>
        <v/>
      </c>
      <c r="J199" s="38" t="str">
        <f aca="false">IF($A199="","",SUMIFS(PR!$L$4:$L$203,PR!$D$4:$D$203,$A199))</f>
        <v/>
      </c>
      <c r="K199" s="38" t="str">
        <f aca="false">IF($A199="","",COUNTIFS(PO!$D$4:$D$203,$A199))</f>
        <v/>
      </c>
      <c r="L199" s="38" t="str">
        <f aca="false">IF($A199="","",SUMIFS(PO!$L$4:$L$203,PO!$D$4:$D$203,$A199))</f>
        <v/>
      </c>
      <c r="M199" s="38" t="str">
        <f aca="false">IF($A199="","",SUMIFS(PO!$N$4:$N$203,PO!$D$4:$D$203,$A199))</f>
        <v/>
      </c>
      <c r="N199" s="39" t="str">
        <f aca="false">IF($A199="","",IFERROR($L199/$E199,""))</f>
        <v/>
      </c>
      <c r="O199" s="38" t="str">
        <f aca="false">IF($A199="","",IFERROR($E199-$L199,""))</f>
        <v/>
      </c>
      <c r="P199" s="38" t="str">
        <f aca="false">IF($A199="","",COUNTIFS(PO!$D$4:$D$203,$A199,PO!$S$4:$S$203,"Đúng hạn")+COUNTIFS(PO!$D$4:$D$203,$A199,PO!$S$4:$S$203,"Giao trễ")+COUNTIFS(PO!$D$4:$D$203,$A199,PO!$S$4:$S$203,"Trễ hạn"))</f>
        <v/>
      </c>
      <c r="Q199" s="38" t="str">
        <f aca="false">IF($A199="","",COUNTIFS(PO!$D$4:$D$203,$A199,PO!$S$4:$S$203,"Đúng hạn"))</f>
        <v/>
      </c>
      <c r="R199" s="39" t="str">
        <f aca="false">IF($A199="","",IFERROR($Q199/$P199,""))</f>
        <v/>
      </c>
      <c r="S199" s="38" t="str">
        <f aca="false">IF($A199="","",SUMIFS('Thanh toán'!$H$4:$H$203,'Thanh toán'!$D$4:$D$203,$A199))</f>
        <v/>
      </c>
      <c r="T199" s="38" t="str">
        <f aca="false">IF($A199="","",SUMIFS('Công nợ'!$I$4:$I$203,'Công nợ'!$B$4:$B$203,$A199))</f>
        <v/>
      </c>
      <c r="U199" s="38" t="str">
        <f aca="false">IF($A199="","",SUMIFS('Công nợ'!$I$4:$I$203,'Công nợ'!$B$4:$B$203,$A199,'Công nợ'!$K$4:$K$203,"&gt;0"))</f>
        <v/>
      </c>
    </row>
    <row r="200" customFormat="false" ht="15" hidden="false" customHeight="false" outlineLevel="0" collapsed="false">
      <c r="A200" s="37" t="str">
        <f aca="false">IF('Dự án'!$A200="","",'Dự án'!$A200)</f>
        <v/>
      </c>
      <c r="B200" s="37" t="str">
        <f aca="false">IF($A200="","",'Dự án'!$B200)</f>
        <v/>
      </c>
      <c r="C200" s="37" t="str">
        <f aca="false">IF($A200="","",'Dự án'!$C200)</f>
        <v/>
      </c>
      <c r="D200" s="37" t="str">
        <f aca="false">IF($A200="","",'Dự án'!$H200)</f>
        <v/>
      </c>
      <c r="E200" s="38" t="str">
        <f aca="false">IF($A200="","",'Dự án'!$G200)</f>
        <v/>
      </c>
      <c r="F200" s="38" t="str">
        <f aca="false">IF($A200="","",COUNTIFS('Check giá'!$C$4:$C$203,$A200))</f>
        <v/>
      </c>
      <c r="G200" s="38" t="str">
        <f aca="false">IF($A200="","",COUNTIFS('Check giá'!$C$4:$C$203,$A200,'Check giá'!$O$4:$O$203,"Đang xử lý")+COUNTIFS('Check giá'!$C$4:$C$203,$A200,'Check giá'!$O$4:$O$203,"Quá hạn chưa trả"))</f>
        <v/>
      </c>
      <c r="H200" s="38" t="str">
        <f aca="false">IF($A200="","",SUMIFS('Check giá'!$J$4:$J$203,'Check giá'!$C$4:$C$203,$A200))</f>
        <v/>
      </c>
      <c r="I200" s="38" t="str">
        <f aca="false">IF($A200="","",COUNTIFS(PR!$D$4:$D$203,$A200))</f>
        <v/>
      </c>
      <c r="J200" s="38" t="str">
        <f aca="false">IF($A200="","",SUMIFS(PR!$L$4:$L$203,PR!$D$4:$D$203,$A200))</f>
        <v/>
      </c>
      <c r="K200" s="38" t="str">
        <f aca="false">IF($A200="","",COUNTIFS(PO!$D$4:$D$203,$A200))</f>
        <v/>
      </c>
      <c r="L200" s="38" t="str">
        <f aca="false">IF($A200="","",SUMIFS(PO!$L$4:$L$203,PO!$D$4:$D$203,$A200))</f>
        <v/>
      </c>
      <c r="M200" s="38" t="str">
        <f aca="false">IF($A200="","",SUMIFS(PO!$N$4:$N$203,PO!$D$4:$D$203,$A200))</f>
        <v/>
      </c>
      <c r="N200" s="39" t="str">
        <f aca="false">IF($A200="","",IFERROR($L200/$E200,""))</f>
        <v/>
      </c>
      <c r="O200" s="38" t="str">
        <f aca="false">IF($A200="","",IFERROR($E200-$L200,""))</f>
        <v/>
      </c>
      <c r="P200" s="38" t="str">
        <f aca="false">IF($A200="","",COUNTIFS(PO!$D$4:$D$203,$A200,PO!$S$4:$S$203,"Đúng hạn")+COUNTIFS(PO!$D$4:$D$203,$A200,PO!$S$4:$S$203,"Giao trễ")+COUNTIFS(PO!$D$4:$D$203,$A200,PO!$S$4:$S$203,"Trễ hạn"))</f>
        <v/>
      </c>
      <c r="Q200" s="38" t="str">
        <f aca="false">IF($A200="","",COUNTIFS(PO!$D$4:$D$203,$A200,PO!$S$4:$S$203,"Đúng hạn"))</f>
        <v/>
      </c>
      <c r="R200" s="39" t="str">
        <f aca="false">IF($A200="","",IFERROR($Q200/$P200,""))</f>
        <v/>
      </c>
      <c r="S200" s="38" t="str">
        <f aca="false">IF($A200="","",SUMIFS('Thanh toán'!$H$4:$H$203,'Thanh toán'!$D$4:$D$203,$A200))</f>
        <v/>
      </c>
      <c r="T200" s="38" t="str">
        <f aca="false">IF($A200="","",SUMIFS('Công nợ'!$I$4:$I$203,'Công nợ'!$B$4:$B$203,$A200))</f>
        <v/>
      </c>
      <c r="U200" s="38" t="str">
        <f aca="false">IF($A200="","",SUMIFS('Công nợ'!$I$4:$I$203,'Công nợ'!$B$4:$B$203,$A200,'Công nợ'!$K$4:$K$203,"&gt;0"))</f>
        <v/>
      </c>
    </row>
    <row r="201" customFormat="false" ht="15" hidden="false" customHeight="false" outlineLevel="0" collapsed="false">
      <c r="A201" s="37" t="str">
        <f aca="false">IF('Dự án'!$A201="","",'Dự án'!$A201)</f>
        <v/>
      </c>
      <c r="B201" s="37" t="str">
        <f aca="false">IF($A201="","",'Dự án'!$B201)</f>
        <v/>
      </c>
      <c r="C201" s="37" t="str">
        <f aca="false">IF($A201="","",'Dự án'!$C201)</f>
        <v/>
      </c>
      <c r="D201" s="37" t="str">
        <f aca="false">IF($A201="","",'Dự án'!$H201)</f>
        <v/>
      </c>
      <c r="E201" s="38" t="str">
        <f aca="false">IF($A201="","",'Dự án'!$G201)</f>
        <v/>
      </c>
      <c r="F201" s="38" t="str">
        <f aca="false">IF($A201="","",COUNTIFS('Check giá'!$C$4:$C$203,$A201))</f>
        <v/>
      </c>
      <c r="G201" s="38" t="str">
        <f aca="false">IF($A201="","",COUNTIFS('Check giá'!$C$4:$C$203,$A201,'Check giá'!$O$4:$O$203,"Đang xử lý")+COUNTIFS('Check giá'!$C$4:$C$203,$A201,'Check giá'!$O$4:$O$203,"Quá hạn chưa trả"))</f>
        <v/>
      </c>
      <c r="H201" s="38" t="str">
        <f aca="false">IF($A201="","",SUMIFS('Check giá'!$J$4:$J$203,'Check giá'!$C$4:$C$203,$A201))</f>
        <v/>
      </c>
      <c r="I201" s="38" t="str">
        <f aca="false">IF($A201="","",COUNTIFS(PR!$D$4:$D$203,$A201))</f>
        <v/>
      </c>
      <c r="J201" s="38" t="str">
        <f aca="false">IF($A201="","",SUMIFS(PR!$L$4:$L$203,PR!$D$4:$D$203,$A201))</f>
        <v/>
      </c>
      <c r="K201" s="38" t="str">
        <f aca="false">IF($A201="","",COUNTIFS(PO!$D$4:$D$203,$A201))</f>
        <v/>
      </c>
      <c r="L201" s="38" t="str">
        <f aca="false">IF($A201="","",SUMIFS(PO!$L$4:$L$203,PO!$D$4:$D$203,$A201))</f>
        <v/>
      </c>
      <c r="M201" s="38" t="str">
        <f aca="false">IF($A201="","",SUMIFS(PO!$N$4:$N$203,PO!$D$4:$D$203,$A201))</f>
        <v/>
      </c>
      <c r="N201" s="39" t="str">
        <f aca="false">IF($A201="","",IFERROR($L201/$E201,""))</f>
        <v/>
      </c>
      <c r="O201" s="38" t="str">
        <f aca="false">IF($A201="","",IFERROR($E201-$L201,""))</f>
        <v/>
      </c>
      <c r="P201" s="38" t="str">
        <f aca="false">IF($A201="","",COUNTIFS(PO!$D$4:$D$203,$A201,PO!$S$4:$S$203,"Đúng hạn")+COUNTIFS(PO!$D$4:$D$203,$A201,PO!$S$4:$S$203,"Giao trễ")+COUNTIFS(PO!$D$4:$D$203,$A201,PO!$S$4:$S$203,"Trễ hạn"))</f>
        <v/>
      </c>
      <c r="Q201" s="38" t="str">
        <f aca="false">IF($A201="","",COUNTIFS(PO!$D$4:$D$203,$A201,PO!$S$4:$S$203,"Đúng hạn"))</f>
        <v/>
      </c>
      <c r="R201" s="39" t="str">
        <f aca="false">IF($A201="","",IFERROR($Q201/$P201,""))</f>
        <v/>
      </c>
      <c r="S201" s="38" t="str">
        <f aca="false">IF($A201="","",SUMIFS('Thanh toán'!$H$4:$H$203,'Thanh toán'!$D$4:$D$203,$A201))</f>
        <v/>
      </c>
      <c r="T201" s="38" t="str">
        <f aca="false">IF($A201="","",SUMIFS('Công nợ'!$I$4:$I$203,'Công nợ'!$B$4:$B$203,$A201))</f>
        <v/>
      </c>
      <c r="U201" s="38" t="str">
        <f aca="false">IF($A201="","",SUMIFS('Công nợ'!$I$4:$I$203,'Công nợ'!$B$4:$B$203,$A201,'Công nợ'!$K$4:$K$203,"&gt;0"))</f>
        <v/>
      </c>
    </row>
    <row r="202" customFormat="false" ht="15" hidden="false" customHeight="false" outlineLevel="0" collapsed="false">
      <c r="A202" s="37" t="str">
        <f aca="false">IF('Dự án'!$A202="","",'Dự án'!$A202)</f>
        <v/>
      </c>
      <c r="B202" s="37" t="str">
        <f aca="false">IF($A202="","",'Dự án'!$B202)</f>
        <v/>
      </c>
      <c r="C202" s="37" t="str">
        <f aca="false">IF($A202="","",'Dự án'!$C202)</f>
        <v/>
      </c>
      <c r="D202" s="37" t="str">
        <f aca="false">IF($A202="","",'Dự án'!$H202)</f>
        <v/>
      </c>
      <c r="E202" s="38" t="str">
        <f aca="false">IF($A202="","",'Dự án'!$G202)</f>
        <v/>
      </c>
      <c r="F202" s="38" t="str">
        <f aca="false">IF($A202="","",COUNTIFS('Check giá'!$C$4:$C$203,$A202))</f>
        <v/>
      </c>
      <c r="G202" s="38" t="str">
        <f aca="false">IF($A202="","",COUNTIFS('Check giá'!$C$4:$C$203,$A202,'Check giá'!$O$4:$O$203,"Đang xử lý")+COUNTIFS('Check giá'!$C$4:$C$203,$A202,'Check giá'!$O$4:$O$203,"Quá hạn chưa trả"))</f>
        <v/>
      </c>
      <c r="H202" s="38" t="str">
        <f aca="false">IF($A202="","",SUMIFS('Check giá'!$J$4:$J$203,'Check giá'!$C$4:$C$203,$A202))</f>
        <v/>
      </c>
      <c r="I202" s="38" t="str">
        <f aca="false">IF($A202="","",COUNTIFS(PR!$D$4:$D$203,$A202))</f>
        <v/>
      </c>
      <c r="J202" s="38" t="str">
        <f aca="false">IF($A202="","",SUMIFS(PR!$L$4:$L$203,PR!$D$4:$D$203,$A202))</f>
        <v/>
      </c>
      <c r="K202" s="38" t="str">
        <f aca="false">IF($A202="","",COUNTIFS(PO!$D$4:$D$203,$A202))</f>
        <v/>
      </c>
      <c r="L202" s="38" t="str">
        <f aca="false">IF($A202="","",SUMIFS(PO!$L$4:$L$203,PO!$D$4:$D$203,$A202))</f>
        <v/>
      </c>
      <c r="M202" s="38" t="str">
        <f aca="false">IF($A202="","",SUMIFS(PO!$N$4:$N$203,PO!$D$4:$D$203,$A202))</f>
        <v/>
      </c>
      <c r="N202" s="39" t="str">
        <f aca="false">IF($A202="","",IFERROR($L202/$E202,""))</f>
        <v/>
      </c>
      <c r="O202" s="38" t="str">
        <f aca="false">IF($A202="","",IFERROR($E202-$L202,""))</f>
        <v/>
      </c>
      <c r="P202" s="38" t="str">
        <f aca="false">IF($A202="","",COUNTIFS(PO!$D$4:$D$203,$A202,PO!$S$4:$S$203,"Đúng hạn")+COUNTIFS(PO!$D$4:$D$203,$A202,PO!$S$4:$S$203,"Giao trễ")+COUNTIFS(PO!$D$4:$D$203,$A202,PO!$S$4:$S$203,"Trễ hạn"))</f>
        <v/>
      </c>
      <c r="Q202" s="38" t="str">
        <f aca="false">IF($A202="","",COUNTIFS(PO!$D$4:$D$203,$A202,PO!$S$4:$S$203,"Đúng hạn"))</f>
        <v/>
      </c>
      <c r="R202" s="39" t="str">
        <f aca="false">IF($A202="","",IFERROR($Q202/$P202,""))</f>
        <v/>
      </c>
      <c r="S202" s="38" t="str">
        <f aca="false">IF($A202="","",SUMIFS('Thanh toán'!$H$4:$H$203,'Thanh toán'!$D$4:$D$203,$A202))</f>
        <v/>
      </c>
      <c r="T202" s="38" t="str">
        <f aca="false">IF($A202="","",SUMIFS('Công nợ'!$I$4:$I$203,'Công nợ'!$B$4:$B$203,$A202))</f>
        <v/>
      </c>
      <c r="U202" s="38" t="str">
        <f aca="false">IF($A202="","",SUMIFS('Công nợ'!$I$4:$I$203,'Công nợ'!$B$4:$B$203,$A202,'Công nợ'!$K$4:$K$203,"&gt;0"))</f>
        <v/>
      </c>
    </row>
    <row r="203" customFormat="false" ht="15" hidden="false" customHeight="false" outlineLevel="0" collapsed="false">
      <c r="A203" s="37" t="str">
        <f aca="false">IF('Dự án'!$A203="","",'Dự án'!$A203)</f>
        <v/>
      </c>
      <c r="B203" s="37" t="str">
        <f aca="false">IF($A203="","",'Dự án'!$B203)</f>
        <v/>
      </c>
      <c r="C203" s="37" t="str">
        <f aca="false">IF($A203="","",'Dự án'!$C203)</f>
        <v/>
      </c>
      <c r="D203" s="37" t="str">
        <f aca="false">IF($A203="","",'Dự án'!$H203)</f>
        <v/>
      </c>
      <c r="E203" s="38" t="str">
        <f aca="false">IF($A203="","",'Dự án'!$G203)</f>
        <v/>
      </c>
      <c r="F203" s="38" t="str">
        <f aca="false">IF($A203="","",COUNTIFS('Check giá'!$C$4:$C$203,$A203))</f>
        <v/>
      </c>
      <c r="G203" s="38" t="str">
        <f aca="false">IF($A203="","",COUNTIFS('Check giá'!$C$4:$C$203,$A203,'Check giá'!$O$4:$O$203,"Đang xử lý")+COUNTIFS('Check giá'!$C$4:$C$203,$A203,'Check giá'!$O$4:$O$203,"Quá hạn chưa trả"))</f>
        <v/>
      </c>
      <c r="H203" s="38" t="str">
        <f aca="false">IF($A203="","",SUMIFS('Check giá'!$J$4:$J$203,'Check giá'!$C$4:$C$203,$A203))</f>
        <v/>
      </c>
      <c r="I203" s="38" t="str">
        <f aca="false">IF($A203="","",COUNTIFS(PR!$D$4:$D$203,$A203))</f>
        <v/>
      </c>
      <c r="J203" s="38" t="str">
        <f aca="false">IF($A203="","",SUMIFS(PR!$L$4:$L$203,PR!$D$4:$D$203,$A203))</f>
        <v/>
      </c>
      <c r="K203" s="38" t="str">
        <f aca="false">IF($A203="","",COUNTIFS(PO!$D$4:$D$203,$A203))</f>
        <v/>
      </c>
      <c r="L203" s="38" t="str">
        <f aca="false">IF($A203="","",SUMIFS(PO!$L$4:$L$203,PO!$D$4:$D$203,$A203))</f>
        <v/>
      </c>
      <c r="M203" s="38" t="str">
        <f aca="false">IF($A203="","",SUMIFS(PO!$N$4:$N$203,PO!$D$4:$D$203,$A203))</f>
        <v/>
      </c>
      <c r="N203" s="39" t="str">
        <f aca="false">IF($A203="","",IFERROR($L203/$E203,""))</f>
        <v/>
      </c>
      <c r="O203" s="38" t="str">
        <f aca="false">IF($A203="","",IFERROR($E203-$L203,""))</f>
        <v/>
      </c>
      <c r="P203" s="38" t="str">
        <f aca="false">IF($A203="","",COUNTIFS(PO!$D$4:$D$203,$A203,PO!$S$4:$S$203,"Đúng hạn")+COUNTIFS(PO!$D$4:$D$203,$A203,PO!$S$4:$S$203,"Giao trễ")+COUNTIFS(PO!$D$4:$D$203,$A203,PO!$S$4:$S$203,"Trễ hạn"))</f>
        <v/>
      </c>
      <c r="Q203" s="38" t="str">
        <f aca="false">IF($A203="","",COUNTIFS(PO!$D$4:$D$203,$A203,PO!$S$4:$S$203,"Đúng hạn"))</f>
        <v/>
      </c>
      <c r="R203" s="39" t="str">
        <f aca="false">IF($A203="","",IFERROR($Q203/$P203,""))</f>
        <v/>
      </c>
      <c r="S203" s="38" t="str">
        <f aca="false">IF($A203="","",SUMIFS('Thanh toán'!$H$4:$H$203,'Thanh toán'!$D$4:$D$203,$A203))</f>
        <v/>
      </c>
      <c r="T203" s="38" t="str">
        <f aca="false">IF($A203="","",SUMIFS('Công nợ'!$I$4:$I$203,'Công nợ'!$B$4:$B$203,$A203))</f>
        <v/>
      </c>
      <c r="U203" s="38" t="str">
        <f aca="false">IF($A203="","",SUMIFS('Công nợ'!$I$4:$I$203,'Công nợ'!$B$4:$B$203,$A203,'Công nợ'!$K$4:$K$203,"&gt;0"))</f>
        <v/>
      </c>
    </row>
  </sheetData>
  <autoFilter ref="A3:U203"/>
  <conditionalFormatting sqref="A4:U203">
    <cfRule type="expression" priority="2" aboveAverage="0" equalAverage="0" bottom="0" percent="0" rank="0" text="" dxfId="9">
      <formula>$U4&gt;0</formula>
    </cfRule>
  </conditionalFormatting>
  <conditionalFormatting sqref="N4:O203">
    <cfRule type="expression" priority="3" aboveAverage="0" equalAverage="0" bottom="0" percent="0" rank="0" text="" dxfId="14">
      <formula>AND($A4&lt;&gt;"",$E4&gt;0,$L4&gt;$E4)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2026-07-31T06:54:33Z</dcterms:created>
  <dc:creator>openpyxl</dc:creator>
  <dc:description/>
  <dc:language>en-US</dc:language>
  <cp:lastModifiedBy/>
  <dcterms:modified xsi:type="dcterms:W3CDTF">2026-07-31T06:54:35Z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